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8_{B299652C-E3C2-43A7-BB5C-5E10E63AA598}" xr6:coauthVersionLast="36" xr6:coauthVersionMax="36" xr10:uidLastSave="{00000000-0000-0000-0000-000000000000}"/>
  <bookViews>
    <workbookView xWindow="0" yWindow="0" windowWidth="17256" windowHeight="5640" activeTab="5" xr2:uid="{50D17338-FD6A-4E5E-86CB-87910B32E797}"/>
  </bookViews>
  <sheets>
    <sheet name="shops" sheetId="1" r:id="rId1"/>
    <sheet name="trade" sheetId="2" r:id="rId2"/>
    <sheet name="status" sheetId="3" r:id="rId3"/>
    <sheet name="data main" sheetId="4" r:id="rId4"/>
    <sheet name="details " sheetId="5" r:id="rId5"/>
    <sheet name="employees" sheetId="6" r:id="rId6"/>
  </sheets>
  <externalReferences>
    <externalReference r:id="rId7"/>
  </externalReferences>
  <definedNames>
    <definedName name="APP">[1]!Table3[APP TYPE]</definedName>
    <definedName name="COMPANY">[1]!Table5[COMPANY]</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002" i="4" l="1"/>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H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H1964" i="4"/>
  <c r="G1964" i="4"/>
  <c r="H1963" i="4"/>
  <c r="G1963" i="4"/>
  <c r="H1962" i="4"/>
  <c r="G1962" i="4"/>
  <c r="H1961" i="4"/>
  <c r="H1960" i="4"/>
  <c r="G1960" i="4"/>
  <c r="H1959" i="4"/>
  <c r="G1959" i="4"/>
  <c r="H1958" i="4"/>
  <c r="G1958" i="4"/>
  <c r="H1957" i="4"/>
  <c r="H1956" i="4"/>
  <c r="G1956" i="4"/>
  <c r="H1955" i="4"/>
  <c r="G1955" i="4"/>
  <c r="H1954" i="4"/>
  <c r="G1954" i="4"/>
  <c r="H1953" i="4"/>
  <c r="H1952" i="4"/>
  <c r="G1952" i="4"/>
  <c r="H1951" i="4"/>
  <c r="H1950" i="4"/>
  <c r="G1950" i="4"/>
  <c r="H1949" i="4"/>
  <c r="G1949" i="4"/>
  <c r="H1948" i="4"/>
  <c r="H1947" i="4"/>
  <c r="G1947" i="4"/>
  <c r="H1946" i="4"/>
  <c r="G1946" i="4"/>
  <c r="H1945" i="4"/>
  <c r="H1944" i="4"/>
  <c r="G1944" i="4"/>
  <c r="H1943" i="4"/>
  <c r="H1942" i="4"/>
  <c r="G1942" i="4"/>
  <c r="H1941" i="4"/>
  <c r="H1940" i="4"/>
  <c r="G1940" i="4"/>
  <c r="H1939" i="4"/>
  <c r="G1939" i="4"/>
  <c r="H1938" i="4"/>
  <c r="H1937" i="4"/>
  <c r="G1937" i="4"/>
  <c r="H1936" i="4"/>
  <c r="G1936" i="4"/>
  <c r="H1935" i="4"/>
  <c r="G1935" i="4"/>
  <c r="H1934" i="4"/>
  <c r="H1933" i="4"/>
  <c r="G1933" i="4"/>
  <c r="H1932" i="4"/>
  <c r="G1932" i="4"/>
  <c r="H1931" i="4"/>
  <c r="G1931" i="4"/>
  <c r="H1930" i="4"/>
  <c r="G1930" i="4"/>
  <c r="H1929" i="4"/>
  <c r="H1928" i="4"/>
  <c r="H1927" i="4"/>
  <c r="H1926" i="4"/>
  <c r="G1926" i="4"/>
  <c r="H1925" i="4"/>
  <c r="G1925" i="4"/>
  <c r="H1924" i="4"/>
  <c r="G1924" i="4"/>
  <c r="H1923" i="4"/>
  <c r="G1923" i="4"/>
  <c r="H1922" i="4"/>
  <c r="H1921" i="4"/>
  <c r="G1921" i="4"/>
  <c r="H1920" i="4"/>
  <c r="G1920" i="4"/>
  <c r="H1919" i="4"/>
  <c r="G1919" i="4"/>
  <c r="H1918" i="4"/>
  <c r="G1918" i="4"/>
  <c r="H1917" i="4"/>
  <c r="H1916" i="4"/>
  <c r="G1916" i="4"/>
  <c r="H1915" i="4"/>
  <c r="H1914" i="4"/>
  <c r="G1914" i="4"/>
  <c r="H1913" i="4"/>
  <c r="H1912" i="4"/>
  <c r="G1912" i="4"/>
  <c r="H1911" i="4"/>
  <c r="H1910" i="4"/>
  <c r="G1910" i="4"/>
  <c r="H1909" i="4"/>
  <c r="G1909" i="4"/>
  <c r="H1908" i="4"/>
  <c r="H1907" i="4"/>
  <c r="G1907" i="4"/>
  <c r="H1906" i="4"/>
  <c r="H1905" i="4"/>
  <c r="G1905" i="4"/>
  <c r="H1904" i="4"/>
  <c r="H1903" i="4"/>
  <c r="G1903" i="4"/>
  <c r="H1902" i="4"/>
  <c r="G1902" i="4"/>
  <c r="H1901" i="4"/>
  <c r="G1901" i="4"/>
  <c r="H1900" i="4"/>
  <c r="G1900" i="4"/>
  <c r="H1899" i="4"/>
  <c r="G1899" i="4"/>
  <c r="H1898" i="4"/>
  <c r="H1897" i="4"/>
  <c r="G1897" i="4"/>
  <c r="H1896" i="4"/>
  <c r="G1896" i="4"/>
  <c r="H1895" i="4"/>
  <c r="G1895" i="4"/>
  <c r="H1894" i="4"/>
  <c r="G1894" i="4"/>
  <c r="H1893" i="4"/>
  <c r="H1892" i="4"/>
  <c r="G1892" i="4"/>
  <c r="H1891" i="4"/>
  <c r="H1890" i="4"/>
  <c r="G1890" i="4"/>
  <c r="H1889" i="4"/>
  <c r="G1889" i="4"/>
  <c r="H1888" i="4"/>
  <c r="G1888" i="4"/>
  <c r="H1887" i="4"/>
  <c r="G1887" i="4"/>
  <c r="H1886" i="4"/>
  <c r="G1886" i="4"/>
  <c r="H1885" i="4"/>
  <c r="G1885" i="4"/>
  <c r="H1884" i="4"/>
  <c r="G1884" i="4"/>
  <c r="H1883" i="4"/>
  <c r="H1882" i="4"/>
  <c r="G1882" i="4"/>
  <c r="H1881" i="4"/>
  <c r="G1881" i="4"/>
  <c r="H1880" i="4"/>
  <c r="G1880" i="4"/>
  <c r="H1879" i="4"/>
  <c r="G1879" i="4"/>
  <c r="H1878" i="4"/>
  <c r="H1877" i="4"/>
  <c r="G1877" i="4"/>
  <c r="H1876" i="4"/>
  <c r="G1876" i="4"/>
  <c r="H1875" i="4"/>
  <c r="G1875" i="4"/>
  <c r="H1874" i="4"/>
  <c r="G1874" i="4"/>
  <c r="H1873" i="4"/>
  <c r="G1873" i="4"/>
  <c r="H1872" i="4"/>
  <c r="G1872" i="4"/>
  <c r="H1871" i="4"/>
  <c r="G1871" i="4"/>
  <c r="H1870" i="4"/>
  <c r="G1870" i="4"/>
  <c r="H1869" i="4"/>
  <c r="G1869" i="4"/>
  <c r="H1868" i="4"/>
  <c r="G1868" i="4"/>
  <c r="H1867" i="4"/>
  <c r="H1866" i="4"/>
  <c r="H1865" i="4"/>
  <c r="G1865" i="4"/>
  <c r="H1864" i="4"/>
  <c r="G1864" i="4"/>
  <c r="H1863" i="4"/>
  <c r="G1863" i="4"/>
  <c r="H1862" i="4"/>
  <c r="G1862" i="4"/>
  <c r="H1861" i="4"/>
  <c r="G1861" i="4"/>
  <c r="H1860" i="4"/>
  <c r="G1860" i="4"/>
  <c r="H1859" i="4"/>
  <c r="H1858" i="4"/>
  <c r="G1858" i="4"/>
  <c r="H1857" i="4"/>
  <c r="G1857" i="4"/>
  <c r="H1856" i="4"/>
  <c r="G1856" i="4"/>
  <c r="H1855" i="4"/>
  <c r="G1855" i="4"/>
  <c r="H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7" i="4"/>
  <c r="H1836" i="4"/>
  <c r="G1836" i="4"/>
  <c r="H1835" i="4"/>
  <c r="H1834" i="4"/>
  <c r="G1834" i="4"/>
  <c r="H1833" i="4"/>
  <c r="G1833" i="4"/>
  <c r="H1832" i="4"/>
  <c r="H1831" i="4"/>
  <c r="H1830" i="4"/>
  <c r="H1829" i="4"/>
  <c r="H1828" i="4"/>
  <c r="G1828" i="4"/>
  <c r="H1827" i="4"/>
  <c r="H1826" i="4"/>
  <c r="G1826" i="4"/>
  <c r="H1825" i="4"/>
  <c r="G1825" i="4"/>
  <c r="H1824" i="4"/>
  <c r="H1823" i="4"/>
  <c r="H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5" i="4"/>
  <c r="G1745" i="4"/>
  <c r="H1744" i="4"/>
  <c r="G1744" i="4"/>
  <c r="H1743" i="4"/>
  <c r="G1743" i="4"/>
  <c r="H1742" i="4"/>
  <c r="G1742" i="4"/>
  <c r="H1741" i="4"/>
  <c r="G1741" i="4"/>
  <c r="H1740" i="4"/>
  <c r="G1740" i="4"/>
  <c r="H1739" i="4"/>
  <c r="G1739" i="4"/>
  <c r="H1738" i="4"/>
  <c r="G1738" i="4"/>
  <c r="H1737" i="4"/>
  <c r="G1737" i="4"/>
  <c r="H1736" i="4"/>
  <c r="G1736" i="4"/>
  <c r="H1735" i="4"/>
  <c r="H1734" i="4"/>
  <c r="H1733" i="4"/>
  <c r="G1733" i="4"/>
  <c r="H1732" i="4"/>
  <c r="G1732" i="4"/>
  <c r="H1731" i="4"/>
  <c r="G1731" i="4"/>
  <c r="H1730" i="4"/>
  <c r="G1730"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H1704" i="4"/>
  <c r="G1704" i="4"/>
  <c r="H1703" i="4"/>
  <c r="G1703" i="4"/>
  <c r="H1702" i="4"/>
  <c r="G1702" i="4"/>
  <c r="H1700" i="4"/>
  <c r="H1699" i="4"/>
  <c r="H1698" i="4"/>
  <c r="H1697" i="4"/>
  <c r="H1696" i="4"/>
  <c r="G1696" i="4"/>
  <c r="H1695" i="4"/>
  <c r="G1695" i="4"/>
  <c r="H1694" i="4"/>
  <c r="G1694" i="4"/>
  <c r="H1693" i="4"/>
  <c r="G1693" i="4"/>
  <c r="H1692" i="4"/>
  <c r="H1691" i="4"/>
  <c r="H1690" i="4"/>
  <c r="H1689" i="4"/>
  <c r="H1688" i="4"/>
  <c r="H1687" i="4"/>
  <c r="H1686" i="4"/>
  <c r="H1685" i="4"/>
  <c r="G1685" i="4"/>
  <c r="H1684" i="4"/>
  <c r="H1683" i="4"/>
  <c r="H1682" i="4"/>
  <c r="H1681" i="4"/>
  <c r="H1680" i="4"/>
  <c r="H1679" i="4"/>
  <c r="G1679" i="4"/>
  <c r="H1678" i="4"/>
  <c r="H1677" i="4"/>
  <c r="H1676" i="4"/>
  <c r="H1675" i="4"/>
  <c r="G1675" i="4"/>
  <c r="H1674" i="4"/>
  <c r="H1673" i="4"/>
  <c r="H1672" i="4"/>
  <c r="H1671" i="4"/>
  <c r="H1670" i="4"/>
  <c r="H1669" i="4"/>
  <c r="G1669" i="4"/>
  <c r="H1668" i="4"/>
  <c r="H1667" i="4"/>
  <c r="H1666" i="4"/>
  <c r="H1665" i="4"/>
  <c r="H1664" i="4"/>
  <c r="H1663" i="4"/>
  <c r="H1662" i="4"/>
  <c r="H1661" i="4"/>
  <c r="H1660" i="4"/>
  <c r="H1659" i="4"/>
  <c r="H1658" i="4"/>
  <c r="H1657" i="4"/>
  <c r="H1656" i="4"/>
  <c r="H1655" i="4"/>
  <c r="H1654" i="4"/>
  <c r="G1654" i="4"/>
  <c r="H1653" i="4"/>
  <c r="G1653" i="4"/>
  <c r="H1652" i="4"/>
  <c r="H1651" i="4"/>
  <c r="G1651" i="4"/>
  <c r="H1650" i="4"/>
  <c r="G1650" i="4"/>
  <c r="H1649" i="4"/>
  <c r="G1649" i="4"/>
  <c r="H1648" i="4"/>
  <c r="G1648" i="4"/>
  <c r="H1647" i="4"/>
  <c r="G1647" i="4"/>
  <c r="H1646" i="4"/>
  <c r="H1645" i="4"/>
  <c r="G1645" i="4"/>
  <c r="H1644" i="4"/>
  <c r="G1644" i="4"/>
  <c r="H1643" i="4"/>
  <c r="G1643" i="4"/>
  <c r="H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H1605" i="4"/>
  <c r="G1605" i="4"/>
  <c r="H1604" i="4"/>
  <c r="H1603" i="4"/>
  <c r="H1602" i="4"/>
  <c r="G1602" i="4"/>
  <c r="H1601" i="4"/>
  <c r="G1601" i="4"/>
  <c r="H1600" i="4"/>
  <c r="G1600" i="4"/>
  <c r="H1599" i="4"/>
  <c r="G1599" i="4"/>
  <c r="H1598" i="4"/>
  <c r="G1598" i="4"/>
  <c r="H1597" i="4"/>
  <c r="G1597" i="4"/>
  <c r="H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H1512" i="4"/>
  <c r="G1512" i="4"/>
  <c r="H1511" i="4"/>
  <c r="G1511" i="4"/>
  <c r="H1510" i="4"/>
  <c r="G1510" i="4"/>
  <c r="H1509" i="4"/>
  <c r="G1509" i="4"/>
  <c r="H1508" i="4"/>
  <c r="G1508" i="4"/>
  <c r="H1507" i="4"/>
  <c r="G1507" i="4"/>
  <c r="H1506" i="4"/>
  <c r="G1506" i="4"/>
  <c r="H1505" i="4"/>
  <c r="G1505" i="4"/>
  <c r="H1504" i="4"/>
  <c r="G1504" i="4"/>
  <c r="H1503" i="4"/>
  <c r="G1503" i="4"/>
  <c r="H1502" i="4"/>
  <c r="H1501" i="4"/>
  <c r="G1501" i="4"/>
  <c r="H1500" i="4"/>
  <c r="G1500" i="4"/>
  <c r="H1499" i="4"/>
  <c r="G1499" i="4"/>
  <c r="H1498" i="4"/>
  <c r="G1498" i="4"/>
  <c r="H1497" i="4"/>
  <c r="G1497" i="4"/>
  <c r="H1496" i="4"/>
  <c r="H1495" i="4"/>
  <c r="H1494" i="4"/>
  <c r="H1493" i="4"/>
  <c r="G1493" i="4"/>
  <c r="H1492" i="4"/>
  <c r="G1492" i="4"/>
  <c r="H1491" i="4"/>
  <c r="G1491" i="4"/>
  <c r="H1490" i="4"/>
  <c r="H1489" i="4"/>
  <c r="H1488" i="4"/>
  <c r="H1487" i="4"/>
  <c r="G1487" i="4"/>
  <c r="H1486" i="4"/>
  <c r="G1486" i="4"/>
  <c r="H1485" i="4"/>
  <c r="G1485" i="4"/>
  <c r="H1484" i="4"/>
  <c r="G1484" i="4"/>
  <c r="H1483" i="4"/>
  <c r="G1483" i="4"/>
  <c r="H1482" i="4"/>
  <c r="G1482" i="4"/>
  <c r="H1481" i="4"/>
  <c r="G1481" i="4"/>
  <c r="H1480" i="4"/>
  <c r="G1480" i="4"/>
  <c r="H1479" i="4"/>
  <c r="G1479" i="4"/>
  <c r="H1478" i="4"/>
  <c r="G1478" i="4"/>
  <c r="H1477" i="4"/>
  <c r="H1476" i="4"/>
  <c r="G1476" i="4"/>
  <c r="H1475" i="4"/>
  <c r="H1474" i="4"/>
  <c r="G1474" i="4"/>
  <c r="H1473" i="4"/>
  <c r="H1472" i="4"/>
  <c r="H1471" i="4"/>
  <c r="H1470" i="4"/>
  <c r="H1469" i="4"/>
  <c r="H1468" i="4"/>
  <c r="H1467" i="4"/>
  <c r="H1466" i="4"/>
  <c r="H1465" i="4"/>
  <c r="H1464" i="4"/>
  <c r="G1464" i="4"/>
  <c r="H1463" i="4"/>
  <c r="G1463" i="4"/>
  <c r="H1462" i="4"/>
  <c r="G1462" i="4"/>
  <c r="H1461" i="4"/>
  <c r="G1461" i="4"/>
  <c r="H1460" i="4"/>
  <c r="G1460" i="4"/>
  <c r="H1459" i="4"/>
  <c r="G1459" i="4"/>
  <c r="H1458" i="4"/>
  <c r="G1458" i="4"/>
  <c r="H1457" i="4"/>
  <c r="H1456" i="4"/>
  <c r="G1456" i="4"/>
  <c r="H1455" i="4"/>
  <c r="G1455" i="4"/>
  <c r="H1454" i="4"/>
  <c r="G1454" i="4"/>
  <c r="H1453" i="4"/>
  <c r="G1453" i="4"/>
  <c r="H1452" i="4"/>
  <c r="G1452" i="4"/>
  <c r="H1451" i="4"/>
  <c r="H1450" i="4"/>
  <c r="G1450" i="4"/>
  <c r="H1449" i="4"/>
  <c r="G1449" i="4"/>
  <c r="H1448" i="4"/>
  <c r="G1448" i="4"/>
  <c r="H1447" i="4"/>
  <c r="G1447" i="4"/>
  <c r="H1446" i="4"/>
  <c r="G1446" i="4"/>
  <c r="H1445" i="4"/>
  <c r="G1445" i="4"/>
  <c r="H1444" i="4"/>
  <c r="G1444" i="4"/>
  <c r="H1443" i="4"/>
  <c r="G1443" i="4"/>
  <c r="H1442" i="4"/>
  <c r="G1442" i="4"/>
  <c r="H1441" i="4"/>
  <c r="H1440" i="4"/>
  <c r="H1439" i="4"/>
  <c r="H1438" i="4"/>
  <c r="G1438" i="4"/>
  <c r="H1437" i="4"/>
  <c r="G1437" i="4"/>
  <c r="H1436" i="4"/>
  <c r="G1436" i="4"/>
  <c r="H1435" i="4"/>
  <c r="H1434" i="4"/>
  <c r="G1434" i="4"/>
  <c r="H1433" i="4"/>
  <c r="G1433" i="4"/>
  <c r="H1432" i="4"/>
  <c r="G1432" i="4"/>
  <c r="H1431" i="4"/>
  <c r="G1431" i="4"/>
  <c r="H1429" i="4"/>
  <c r="H1428" i="4"/>
  <c r="H1427" i="4"/>
  <c r="H1426" i="4"/>
  <c r="H1425" i="4"/>
  <c r="H1424" i="4"/>
  <c r="H1423" i="4"/>
  <c r="H1422" i="4"/>
  <c r="G1422" i="4"/>
  <c r="H1421" i="4"/>
  <c r="G1421" i="4"/>
  <c r="H1420" i="4"/>
  <c r="G1420" i="4"/>
  <c r="H1419" i="4"/>
  <c r="G1419" i="4"/>
  <c r="H1418" i="4"/>
  <c r="G1418" i="4"/>
  <c r="H1417" i="4"/>
  <c r="G1417" i="4"/>
  <c r="H1416" i="4"/>
  <c r="H1415" i="4"/>
  <c r="G1415" i="4"/>
  <c r="H1414" i="4"/>
  <c r="G1414" i="4"/>
  <c r="H1413" i="4"/>
  <c r="G1413" i="4"/>
  <c r="H1412" i="4"/>
  <c r="G1412" i="4"/>
  <c r="H1411" i="4"/>
  <c r="G1411" i="4"/>
  <c r="H1410" i="4"/>
  <c r="G1410" i="4"/>
  <c r="H1409" i="4"/>
  <c r="G1409" i="4"/>
  <c r="H1408" i="4"/>
  <c r="G1408" i="4"/>
  <c r="H1407" i="4"/>
  <c r="G1407" i="4"/>
  <c r="H1406" i="4"/>
  <c r="G1406" i="4"/>
  <c r="H1405" i="4"/>
  <c r="H1404" i="4"/>
  <c r="G1404" i="4"/>
  <c r="H1403" i="4"/>
  <c r="G1403" i="4"/>
  <c r="H1402" i="4"/>
  <c r="G1402" i="4"/>
  <c r="H1401" i="4"/>
  <c r="G1401" i="4"/>
  <c r="H1395" i="4"/>
  <c r="G1395" i="4"/>
  <c r="H1394" i="4"/>
  <c r="G1394" i="4"/>
  <c r="H1393" i="4"/>
  <c r="G1393" i="4"/>
  <c r="H1392" i="4"/>
  <c r="G1392" i="4"/>
  <c r="H1391" i="4"/>
  <c r="G1391" i="4"/>
  <c r="H1390" i="4"/>
  <c r="G1390" i="4"/>
  <c r="H1388" i="4"/>
  <c r="G1388" i="4"/>
  <c r="H1387" i="4"/>
  <c r="G1387" i="4"/>
  <c r="H1386" i="4"/>
  <c r="H1385" i="4"/>
  <c r="H1384" i="4"/>
  <c r="G1384" i="4"/>
  <c r="H1382" i="4"/>
  <c r="G1382" i="4"/>
  <c r="H1381" i="4"/>
  <c r="H1380" i="4"/>
  <c r="G1380" i="4"/>
  <c r="H1379" i="4"/>
  <c r="G1379" i="4"/>
  <c r="H1378" i="4"/>
  <c r="G1378" i="4"/>
  <c r="H1377" i="4"/>
  <c r="G1377" i="4"/>
  <c r="H1376" i="4"/>
  <c r="G1376" i="4"/>
  <c r="H1375" i="4"/>
  <c r="G1375" i="4"/>
  <c r="H1374" i="4"/>
  <c r="H1373" i="4"/>
  <c r="G1373" i="4"/>
  <c r="H1372" i="4"/>
  <c r="G1372" i="4"/>
  <c r="H1371" i="4"/>
  <c r="G1371" i="4"/>
  <c r="H1370" i="4"/>
  <c r="G1370" i="4"/>
  <c r="H1369" i="4"/>
  <c r="G1369" i="4"/>
  <c r="H1368" i="4"/>
  <c r="G1368" i="4"/>
  <c r="H1367" i="4"/>
  <c r="G1367" i="4"/>
  <c r="H1366" i="4"/>
  <c r="G1366" i="4"/>
  <c r="H1365" i="4"/>
  <c r="H1364" i="4"/>
  <c r="G1364" i="4"/>
  <c r="H1363" i="4"/>
  <c r="G1363" i="4"/>
  <c r="H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H1344" i="4"/>
  <c r="G1344" i="4"/>
  <c r="H1343" i="4"/>
  <c r="G1343" i="4"/>
  <c r="H1342" i="4"/>
  <c r="G1342" i="4"/>
  <c r="H1341" i="4"/>
  <c r="G1341" i="4"/>
  <c r="H1340" i="4"/>
  <c r="G1340" i="4"/>
  <c r="H1339" i="4"/>
  <c r="G1339" i="4"/>
  <c r="H1338" i="4"/>
  <c r="G1338" i="4"/>
  <c r="H1337" i="4"/>
  <c r="G1337" i="4"/>
  <c r="H1336" i="4"/>
  <c r="G1336" i="4"/>
  <c r="H1335" i="4"/>
  <c r="H1334" i="4"/>
  <c r="H1333" i="4"/>
  <c r="G1333" i="4"/>
  <c r="H1332" i="4"/>
  <c r="G1332" i="4"/>
  <c r="H1331" i="4"/>
  <c r="G1331" i="4"/>
  <c r="H1330" i="4"/>
  <c r="H1329" i="4"/>
  <c r="G1329" i="4"/>
  <c r="H1328" i="4"/>
  <c r="G1328" i="4"/>
  <c r="H1327" i="4"/>
  <c r="G1327" i="4"/>
  <c r="H1326" i="4"/>
  <c r="G1326" i="4"/>
  <c r="H1325" i="4"/>
  <c r="H1324" i="4"/>
  <c r="H1323" i="4"/>
  <c r="G1323" i="4"/>
  <c r="H1322" i="4"/>
  <c r="G1322" i="4"/>
  <c r="H1321" i="4"/>
  <c r="G1321" i="4"/>
  <c r="H1320" i="4"/>
  <c r="G1320" i="4"/>
  <c r="H1319" i="4"/>
  <c r="G1319" i="4"/>
  <c r="H1318" i="4"/>
  <c r="G1318" i="4"/>
  <c r="H1317" i="4"/>
  <c r="G1317" i="4"/>
  <c r="H1316" i="4"/>
  <c r="H1315" i="4"/>
  <c r="H1314" i="4"/>
  <c r="G1314" i="4"/>
  <c r="H1313" i="4"/>
  <c r="H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H1299" i="4"/>
  <c r="G1299" i="4"/>
  <c r="H1298" i="4"/>
  <c r="G1298" i="4"/>
  <c r="H1297" i="4"/>
  <c r="G1297" i="4"/>
  <c r="H1296" i="4"/>
  <c r="G1296" i="4"/>
  <c r="H1295" i="4"/>
  <c r="H1294" i="4"/>
  <c r="H1293" i="4"/>
  <c r="G1293" i="4"/>
  <c r="H1292" i="4"/>
  <c r="G1292" i="4"/>
  <c r="H1291" i="4"/>
  <c r="G1291" i="4"/>
  <c r="H1290" i="4"/>
  <c r="G1290" i="4"/>
  <c r="H1289" i="4"/>
  <c r="H1288" i="4"/>
  <c r="G1288" i="4"/>
  <c r="H1287" i="4"/>
  <c r="H1286" i="4"/>
  <c r="G1286" i="4"/>
  <c r="H1285" i="4"/>
  <c r="G1285" i="4"/>
  <c r="H1284" i="4"/>
  <c r="G1284" i="4"/>
  <c r="H1283" i="4"/>
  <c r="G1283" i="4"/>
  <c r="H1282" i="4"/>
  <c r="G1282" i="4"/>
  <c r="H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H1253" i="4"/>
  <c r="H1252" i="4"/>
  <c r="H1251" i="4"/>
  <c r="H1250" i="4"/>
  <c r="H1249" i="4"/>
  <c r="G1249" i="4"/>
  <c r="H1248" i="4"/>
  <c r="G1248" i="4"/>
  <c r="H1247" i="4"/>
  <c r="G1247" i="4"/>
  <c r="H1246" i="4"/>
  <c r="G1246" i="4"/>
  <c r="H1245" i="4"/>
  <c r="G1245" i="4"/>
  <c r="H1244" i="4"/>
  <c r="G1244" i="4"/>
  <c r="H1243" i="4"/>
  <c r="G1243" i="4"/>
  <c r="H1242" i="4"/>
  <c r="G1242" i="4"/>
  <c r="H1241" i="4"/>
  <c r="H1240" i="4"/>
  <c r="H1239" i="4"/>
  <c r="G1239" i="4"/>
  <c r="H1238" i="4"/>
  <c r="G1238" i="4"/>
  <c r="H1237" i="4"/>
  <c r="H1236" i="4"/>
  <c r="G1236" i="4"/>
  <c r="H1235" i="4"/>
  <c r="H1234" i="4"/>
  <c r="G1234" i="4"/>
  <c r="H1233" i="4"/>
  <c r="G1233" i="4"/>
  <c r="H1232" i="4"/>
  <c r="G1232" i="4"/>
  <c r="H1231" i="4"/>
  <c r="G1231" i="4"/>
  <c r="H1230" i="4"/>
  <c r="G1230" i="4"/>
  <c r="H1229" i="4"/>
  <c r="G1229" i="4"/>
  <c r="H1228" i="4"/>
  <c r="G1228" i="4"/>
  <c r="H1227" i="4"/>
  <c r="H1226" i="4"/>
  <c r="H1225" i="4"/>
  <c r="H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H1194" i="4"/>
  <c r="H1193" i="4"/>
  <c r="G1193" i="4"/>
  <c r="H1192" i="4"/>
  <c r="G1192" i="4"/>
  <c r="H1191" i="4"/>
  <c r="G1191" i="4"/>
  <c r="H1190" i="4"/>
  <c r="G1190" i="4"/>
  <c r="H1189" i="4"/>
  <c r="G1189" i="4"/>
  <c r="H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H1171" i="4"/>
  <c r="H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H1155" i="4"/>
  <c r="H1154" i="4"/>
  <c r="H1153" i="4"/>
  <c r="H1152" i="4"/>
  <c r="H1151" i="4"/>
  <c r="H1150" i="4"/>
  <c r="G1150" i="4"/>
  <c r="H1149" i="4"/>
  <c r="G1149" i="4"/>
  <c r="H1148" i="4"/>
  <c r="G1148" i="4"/>
  <c r="H1147" i="4"/>
  <c r="H1146" i="4"/>
  <c r="G1146" i="4"/>
  <c r="H1145" i="4"/>
  <c r="G1145" i="4"/>
  <c r="H1144" i="4"/>
  <c r="G1144" i="4"/>
  <c r="H1143" i="4"/>
  <c r="G1143" i="4"/>
  <c r="H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H1127" i="4"/>
  <c r="H1126" i="4"/>
  <c r="H1125" i="4"/>
  <c r="G1125" i="4"/>
  <c r="H1124" i="4"/>
  <c r="G1124" i="4"/>
  <c r="H1123" i="4"/>
  <c r="G1123" i="4"/>
  <c r="H1122" i="4"/>
  <c r="G1122" i="4"/>
  <c r="H1121" i="4"/>
  <c r="G1121" i="4"/>
  <c r="H1120" i="4"/>
  <c r="G1120" i="4"/>
  <c r="H1119" i="4"/>
  <c r="H1118" i="4"/>
  <c r="G1118" i="4"/>
  <c r="H1117" i="4"/>
  <c r="G1117" i="4"/>
  <c r="H1116" i="4"/>
  <c r="G1116" i="4"/>
  <c r="H1115" i="4"/>
  <c r="G1115" i="4"/>
  <c r="H1114" i="4"/>
  <c r="G1114" i="4"/>
  <c r="H1113" i="4"/>
  <c r="H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H1088" i="4"/>
  <c r="G1088" i="4"/>
  <c r="H1087" i="4"/>
  <c r="G1087" i="4"/>
  <c r="H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H1057" i="4"/>
  <c r="G1057" i="4"/>
  <c r="H1056" i="4"/>
  <c r="H1055" i="4"/>
  <c r="H1054" i="4"/>
  <c r="H1053" i="4"/>
  <c r="H1052" i="4"/>
  <c r="H1051" i="4"/>
  <c r="H1050" i="4"/>
  <c r="H1049" i="4"/>
  <c r="H1048" i="4"/>
  <c r="H1047" i="4"/>
  <c r="H1046" i="4"/>
  <c r="H1045" i="4"/>
  <c r="H1044" i="4"/>
  <c r="H1043" i="4"/>
  <c r="H1042" i="4"/>
  <c r="H1041" i="4"/>
  <c r="H1040" i="4"/>
  <c r="H1039" i="4"/>
  <c r="H1038" i="4"/>
  <c r="H1037" i="4"/>
  <c r="H1036" i="4"/>
  <c r="H1035" i="4"/>
  <c r="H1034" i="4"/>
  <c r="H1033" i="4"/>
  <c r="H1032" i="4"/>
  <c r="H1030" i="4"/>
  <c r="H1029" i="4"/>
  <c r="H1028" i="4"/>
  <c r="H1027" i="4"/>
  <c r="H1026" i="4"/>
  <c r="H1025" i="4"/>
  <c r="H1024" i="4"/>
  <c r="H1023" i="4"/>
  <c r="H1022" i="4"/>
  <c r="H1021" i="4"/>
  <c r="H1020" i="4"/>
  <c r="H1019" i="4"/>
  <c r="H1018" i="4"/>
  <c r="H1017" i="4"/>
  <c r="H1016" i="4"/>
  <c r="H1015" i="4"/>
  <c r="H1014" i="4"/>
  <c r="H1013" i="4"/>
  <c r="G1013" i="4"/>
  <c r="H1012" i="4"/>
  <c r="H1011" i="4"/>
  <c r="H1010" i="4"/>
  <c r="H1009" i="4"/>
  <c r="H1008" i="4"/>
  <c r="H1007" i="4"/>
  <c r="H1006" i="4"/>
  <c r="G1006" i="4"/>
  <c r="H1005" i="4"/>
  <c r="G1005" i="4"/>
  <c r="H1004" i="4"/>
  <c r="G1004" i="4"/>
  <c r="H1003" i="4"/>
  <c r="H1002" i="4"/>
  <c r="H1001" i="4"/>
  <c r="H1000" i="4"/>
  <c r="H999" i="4"/>
  <c r="H998" i="4"/>
  <c r="H997" i="4"/>
  <c r="H996" i="4"/>
  <c r="H995" i="4"/>
  <c r="G995" i="4"/>
  <c r="H994" i="4"/>
  <c r="H993" i="4"/>
  <c r="H992" i="4"/>
  <c r="H991" i="4"/>
  <c r="H990" i="4"/>
  <c r="H989" i="4"/>
  <c r="H988" i="4"/>
  <c r="H987" i="4"/>
  <c r="H986" i="4"/>
  <c r="H985" i="4"/>
  <c r="H984" i="4"/>
  <c r="H983" i="4"/>
  <c r="H982" i="4"/>
  <c r="H981" i="4"/>
  <c r="H980" i="4"/>
  <c r="H979" i="4"/>
  <c r="G979" i="4"/>
  <c r="H978" i="4"/>
  <c r="H977" i="4"/>
  <c r="H976" i="4"/>
  <c r="H975" i="4"/>
  <c r="H974" i="4"/>
  <c r="H973" i="4"/>
  <c r="H972" i="4"/>
  <c r="H971" i="4"/>
  <c r="H970" i="4"/>
  <c r="H969" i="4"/>
  <c r="H968" i="4"/>
  <c r="H967" i="4"/>
  <c r="G967" i="4"/>
  <c r="H966" i="4"/>
  <c r="G966" i="4"/>
  <c r="H964" i="4"/>
  <c r="G964" i="4"/>
  <c r="H963" i="4"/>
  <c r="G963" i="4"/>
  <c r="H962" i="4"/>
  <c r="G962" i="4"/>
  <c r="H961" i="4"/>
  <c r="G961" i="4"/>
  <c r="H960" i="4"/>
  <c r="G960" i="4"/>
  <c r="H959" i="4"/>
  <c r="G959" i="4"/>
  <c r="H958" i="4"/>
  <c r="G958" i="4"/>
  <c r="H957" i="4"/>
  <c r="H956" i="4"/>
  <c r="G956" i="4"/>
  <c r="H955" i="4"/>
  <c r="G955" i="4"/>
  <c r="H954" i="4"/>
  <c r="G954" i="4"/>
  <c r="H953" i="4"/>
  <c r="G953" i="4"/>
  <c r="H952" i="4"/>
  <c r="G952" i="4"/>
  <c r="H951" i="4"/>
  <c r="H950" i="4"/>
  <c r="G950" i="4"/>
  <c r="H949" i="4"/>
  <c r="G949" i="4"/>
  <c r="H948" i="4"/>
  <c r="G948" i="4"/>
  <c r="H947" i="4"/>
  <c r="G947" i="4"/>
  <c r="H946" i="4"/>
  <c r="G946" i="4"/>
  <c r="H945" i="4"/>
  <c r="G945" i="4"/>
  <c r="H944" i="4"/>
  <c r="H943" i="4"/>
  <c r="G943" i="4"/>
  <c r="H942" i="4"/>
  <c r="G942" i="4"/>
  <c r="H941" i="4"/>
  <c r="G941" i="4"/>
  <c r="H940" i="4"/>
  <c r="G940" i="4"/>
  <c r="H939" i="4"/>
  <c r="G939" i="4"/>
  <c r="H938" i="4"/>
  <c r="G938" i="4"/>
  <c r="H937" i="4"/>
  <c r="G937" i="4"/>
  <c r="H936" i="4"/>
  <c r="G936" i="4"/>
  <c r="H935" i="4"/>
  <c r="G935" i="4"/>
  <c r="H934" i="4"/>
  <c r="G934" i="4"/>
  <c r="H933" i="4"/>
  <c r="H932" i="4"/>
  <c r="G932" i="4"/>
  <c r="H931" i="4"/>
  <c r="H930" i="4"/>
  <c r="H929" i="4"/>
  <c r="G929" i="4"/>
  <c r="H928" i="4"/>
  <c r="G928" i="4"/>
  <c r="H927" i="4"/>
  <c r="G927" i="4"/>
  <c r="H926" i="4"/>
  <c r="G926" i="4"/>
  <c r="H925" i="4"/>
  <c r="G925" i="4"/>
  <c r="H924" i="4"/>
  <c r="G924" i="4"/>
  <c r="H923" i="4"/>
  <c r="G923" i="4"/>
  <c r="H922" i="4"/>
  <c r="G922" i="4"/>
  <c r="H921" i="4"/>
  <c r="G921" i="4"/>
  <c r="H920" i="4"/>
  <c r="G920" i="4"/>
  <c r="H919" i="4"/>
  <c r="H918" i="4"/>
  <c r="G918" i="4"/>
  <c r="H917" i="4"/>
  <c r="G917" i="4"/>
  <c r="H916" i="4"/>
  <c r="G916" i="4"/>
  <c r="H915" i="4"/>
  <c r="G915" i="4"/>
  <c r="H914" i="4"/>
  <c r="G914" i="4"/>
  <c r="H913" i="4"/>
  <c r="G913" i="4"/>
  <c r="H912" i="4"/>
  <c r="G912" i="4"/>
  <c r="H911" i="4"/>
  <c r="H910" i="4"/>
  <c r="G910" i="4"/>
  <c r="H909" i="4"/>
  <c r="G909" i="4"/>
  <c r="H908" i="4"/>
  <c r="G908" i="4"/>
  <c r="H907" i="4"/>
  <c r="H906" i="4"/>
  <c r="H905" i="4"/>
  <c r="G905" i="4"/>
  <c r="H904" i="4"/>
  <c r="G904" i="4"/>
  <c r="H903" i="4"/>
  <c r="G903" i="4"/>
  <c r="H902" i="4"/>
  <c r="G902" i="4"/>
  <c r="H901" i="4"/>
  <c r="G901" i="4"/>
  <c r="H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H886" i="4"/>
  <c r="H885" i="4"/>
  <c r="H884" i="4"/>
  <c r="G884" i="4"/>
  <c r="H883" i="4"/>
  <c r="G883" i="4"/>
  <c r="H882" i="4"/>
  <c r="G882" i="4"/>
  <c r="H881" i="4"/>
  <c r="H880" i="4"/>
  <c r="H879" i="4"/>
  <c r="H878" i="4"/>
  <c r="H877" i="4"/>
  <c r="H876" i="4"/>
  <c r="H875" i="4"/>
  <c r="G875" i="4"/>
  <c r="H874" i="4"/>
  <c r="G874" i="4"/>
  <c r="H873" i="4"/>
  <c r="H872" i="4"/>
  <c r="G872" i="4"/>
  <c r="H871" i="4"/>
  <c r="G871" i="4"/>
  <c r="H870" i="4"/>
  <c r="G870" i="4"/>
  <c r="H869" i="4"/>
  <c r="G869" i="4"/>
  <c r="H868" i="4"/>
  <c r="G868" i="4"/>
  <c r="H867" i="4"/>
  <c r="G867" i="4"/>
  <c r="H866" i="4"/>
  <c r="G866" i="4"/>
  <c r="H865" i="4"/>
  <c r="G865" i="4"/>
  <c r="H864" i="4"/>
  <c r="G864" i="4"/>
  <c r="H863" i="4"/>
  <c r="G863" i="4"/>
  <c r="H862" i="4"/>
  <c r="H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H847" i="4"/>
  <c r="G847" i="4"/>
  <c r="H846" i="4"/>
  <c r="H845" i="4"/>
  <c r="H844" i="4"/>
  <c r="H843" i="4"/>
  <c r="H842" i="4"/>
  <c r="H841" i="4"/>
  <c r="H840" i="4"/>
  <c r="H839" i="4"/>
  <c r="H838" i="4"/>
  <c r="H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H818" i="4"/>
  <c r="G818" i="4"/>
  <c r="H817" i="4"/>
  <c r="G817" i="4"/>
  <c r="H816" i="4"/>
  <c r="G816" i="4"/>
  <c r="H815" i="4"/>
  <c r="G815" i="4"/>
  <c r="H814" i="4"/>
  <c r="G814" i="4"/>
  <c r="H813" i="4"/>
  <c r="G813" i="4"/>
  <c r="H812" i="4"/>
  <c r="H811" i="4"/>
  <c r="G811" i="4"/>
  <c r="H810" i="4"/>
  <c r="G810" i="4"/>
  <c r="H809" i="4"/>
  <c r="G809" i="4"/>
  <c r="H808" i="4"/>
  <c r="G808" i="4"/>
  <c r="H807" i="4"/>
  <c r="G807" i="4"/>
  <c r="H806" i="4"/>
  <c r="G806" i="4"/>
  <c r="H805" i="4"/>
  <c r="G805" i="4"/>
  <c r="H804" i="4"/>
  <c r="H803" i="4"/>
  <c r="G803" i="4"/>
  <c r="H802" i="4"/>
  <c r="G802" i="4"/>
  <c r="H801" i="4"/>
  <c r="G801" i="4"/>
  <c r="H800" i="4"/>
  <c r="G800"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H771" i="4"/>
  <c r="G771" i="4"/>
  <c r="H770" i="4"/>
  <c r="G770" i="4"/>
  <c r="H769" i="4"/>
  <c r="G769" i="4"/>
  <c r="H768" i="4"/>
  <c r="G768" i="4"/>
  <c r="H767" i="4"/>
  <c r="G767" i="4"/>
  <c r="H766" i="4"/>
  <c r="G766" i="4"/>
  <c r="H765" i="4"/>
  <c r="G765" i="4"/>
  <c r="H764" i="4"/>
  <c r="G764" i="4"/>
  <c r="H763" i="4"/>
  <c r="G763" i="4"/>
  <c r="H762" i="4"/>
  <c r="H761" i="4"/>
  <c r="G761" i="4"/>
  <c r="H760" i="4"/>
  <c r="G760" i="4"/>
  <c r="H759" i="4"/>
  <c r="G759" i="4"/>
  <c r="H758" i="4"/>
  <c r="G758" i="4"/>
  <c r="H757" i="4"/>
  <c r="G757" i="4"/>
  <c r="H756" i="4"/>
  <c r="G756" i="4"/>
  <c r="H755" i="4"/>
  <c r="G755" i="4"/>
  <c r="H754" i="4"/>
  <c r="G754" i="4"/>
  <c r="H753" i="4"/>
  <c r="H752" i="4"/>
  <c r="G752" i="4"/>
  <c r="H751" i="4"/>
  <c r="H750" i="4"/>
  <c r="G750" i="4"/>
  <c r="H749" i="4"/>
  <c r="G749" i="4"/>
  <c r="H748" i="4"/>
  <c r="G748" i="4"/>
  <c r="H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H687" i="4"/>
  <c r="H686" i="4"/>
  <c r="G686" i="4"/>
  <c r="H685" i="4"/>
  <c r="G685" i="4"/>
  <c r="H684" i="4"/>
  <c r="G684" i="4"/>
  <c r="H683" i="4"/>
  <c r="G683" i="4"/>
  <c r="H682" i="4"/>
  <c r="G682" i="4"/>
  <c r="H681" i="4"/>
  <c r="G681" i="4"/>
  <c r="H680" i="4"/>
  <c r="H679" i="4"/>
  <c r="G679" i="4"/>
  <c r="H678" i="4"/>
  <c r="G678" i="4"/>
  <c r="H677" i="4"/>
  <c r="H676" i="4"/>
  <c r="H675" i="4"/>
  <c r="G675" i="4"/>
  <c r="H674" i="4"/>
  <c r="G674" i="4"/>
  <c r="H673" i="4"/>
  <c r="G673" i="4"/>
  <c r="H672" i="4"/>
  <c r="G672" i="4"/>
  <c r="H671" i="4"/>
  <c r="G671" i="4"/>
  <c r="H670" i="4"/>
  <c r="H669" i="4"/>
  <c r="G669" i="4"/>
  <c r="H668" i="4"/>
  <c r="G668" i="4"/>
  <c r="H667" i="4"/>
  <c r="G667" i="4"/>
  <c r="H666" i="4"/>
  <c r="G666" i="4"/>
  <c r="H665" i="4"/>
  <c r="G665" i="4"/>
  <c r="H664" i="4"/>
  <c r="G664" i="4"/>
  <c r="H663" i="4"/>
  <c r="H662" i="4"/>
  <c r="G662" i="4"/>
  <c r="H661" i="4"/>
  <c r="H660" i="4"/>
  <c r="H659" i="4"/>
  <c r="H658" i="4"/>
  <c r="H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H619" i="4"/>
  <c r="G619" i="4"/>
  <c r="H618" i="4"/>
  <c r="G618" i="4"/>
  <c r="H617" i="4"/>
  <c r="G617" i="4"/>
  <c r="H616" i="4"/>
  <c r="G616" i="4"/>
  <c r="H615" i="4"/>
  <c r="H614" i="4"/>
  <c r="G614" i="4"/>
  <c r="H613" i="4"/>
  <c r="H612" i="4"/>
  <c r="G612" i="4"/>
  <c r="H611" i="4"/>
  <c r="G611" i="4"/>
  <c r="H610" i="4"/>
  <c r="G610" i="4"/>
  <c r="H609" i="4"/>
  <c r="G609" i="4"/>
  <c r="H608" i="4"/>
  <c r="G608" i="4"/>
  <c r="H607" i="4"/>
  <c r="G607" i="4"/>
  <c r="H606" i="4"/>
  <c r="G606" i="4"/>
  <c r="H605" i="4"/>
  <c r="H604" i="4"/>
  <c r="H603" i="4"/>
  <c r="H602" i="4"/>
  <c r="H601" i="4"/>
  <c r="H600" i="4"/>
  <c r="H599" i="4"/>
  <c r="G599" i="4"/>
  <c r="H598" i="4"/>
  <c r="H597" i="4"/>
  <c r="G597" i="4"/>
  <c r="H596" i="4"/>
  <c r="G596" i="4"/>
  <c r="H595" i="4"/>
  <c r="H594" i="4"/>
  <c r="H593" i="4"/>
  <c r="G593" i="4"/>
  <c r="H592" i="4"/>
  <c r="G592" i="4"/>
  <c r="H591" i="4"/>
  <c r="H590" i="4"/>
  <c r="G590" i="4"/>
  <c r="H589" i="4"/>
  <c r="G589" i="4"/>
  <c r="H588" i="4"/>
  <c r="G588" i="4"/>
  <c r="H587" i="4"/>
  <c r="G587" i="4"/>
  <c r="H586" i="4"/>
  <c r="G586" i="4"/>
  <c r="H585" i="4"/>
  <c r="H584" i="4"/>
  <c r="H583" i="4"/>
  <c r="G583" i="4"/>
  <c r="H582" i="4"/>
  <c r="G582" i="4"/>
  <c r="H581" i="4"/>
  <c r="H580" i="4"/>
  <c r="G580" i="4"/>
  <c r="H579" i="4"/>
  <c r="G579" i="4"/>
  <c r="H578" i="4"/>
  <c r="G578" i="4"/>
  <c r="H577" i="4"/>
  <c r="H576" i="4"/>
  <c r="G576" i="4"/>
  <c r="H575" i="4"/>
  <c r="H574" i="4"/>
  <c r="G574" i="4"/>
  <c r="H573" i="4"/>
  <c r="G573" i="4"/>
  <c r="H572" i="4"/>
  <c r="G572" i="4"/>
  <c r="H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H529" i="4"/>
  <c r="G529" i="4"/>
  <c r="H528" i="4"/>
  <c r="G528" i="4"/>
  <c r="H527" i="4"/>
  <c r="G527" i="4"/>
  <c r="H526" i="4"/>
  <c r="G526" i="4"/>
  <c r="H525" i="4"/>
  <c r="G525" i="4"/>
  <c r="H524" i="4"/>
  <c r="G524" i="4"/>
  <c r="H523" i="4"/>
  <c r="G523" i="4"/>
  <c r="H521" i="4"/>
  <c r="H520" i="4"/>
  <c r="H519" i="4"/>
  <c r="H518" i="4"/>
  <c r="H517" i="4"/>
  <c r="H516" i="4"/>
  <c r="H515" i="4"/>
  <c r="H514" i="4"/>
  <c r="G514" i="4"/>
  <c r="H513" i="4"/>
  <c r="G513" i="4"/>
  <c r="H512" i="4"/>
  <c r="G512" i="4"/>
  <c r="H511" i="4"/>
  <c r="G511" i="4"/>
  <c r="H510" i="4"/>
  <c r="H509" i="4"/>
  <c r="G509" i="4"/>
  <c r="H508" i="4"/>
  <c r="H507" i="4"/>
  <c r="G507" i="4"/>
  <c r="H506" i="4"/>
  <c r="H505" i="4"/>
  <c r="H504" i="4"/>
  <c r="G504" i="4"/>
  <c r="H503" i="4"/>
  <c r="G503" i="4"/>
  <c r="H502" i="4"/>
  <c r="G502" i="4"/>
  <c r="H501" i="4"/>
  <c r="G501" i="4"/>
  <c r="H500" i="4"/>
  <c r="H499" i="4"/>
  <c r="G499" i="4"/>
  <c r="H498" i="4"/>
  <c r="G498" i="4"/>
  <c r="H497" i="4"/>
  <c r="G497" i="4"/>
  <c r="H496" i="4"/>
  <c r="H495" i="4"/>
  <c r="H494" i="4"/>
  <c r="G494" i="4"/>
  <c r="H493" i="4"/>
  <c r="G493" i="4"/>
  <c r="H492" i="4"/>
  <c r="G492" i="4"/>
  <c r="H491" i="4"/>
  <c r="G491" i="4"/>
  <c r="H490" i="4"/>
  <c r="G490" i="4"/>
  <c r="H489" i="4"/>
  <c r="G489" i="4"/>
  <c r="H488" i="4"/>
  <c r="H487" i="4"/>
  <c r="G487" i="4"/>
  <c r="H486" i="4"/>
  <c r="G486" i="4"/>
  <c r="H485" i="4"/>
  <c r="G485" i="4"/>
  <c r="H484" i="4"/>
  <c r="H483" i="4"/>
  <c r="G483" i="4"/>
  <c r="H482" i="4"/>
  <c r="G482" i="4"/>
  <c r="H481" i="4"/>
  <c r="H480" i="4"/>
  <c r="G480" i="4"/>
  <c r="H479" i="4"/>
  <c r="G479" i="4"/>
  <c r="H478" i="4"/>
  <c r="H477" i="4"/>
  <c r="G477" i="4"/>
  <c r="H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H448" i="4"/>
  <c r="G448" i="4"/>
  <c r="H447" i="4"/>
  <c r="H446" i="4"/>
  <c r="G446" i="4"/>
  <c r="H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H424" i="4"/>
  <c r="H423" i="4"/>
  <c r="H422" i="4"/>
  <c r="H421" i="4"/>
  <c r="H420" i="4"/>
  <c r="G420" i="4"/>
  <c r="H419" i="4"/>
  <c r="G419" i="4"/>
  <c r="H418" i="4"/>
  <c r="H417" i="4"/>
  <c r="H416" i="4"/>
  <c r="H415" i="4"/>
  <c r="H414" i="4"/>
  <c r="G414" i="4"/>
  <c r="H413" i="4"/>
  <c r="H412" i="4"/>
  <c r="G412" i="4"/>
  <c r="H411" i="4"/>
  <c r="G411" i="4"/>
  <c r="H410" i="4"/>
  <c r="H409" i="4"/>
  <c r="H408" i="4"/>
  <c r="G408" i="4"/>
  <c r="H407" i="4"/>
  <c r="H406" i="4"/>
  <c r="H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H391" i="4"/>
  <c r="H390" i="4"/>
  <c r="H389" i="4"/>
  <c r="H388" i="4"/>
  <c r="G388" i="4"/>
  <c r="H387" i="4"/>
  <c r="H386" i="4"/>
  <c r="G386" i="4"/>
  <c r="H385" i="4"/>
  <c r="H384" i="4"/>
  <c r="G384" i="4"/>
  <c r="H383" i="4"/>
  <c r="G383" i="4"/>
  <c r="H382" i="4"/>
  <c r="G382" i="4"/>
  <c r="H381" i="4"/>
  <c r="G381" i="4"/>
  <c r="H380" i="4"/>
  <c r="G380" i="4"/>
  <c r="H379" i="4"/>
  <c r="G379" i="4"/>
  <c r="H378" i="4"/>
  <c r="G378" i="4"/>
  <c r="H377" i="4"/>
  <c r="G377" i="4"/>
  <c r="H376" i="4"/>
  <c r="H375" i="4"/>
  <c r="H374" i="4"/>
  <c r="G374" i="4"/>
  <c r="H373" i="4"/>
  <c r="G373" i="4"/>
  <c r="H372" i="4"/>
  <c r="G372" i="4"/>
  <c r="H371" i="4"/>
  <c r="G371" i="4"/>
  <c r="H370" i="4"/>
  <c r="G370" i="4"/>
  <c r="H368" i="4"/>
  <c r="H367" i="4"/>
  <c r="H366" i="4"/>
  <c r="H365" i="4"/>
  <c r="H359" i="4"/>
  <c r="H358" i="4"/>
  <c r="H357" i="4"/>
  <c r="H356" i="4"/>
  <c r="H355" i="4"/>
  <c r="G355" i="4"/>
  <c r="H354" i="4"/>
  <c r="H353" i="4"/>
  <c r="H352" i="4"/>
  <c r="H351" i="4"/>
  <c r="H350" i="4"/>
  <c r="G350" i="4"/>
  <c r="H349" i="4"/>
  <c r="H348" i="4"/>
  <c r="H347" i="4"/>
  <c r="H346" i="4"/>
  <c r="H345" i="4"/>
  <c r="H344" i="4"/>
  <c r="H343" i="4"/>
  <c r="H342" i="4"/>
  <c r="H341" i="4"/>
  <c r="G341" i="4"/>
  <c r="H340" i="4"/>
  <c r="H339" i="4"/>
  <c r="H338" i="4"/>
  <c r="H337" i="4"/>
  <c r="H336" i="4"/>
  <c r="G336" i="4"/>
  <c r="H335" i="4"/>
  <c r="H334" i="4"/>
  <c r="H333" i="4"/>
  <c r="G333" i="4"/>
  <c r="H332" i="4"/>
  <c r="G332" i="4"/>
  <c r="H331" i="4"/>
  <c r="G331" i="4"/>
  <c r="H330" i="4"/>
  <c r="G330" i="4"/>
  <c r="H329" i="4"/>
  <c r="G329" i="4"/>
  <c r="H328" i="4"/>
  <c r="H327" i="4"/>
  <c r="H326" i="4"/>
  <c r="H325" i="4"/>
  <c r="H324" i="4"/>
  <c r="H323" i="4"/>
  <c r="H322" i="4"/>
  <c r="H321" i="4"/>
  <c r="H320" i="4"/>
  <c r="H319" i="4"/>
  <c r="H318" i="4"/>
  <c r="G318" i="4"/>
  <c r="H317" i="4"/>
  <c r="H316" i="4"/>
  <c r="H315" i="4"/>
  <c r="H314" i="4"/>
  <c r="H313" i="4"/>
  <c r="H312" i="4"/>
  <c r="H311" i="4"/>
  <c r="H310" i="4"/>
  <c r="H309" i="4"/>
  <c r="H308" i="4"/>
  <c r="H307" i="4"/>
  <c r="H306" i="4"/>
  <c r="H305" i="4"/>
  <c r="H304" i="4"/>
  <c r="H303" i="4"/>
  <c r="H302" i="4"/>
  <c r="G302" i="4"/>
  <c r="H301" i="4"/>
  <c r="H300" i="4"/>
  <c r="G300" i="4"/>
  <c r="H299" i="4"/>
  <c r="H298" i="4"/>
  <c r="G298" i="4"/>
  <c r="H297" i="4"/>
  <c r="G297" i="4"/>
  <c r="H296" i="4"/>
  <c r="H295" i="4"/>
  <c r="G295" i="4"/>
  <c r="H294" i="4"/>
  <c r="G294" i="4"/>
  <c r="H293" i="4"/>
  <c r="G293" i="4"/>
  <c r="H292" i="4"/>
  <c r="G292" i="4"/>
  <c r="H291" i="4"/>
  <c r="H290" i="4"/>
  <c r="H289" i="4"/>
  <c r="H288" i="4"/>
  <c r="H287" i="4"/>
  <c r="H286" i="4"/>
  <c r="G286" i="4"/>
  <c r="H285" i="4"/>
  <c r="G285" i="4"/>
  <c r="H284" i="4"/>
  <c r="G284" i="4"/>
  <c r="H283" i="4"/>
  <c r="H282" i="4"/>
  <c r="G282" i="4"/>
  <c r="H281" i="4"/>
  <c r="G281" i="4"/>
  <c r="H280" i="4"/>
  <c r="G280" i="4"/>
  <c r="H279" i="4"/>
  <c r="H278" i="4"/>
  <c r="H277" i="4"/>
  <c r="H276" i="4"/>
  <c r="G276" i="4"/>
  <c r="H275" i="4"/>
  <c r="H274" i="4"/>
  <c r="H273" i="4"/>
  <c r="G273" i="4"/>
  <c r="H272" i="4"/>
  <c r="H271" i="4"/>
  <c r="G271" i="4"/>
  <c r="H270" i="4"/>
  <c r="G270" i="4"/>
  <c r="H269" i="4"/>
  <c r="G269" i="4"/>
  <c r="H268" i="4"/>
  <c r="G268" i="4"/>
  <c r="H267" i="4"/>
  <c r="G267" i="4"/>
  <c r="H266" i="4"/>
  <c r="G266" i="4"/>
  <c r="H265" i="4"/>
  <c r="H264" i="4"/>
  <c r="G264" i="4"/>
  <c r="H263" i="4"/>
  <c r="G263" i="4"/>
  <c r="H262" i="4"/>
  <c r="H261" i="4"/>
  <c r="H260" i="4"/>
  <c r="H259" i="4"/>
  <c r="H258" i="4"/>
  <c r="H257" i="4"/>
  <c r="H256" i="4"/>
  <c r="H255" i="4"/>
  <c r="H254" i="4"/>
  <c r="H253" i="4"/>
  <c r="H252" i="4"/>
  <c r="G252" i="4"/>
  <c r="H251" i="4"/>
  <c r="H250" i="4"/>
  <c r="H249" i="4"/>
  <c r="G249" i="4"/>
  <c r="H248" i="4"/>
  <c r="H247" i="4"/>
  <c r="H246" i="4"/>
  <c r="G246" i="4"/>
  <c r="H245" i="4"/>
  <c r="H244" i="4"/>
  <c r="H243" i="4"/>
  <c r="H242" i="4"/>
  <c r="H241" i="4"/>
  <c r="H240" i="4"/>
  <c r="H239" i="4"/>
  <c r="H238" i="4"/>
  <c r="H237" i="4"/>
  <c r="H236" i="4"/>
  <c r="H235" i="4"/>
  <c r="H234" i="4"/>
  <c r="G234" i="4"/>
  <c r="H233" i="4"/>
  <c r="H232" i="4"/>
  <c r="H231" i="4"/>
  <c r="H230" i="4"/>
  <c r="G230" i="4"/>
  <c r="H229" i="4"/>
  <c r="H228" i="4"/>
  <c r="H227" i="4"/>
  <c r="H226" i="4"/>
  <c r="H225" i="4"/>
  <c r="H224" i="4"/>
  <c r="H223" i="4"/>
  <c r="H222" i="4"/>
  <c r="H221" i="4"/>
  <c r="H220" i="4"/>
  <c r="H219" i="4"/>
  <c r="H218" i="4"/>
  <c r="H217" i="4"/>
  <c r="H216" i="4"/>
  <c r="H215" i="4"/>
  <c r="H214" i="4"/>
  <c r="H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H23" i="4"/>
  <c r="H22" i="4"/>
  <c r="H21" i="4"/>
  <c r="H20" i="4"/>
  <c r="H19" i="4"/>
  <c r="G19" i="4"/>
  <c r="H18" i="4"/>
  <c r="G18" i="4"/>
  <c r="H17" i="4"/>
  <c r="H16" i="4"/>
  <c r="H15" i="4"/>
  <c r="H14" i="4"/>
  <c r="H13" i="4"/>
  <c r="G13" i="4"/>
  <c r="H12" i="4"/>
  <c r="H11" i="4"/>
  <c r="G11" i="4"/>
  <c r="H10" i="4"/>
  <c r="H9" i="4"/>
  <c r="H8" i="4"/>
  <c r="G8" i="4"/>
  <c r="H7" i="4"/>
  <c r="H6" i="4"/>
  <c r="G6" i="4"/>
  <c r="H5" i="4"/>
  <c r="G5" i="4"/>
  <c r="H4" i="4"/>
  <c r="G4" i="4"/>
  <c r="H3" i="4"/>
  <c r="G3" i="4"/>
  <c r="H2" i="4"/>
  <c r="G1729" i="4" l="1"/>
  <c r="F1729" i="4"/>
  <c r="H1729" i="4"/>
  <c r="H1746" i="4"/>
  <c r="F1746" i="4"/>
  <c r="G1746" i="4"/>
  <c r="H1838" i="4"/>
  <c r="G1838" i="4"/>
  <c r="F1838" i="4"/>
  <c r="G1747" i="4"/>
  <c r="F1747" i="4"/>
  <c r="H1747" i="4"/>
  <c r="G1728" i="4"/>
  <c r="F1728" i="4"/>
  <c r="H172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Abir aikath</author>
    <author>Shubham</author>
  </authors>
  <commentList>
    <comment ref="H9" authorId="0" shapeId="0" xr:uid="{E320895E-8B27-4E5D-960B-050168EB042C}">
      <text>
        <r>
          <rPr>
            <b/>
            <sz val="9"/>
            <color indexed="81"/>
            <rFont val="Tahoma"/>
            <family val="2"/>
          </rPr>
          <t>Abir aikath:</t>
        </r>
        <r>
          <rPr>
            <sz val="9"/>
            <color indexed="81"/>
            <rFont val="Tahoma"/>
            <family val="2"/>
          </rPr>
          <t xml:space="preserve">
UPDATED BY ABIR
</t>
        </r>
      </text>
    </comment>
    <comment ref="E20" authorId="1" shapeId="0" xr:uid="{35D39B5B-4B26-47E8-A5B5-7C4476E39ACA}">
      <text>
        <r>
          <rPr>
            <b/>
            <sz val="9"/>
            <color indexed="81"/>
            <rFont val="Tahoma"/>
            <family val="2"/>
          </rPr>
          <t>Shubham:</t>
        </r>
        <r>
          <rPr>
            <sz val="9"/>
            <color indexed="81"/>
            <rFont val="Tahoma"/>
            <family val="2"/>
          </rPr>
          <t xml:space="preserve">
TO BE UPDATED BY ABIR</t>
        </r>
      </text>
    </comment>
    <comment ref="E27" authorId="1" shapeId="0" xr:uid="{080A940C-0C08-4AF4-897E-F23C3EDFF6EF}">
      <text>
        <r>
          <rPr>
            <b/>
            <sz val="9"/>
            <color indexed="81"/>
            <rFont val="Tahoma"/>
            <family val="2"/>
          </rPr>
          <t>Shubham:</t>
        </r>
        <r>
          <rPr>
            <sz val="9"/>
            <color indexed="81"/>
            <rFont val="Tahoma"/>
            <family val="2"/>
          </rPr>
          <t xml:space="preserve">
TO BE UPDATED BY ABIR </t>
        </r>
      </text>
    </comment>
    <comment ref="E28" authorId="1" shapeId="0" xr:uid="{9D83E2E7-184A-4547-AEA8-71609763E829}">
      <text>
        <r>
          <rPr>
            <b/>
            <sz val="9"/>
            <color indexed="81"/>
            <rFont val="Tahoma"/>
            <family val="2"/>
          </rPr>
          <t>Shubham:</t>
        </r>
        <r>
          <rPr>
            <sz val="9"/>
            <color indexed="81"/>
            <rFont val="Tahoma"/>
            <family val="2"/>
          </rPr>
          <t xml:space="preserve">
TO BE UPDATED BY ABIR </t>
        </r>
      </text>
    </comment>
    <comment ref="E30" authorId="0" shapeId="0" xr:uid="{1AC81396-99C5-422A-84CE-9B13A694AEC9}">
      <text>
        <r>
          <rPr>
            <b/>
            <sz val="9"/>
            <color indexed="81"/>
            <rFont val="Tahoma"/>
            <family val="2"/>
          </rPr>
          <t>Abir aikath:</t>
        </r>
        <r>
          <rPr>
            <sz val="9"/>
            <color indexed="81"/>
            <rFont val="Tahoma"/>
            <family val="2"/>
          </rPr>
          <t xml:space="preserve">
SHOPS: 24-11-2023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pc-4</author>
    <author>Aayushi</author>
    <author>Abc</author>
  </authors>
  <commentList>
    <comment ref="F294" authorId="0" shapeId="0" xr:uid="{38ACC265-9D4B-4EE2-AC8C-158F5A25A536}">
      <text>
        <r>
          <rPr>
            <b/>
            <sz val="9"/>
            <color indexed="81"/>
            <rFont val="Tahoma"/>
            <family val="2"/>
          </rPr>
          <t>pc-4:</t>
        </r>
        <r>
          <rPr>
            <sz val="9"/>
            <color indexed="81"/>
            <rFont val="Tahoma"/>
            <family val="2"/>
          </rPr>
          <t xml:space="preserve">
</t>
        </r>
        <r>
          <rPr>
            <sz val="10"/>
            <color indexed="81"/>
            <rFont val="Times New Roman"/>
            <family val="1"/>
          </rPr>
          <t>ON PAYMENT RECEIPT IT WAS MENTIONED FOR TWO YEARS.</t>
        </r>
      </text>
    </comment>
    <comment ref="F801" authorId="1" shapeId="0" xr:uid="{9ABB8BEC-710B-4AF8-BAE9-B42D68BFBEED}">
      <text>
        <r>
          <rPr>
            <b/>
            <sz val="9"/>
            <color indexed="81"/>
            <rFont val="Tahoma"/>
            <family val="2"/>
          </rPr>
          <t>Aayushi:KITCHEN SHIFTING</t>
        </r>
      </text>
    </comment>
    <comment ref="F1265" authorId="1" shapeId="0" xr:uid="{1EB4DD6E-1E51-402E-8D17-F76CCFBD3A57}">
      <text>
        <r>
          <rPr>
            <b/>
            <sz val="9"/>
            <color indexed="81"/>
            <rFont val="Tahoma"/>
            <family val="2"/>
          </rPr>
          <t>Aayushi:</t>
        </r>
        <r>
          <rPr>
            <sz val="9"/>
            <color indexed="81"/>
            <rFont val="Tahoma"/>
            <family val="2"/>
          </rPr>
          <t xml:space="preserve">
Mall Noc expiry dated 29-11-2025
</t>
        </r>
      </text>
    </comment>
    <comment ref="F1285" authorId="0" shapeId="0" xr:uid="{F6F499A3-7134-4FF3-B546-A8C651CFAD4D}">
      <text>
        <r>
          <rPr>
            <b/>
            <sz val="9"/>
            <color indexed="81"/>
            <rFont val="Tahoma"/>
            <family val="2"/>
          </rPr>
          <t>pc-4:</t>
        </r>
        <r>
          <rPr>
            <sz val="9"/>
            <color indexed="81"/>
            <rFont val="Tahoma"/>
            <family val="2"/>
          </rPr>
          <t xml:space="preserve">
3 YRS 31-03-YY</t>
        </r>
      </text>
    </comment>
    <comment ref="F1336" authorId="0" shapeId="0" xr:uid="{7418718E-1AA1-4ED8-A3D1-E77493E95644}">
      <text>
        <r>
          <rPr>
            <b/>
            <sz val="14"/>
            <color indexed="81"/>
            <rFont val="Tahoma"/>
            <family val="2"/>
          </rPr>
          <t>pc-4:</t>
        </r>
        <r>
          <rPr>
            <sz val="14"/>
            <color indexed="81"/>
            <rFont val="Tahoma"/>
            <family val="2"/>
          </rPr>
          <t xml:space="preserve">
AS PER BUILDING FIRE NOC VALID DATE </t>
        </r>
      </text>
    </comment>
    <comment ref="F1646" authorId="0" shapeId="0" xr:uid="{549EF233-88A4-41A0-8E26-C5A539C1903C}">
      <text>
        <r>
          <rPr>
            <b/>
            <sz val="14"/>
            <color indexed="81"/>
            <rFont val="Tahoma"/>
            <family val="2"/>
          </rPr>
          <t>pc-4:</t>
        </r>
        <r>
          <rPr>
            <sz val="14"/>
            <color indexed="81"/>
            <rFont val="Tahoma"/>
            <family val="2"/>
          </rPr>
          <t xml:space="preserve">
BY COMPANY OBTAINE</t>
        </r>
        <r>
          <rPr>
            <sz val="9"/>
            <color indexed="81"/>
            <rFont val="Tahoma"/>
            <family val="2"/>
          </rPr>
          <t>D</t>
        </r>
      </text>
    </comment>
    <comment ref="F1649" authorId="0" shapeId="0" xr:uid="{3483255B-B808-4CD6-8210-9CFC1C22C2F8}">
      <text>
        <r>
          <rPr>
            <sz val="14"/>
            <color indexed="81"/>
            <rFont val="Tahoma"/>
            <family val="2"/>
          </rPr>
          <t>:
BY COMPANY OBTAINED</t>
        </r>
      </text>
    </comment>
    <comment ref="F1650" authorId="0" shapeId="0" xr:uid="{6A55F415-6613-48C5-9B7E-CDACC15F61DF}">
      <text>
        <r>
          <rPr>
            <b/>
            <sz val="14"/>
            <color indexed="81"/>
            <rFont val="Tahoma"/>
            <family val="2"/>
          </rPr>
          <t>pc-4:</t>
        </r>
        <r>
          <rPr>
            <sz val="14"/>
            <color indexed="81"/>
            <rFont val="Tahoma"/>
            <family val="2"/>
          </rPr>
          <t xml:space="preserve">
BY COMPANY OBTAINED</t>
        </r>
      </text>
    </comment>
    <comment ref="F1798" authorId="1" shapeId="0" xr:uid="{C5B7F3E1-A077-4318-A34B-2E2D931A637F}">
      <text>
        <r>
          <rPr>
            <b/>
            <sz val="9"/>
            <color indexed="81"/>
            <rFont val="Tahoma"/>
            <family val="2"/>
          </rPr>
          <t>Aayushi:</t>
        </r>
        <r>
          <rPr>
            <sz val="9"/>
            <color indexed="81"/>
            <rFont val="Tahoma"/>
            <family val="2"/>
          </rPr>
          <t xml:space="preserve">
NILESH MOBILE NUMBER FOR FSSAI LOGIN
</t>
        </r>
      </text>
    </comment>
    <comment ref="F1813" authorId="1" shapeId="0" xr:uid="{029D3306-C0D0-45BB-BFAA-C2FF3D7EFAE8}">
      <text>
        <r>
          <rPr>
            <b/>
            <sz val="9"/>
            <color indexed="81"/>
            <rFont val="Tahoma"/>
            <family val="2"/>
          </rPr>
          <t>Aayushi:</t>
        </r>
        <r>
          <rPr>
            <sz val="9"/>
            <color indexed="81"/>
            <rFont val="Tahoma"/>
            <family val="2"/>
          </rPr>
          <t xml:space="preserve">
MOBILE NUMBER SOMEELSE FOR FSSAI LOGIN
</t>
        </r>
      </text>
    </comment>
    <comment ref="E1852" authorId="2" shapeId="0" xr:uid="{6D04952A-7D52-4E83-A413-F67C4E1C1236}">
      <text>
        <r>
          <rPr>
            <b/>
            <sz val="9"/>
            <color indexed="81"/>
            <rFont val="Tahoma"/>
            <family val="2"/>
          </rPr>
          <t>Abc:</t>
        </r>
        <r>
          <rPr>
            <sz val="9"/>
            <color indexed="81"/>
            <rFont val="Tahoma"/>
            <family val="2"/>
          </rPr>
          <t xml:space="preserve">
email received today about closer</t>
        </r>
      </text>
    </comment>
  </commentList>
</comments>
</file>

<file path=xl/sharedStrings.xml><?xml version="1.0" encoding="utf-8"?>
<sst xmlns="http://schemas.openxmlformats.org/spreadsheetml/2006/main" count="12801" uniqueCount="3036">
  <si>
    <t>SR NO</t>
  </si>
  <si>
    <t>STATE</t>
  </si>
  <si>
    <t>URL</t>
  </si>
  <si>
    <t>COMMENTS</t>
  </si>
  <si>
    <t>LOGIN ID</t>
  </si>
  <si>
    <t>PASSWORD</t>
  </si>
  <si>
    <t>MAHARSHTRA (MUMBAI)</t>
  </si>
  <si>
    <t>https://portal.mcgm.gov.in/irj/portal/anonymous/qlsaeoService</t>
  </si>
  <si>
    <t>BMC REGION(ONLY MUMBAI)</t>
  </si>
  <si>
    <t xml:space="preserve">REST OF MAHARASHTRA </t>
  </si>
  <si>
    <t>https://maitri.mahaonline.gov.in/Login/Login</t>
  </si>
  <si>
    <t xml:space="preserve">WHOLE MAHARSHTRA EXCLUDING MUMBAI REGION </t>
  </si>
  <si>
    <t>KARNATAKA</t>
  </si>
  <si>
    <t>http://164.100.133.176/ekarmika/Static/Home.aspx</t>
  </si>
  <si>
    <t>DELHI</t>
  </si>
  <si>
    <t>http://labourcis.nic.in/</t>
  </si>
  <si>
    <t>MADHYA PRADESH</t>
  </si>
  <si>
    <t>http://www.labour.mp.gov.in/Est/public/Establishment_Apply.aspx</t>
  </si>
  <si>
    <t>ANDHRA PRADESH</t>
  </si>
  <si>
    <t>https://onlineap.meeseva.gov.in/CitizenPortal/UserInterface/Citizen/CitizenHome.aspx#</t>
  </si>
  <si>
    <t>WEST BENGAL</t>
  </si>
  <si>
    <t>https://wbshopsonline.gov.in/#</t>
  </si>
  <si>
    <t>KERALA</t>
  </si>
  <si>
    <t>https://lcas.lc.kerala.gov.in/office/registration/onlinemain_online_pay.php</t>
  </si>
  <si>
    <t>LABOUR WELLFARE</t>
  </si>
  <si>
    <t>TAMIL NADU</t>
  </si>
  <si>
    <t>https://labour.tn.gov.in/services/users/login</t>
  </si>
  <si>
    <t>GUJARAT</t>
  </si>
  <si>
    <t>OFFLINE</t>
  </si>
  <si>
    <t>PEC / PRC</t>
  </si>
  <si>
    <t>(AHMEDABAD)</t>
  </si>
  <si>
    <t>(SURAT)</t>
  </si>
  <si>
    <t>https://www.suratmunicipal.gov.in/OnlineServices/Home/UserRegistration</t>
  </si>
  <si>
    <t>VADODARA</t>
  </si>
  <si>
    <t>RAJKOT</t>
  </si>
  <si>
    <t>http://www.rmc.gov.in/rmcwebsite/frm_shop_registration.aspx</t>
  </si>
  <si>
    <t>RAJASTHAN</t>
  </si>
  <si>
    <t>https://ldms.rajasthan.gov.in/LDMS/RegistrationAmendment/AddShopAndCommercialReg.aspx?id=1</t>
  </si>
  <si>
    <t>BRN GENERATION</t>
  </si>
  <si>
    <t>CLIENTCOMPLIANCEII</t>
  </si>
  <si>
    <t>Vashi@703</t>
  </si>
  <si>
    <t xml:space="preserve">HARYANA </t>
  </si>
  <si>
    <t>UTTAR PRADESH</t>
  </si>
  <si>
    <t>https://niveshmitra.up.nic.in/</t>
  </si>
  <si>
    <t>PUNJAB</t>
  </si>
  <si>
    <t>https://pblabour.gov.in/eLabour/Account/Login</t>
  </si>
  <si>
    <t>CHANDIGARH ()</t>
  </si>
  <si>
    <t>http://labour.chd.gov.in/</t>
  </si>
  <si>
    <t>HIMACHAL PRADESH</t>
  </si>
  <si>
    <t>http://labour.hp.gov.in/Default.aspx</t>
  </si>
  <si>
    <t xml:space="preserve">TELANGANA </t>
  </si>
  <si>
    <t>https://labour.telangana.gov.in/home.do</t>
  </si>
  <si>
    <t xml:space="preserve">BIHAR </t>
  </si>
  <si>
    <t>https://serviceonline.gov.in/viewServiceApplicationForm.do?serviceId=5280001&amp;tempId=1583&amp;templStatus=243&amp;state=10&amp;backButtonUrl=&amp;OWASP_CSRFTOKEN=0H3H-DE0Y-7O94-35J7-NZ85-05DF-G9GZ-4P2J</t>
  </si>
  <si>
    <t xml:space="preserve">ARUNACHAL PRADESH </t>
  </si>
  <si>
    <t>https://www.shopandlabour.com/form/shop-act-shop-licence-registraion</t>
  </si>
  <si>
    <t xml:space="preserve">UTTRAKHAND </t>
  </si>
  <si>
    <t>https://uklabouracts.in/</t>
  </si>
  <si>
    <t xml:space="preserve">NOT REQURIED IF THE EMPLOYEES ARE LESS THAN 10 </t>
  </si>
  <si>
    <t xml:space="preserve">GOA </t>
  </si>
  <si>
    <t>https://goaonline.gov.in/Public/Login?_d=LEM&amp;_s=LEM3701</t>
  </si>
  <si>
    <t>CHATTISGHARH</t>
  </si>
  <si>
    <t>https://cglabour.nic.in/ShramAyukt/EODSERVICES.aspx?ID=10</t>
  </si>
  <si>
    <t>JAMMU AND KASHMIR</t>
  </si>
  <si>
    <t>https://www.jklabour.com/welcome/home</t>
  </si>
  <si>
    <t xml:space="preserve">JHARKHAND </t>
  </si>
  <si>
    <t>https://advantage.jharkhand.gov.in/SingleWindow/users/login</t>
  </si>
  <si>
    <t>MANIPUR</t>
  </si>
  <si>
    <t>http://www.manipurlabour.in/Account/Login?ReturnUrl=%2Fregulation%2Fshop-and-est-registration</t>
  </si>
  <si>
    <t>ONLY FOR FOOD BUSINESS</t>
  </si>
  <si>
    <t>MEGHALAYA</t>
  </si>
  <si>
    <t>http://www.meglc.gov.in/forms.html</t>
  </si>
  <si>
    <t>MIZORAM</t>
  </si>
  <si>
    <t>https://eodbmizoram.gov.in/labour-skill-development-and-entreprenuership/online-services</t>
  </si>
  <si>
    <t>NAGALAND</t>
  </si>
  <si>
    <t xml:space="preserve">ORISSA </t>
  </si>
  <si>
    <t>https://pareshram-labour.odisha.gov.in/pareshram/login</t>
  </si>
  <si>
    <t>SIKKIM</t>
  </si>
  <si>
    <t>http://www.labour.sikkim.gov.in/ActsDetails?&amp;menuid=5</t>
  </si>
  <si>
    <t>TRIPURA</t>
  </si>
  <si>
    <t>https://shramsuvidha.tripura.gov.in/Labour/User/frmAddPersonal.aspx</t>
  </si>
  <si>
    <t>NA</t>
  </si>
  <si>
    <t>ANDAMAN AND NIKKOBAR ISLAND</t>
  </si>
  <si>
    <t>http://andssw1.and.nic.in/labour/registration/registration.php</t>
  </si>
  <si>
    <t>DADRA NAGAR HAVELI</t>
  </si>
  <si>
    <t>LAKSHADWEEP</t>
  </si>
  <si>
    <t>PONDICHERRY</t>
  </si>
  <si>
    <t>https://loe.py.gov.in/sinjsp.do</t>
  </si>
  <si>
    <t>ASSAM</t>
  </si>
  <si>
    <t>https://labourcommissioner.assam.gov.in/</t>
  </si>
  <si>
    <t>DAMAN AND DIU</t>
  </si>
  <si>
    <t>MUNICIPAL CORPORTAION</t>
  </si>
  <si>
    <t>WESBITE</t>
  </si>
  <si>
    <t>NAVI MUMBAI MUNICIPAL CORPORTAION</t>
  </si>
  <si>
    <t>https://www.nmmc.gov.in/</t>
  </si>
  <si>
    <t>THANE MUNICIPAL CORPORTAION</t>
  </si>
  <si>
    <t>https://thanecity.gov.in/tmc/CitizenHome.html</t>
  </si>
  <si>
    <t>KALYAN-DOMBIVALI MUNICIPAL CORPORATION</t>
  </si>
  <si>
    <t>https://kdmc.gov.in/kdmc/CitizenHome.html</t>
  </si>
  <si>
    <t>MIRA-BHAYANDER MUNICIPAL CORPORTAION</t>
  </si>
  <si>
    <t>https://www.mbmc.gov.in/</t>
  </si>
  <si>
    <t>VASAI-VIRAR MUNICIPAL CORPORTAION</t>
  </si>
  <si>
    <t>https://vvcmc.in/</t>
  </si>
  <si>
    <t>PANVEL MUNICIPAL CORPORTION</t>
  </si>
  <si>
    <t>https://www.panvelcorporation.com/</t>
  </si>
  <si>
    <t>ULHASNAGAR MUNICIPAL CORPORATION</t>
  </si>
  <si>
    <t>https://umc.gov.in/</t>
  </si>
  <si>
    <t>BRUHAT BENGALURU MAHANAGARA PALIKE</t>
  </si>
  <si>
    <t>https://bbmp.gov.in/home</t>
  </si>
  <si>
    <t>PUDUCHERRY MUNICIPAL CORPORATION</t>
  </si>
  <si>
    <t>https://pdymun.in/</t>
  </si>
  <si>
    <t>INDORE MUNICIPAL CORPORATION</t>
  </si>
  <si>
    <t>https://www.mpenagarpalika.gov.in/irj/portal/anonymous</t>
  </si>
  <si>
    <t>KERALA MUNICIPAL CORPORATION</t>
  </si>
  <si>
    <t>https://ksmart.lsgkerala.gov.in/ui/web-portal</t>
  </si>
  <si>
    <t>HYDERABAD MUNICIPAL CORPORATION</t>
  </si>
  <si>
    <t>https://www.ghmc.gov.in/</t>
  </si>
  <si>
    <t>LUCKNOW MUNICIPAL CORPORATION</t>
  </si>
  <si>
    <t>https://e-nagarsewaup.gov.in/ulbappsmain/home</t>
  </si>
  <si>
    <t>MUNICIPAL CORPORATION LUDHIANA</t>
  </si>
  <si>
    <t>https://mcludhiana.gov.in/Services.aspx?Id=5Uyn39EsyvIMvRPHlKP4Fg%3d%3d</t>
  </si>
  <si>
    <t>MUNICIPAL CORPORATION ZIRAKPUR</t>
  </si>
  <si>
    <t>https://mczirakpur.org/</t>
  </si>
  <si>
    <t>KOLKATA MUNICIPAL CORPORATION (REST OF WEST BENGAL)</t>
  </si>
  <si>
    <t>https://www.kmcgov.in/KMCPortal/jsp/KMCPortalHome1.jsp</t>
  </si>
  <si>
    <t>GUWAHATI MUNICIPAL CORPORATION (GMC)</t>
  </si>
  <si>
    <t>https://gmc.assam.gov.in/</t>
  </si>
  <si>
    <t>VADODARA MUNICIPAL CORPORATION (VMC)</t>
  </si>
  <si>
    <t>https://vmc.gov.in/</t>
  </si>
  <si>
    <t>AHMEDABAD MUNICIPAL CORPORATION (AMC)</t>
  </si>
  <si>
    <t>https://ahmedabadcity.gov.in/</t>
  </si>
  <si>
    <t>SURAT MUNICIPAL CORPORATION</t>
  </si>
  <si>
    <t>https://www.suratmunicipal.gov.in/</t>
  </si>
  <si>
    <t>GANDHINAGAR MUNICIPAL CORPORATION</t>
  </si>
  <si>
    <t>https://gandhinagarmunicipal.com/</t>
  </si>
  <si>
    <t>BHUBANESWAR MUNICIPAL CORPORATION</t>
  </si>
  <si>
    <t>https://www.bhubaneswar.me/</t>
  </si>
  <si>
    <t>RANCHI MUNICIPAL CORPORATION</t>
  </si>
  <si>
    <t>https://www.ranchimunicipal.com/</t>
  </si>
  <si>
    <t>MUNICIPAL CORPORATION OF DELHI</t>
  </si>
  <si>
    <t>https://mcdonline.nic.in/portal</t>
  </si>
  <si>
    <t>MYSORE CITY CORPORATION</t>
  </si>
  <si>
    <t>https://mysurucitycorporation.co.in/WebSiteMysuru/PropertySearch.aspx</t>
  </si>
  <si>
    <t>AGARTALA MUNICIPAL CORPORATION</t>
  </si>
  <si>
    <t>https://amcservices.agartalasmartcityservices.in/amc/</t>
  </si>
  <si>
    <t>WEST BENGAL (EXCUDING KOLKATA MUNICIPAL CORPORATION)</t>
  </si>
  <si>
    <t>https://edistrict.wb.gov.in/portal/home</t>
  </si>
  <si>
    <t>WOW MOMO FOODS PVT LTD</t>
  </si>
  <si>
    <t>MALAD WEST METRO STATION</t>
  </si>
  <si>
    <t>FSSAI MODIFY</t>
  </si>
  <si>
    <t>SHUBHAM</t>
  </si>
  <si>
    <t xml:space="preserve">REJECTED </t>
  </si>
  <si>
    <t xml:space="preserve">COFFEE DAY GLOBAL LIMITED </t>
  </si>
  <si>
    <t>JNC KORAMANGALA, BANGALORE</t>
  </si>
  <si>
    <t xml:space="preserve">GMST APP </t>
  </si>
  <si>
    <t>SUNDHAR</t>
  </si>
  <si>
    <t>REJECTED</t>
  </si>
  <si>
    <t xml:space="preserve">IOC CHENGAPALLI TAMIL NADU </t>
  </si>
  <si>
    <t xml:space="preserve">PROZONE MALL COIMBATORE </t>
  </si>
  <si>
    <t xml:space="preserve">KCT COIMBATORE </t>
  </si>
  <si>
    <t xml:space="preserve">RACE COURSE ROAD COIMBATORE </t>
  </si>
  <si>
    <t>GMST APP</t>
  </si>
  <si>
    <t>KARUNYA UNIVERSITY COIM'TUR</t>
  </si>
  <si>
    <t xml:space="preserve"> CUREFOODS INDIA PRIVATE LTD</t>
  </si>
  <si>
    <t>JAIPUR</t>
  </si>
  <si>
    <t>TRADE LICENSE</t>
  </si>
  <si>
    <t>KAPIL SHARMA</t>
  </si>
  <si>
    <t xml:space="preserve">PERUNGUDI CHENNAI </t>
  </si>
  <si>
    <t xml:space="preserve">TLC APP </t>
  </si>
  <si>
    <t xml:space="preserve">KARAPAKKAM CHENNAI </t>
  </si>
  <si>
    <t xml:space="preserve">MOHAPARI CHENNAI </t>
  </si>
  <si>
    <t>ADYAR CHENNAI</t>
  </si>
  <si>
    <t xml:space="preserve">UTTAM NAGAR DWARKA DELHI </t>
  </si>
  <si>
    <t xml:space="preserve">HLC APP </t>
  </si>
  <si>
    <t>AAYUSHI</t>
  </si>
  <si>
    <t>NOT POSSIBLE</t>
  </si>
  <si>
    <t xml:space="preserve">VASANT KUNJ DELHI </t>
  </si>
  <si>
    <t xml:space="preserve">FSSAI MODIFY </t>
  </si>
  <si>
    <t>PRAMUKH CYPRUS, GANDHI NAGAR</t>
  </si>
  <si>
    <t>TO BE RE-INITATED</t>
  </si>
  <si>
    <t xml:space="preserve">GK KITCHEN </t>
  </si>
  <si>
    <t xml:space="preserve">MAYUR VIHAR DELHI </t>
  </si>
  <si>
    <t xml:space="preserve">NONGPOW SHILONG GUWATHI </t>
  </si>
  <si>
    <t>FSSAI APP</t>
  </si>
  <si>
    <t>ACTOSERBA ACTIVE WHOLESALE LTD</t>
  </si>
  <si>
    <t xml:space="preserve">COMMERCIAL STREET BANGALORE </t>
  </si>
  <si>
    <t xml:space="preserve">JIMIS BURGER LLP </t>
  </si>
  <si>
    <t xml:space="preserve">JIMIS BURGER SATRA PLAZA </t>
  </si>
  <si>
    <t xml:space="preserve">TLC RENEWAL </t>
  </si>
  <si>
    <t>PUREPLAY SKIN SCIENCES INDIA PVT LTD</t>
  </si>
  <si>
    <t>VIJAYWADA AIRPORT</t>
  </si>
  <si>
    <t>TLC</t>
  </si>
  <si>
    <t>NOT APPLICABLE</t>
  </si>
  <si>
    <t>BESTECH CHAMBERS, GURGAON</t>
  </si>
  <si>
    <t>ENRICH HAIR AND SKIN SOLUTIONS PVT LTD</t>
  </si>
  <si>
    <t>KHARGHAR SECTOR-35</t>
  </si>
  <si>
    <t>SE | TLC | SIGNAGE</t>
  </si>
  <si>
    <t>YET TO INITIATE</t>
  </si>
  <si>
    <t>MALL OF MYSORE, MYSORE</t>
  </si>
  <si>
    <t>DD PENDING</t>
  </si>
  <si>
    <t>VIJAYWADA OUTLET</t>
  </si>
  <si>
    <t xml:space="preserve">HOTEL AMRUT </t>
  </si>
  <si>
    <t xml:space="preserve">SECTOR 18, VASHI </t>
  </si>
  <si>
    <t xml:space="preserve">HOTEL ABHIJEET </t>
  </si>
  <si>
    <t>HOTEL ABHIJEET VASHI</t>
  </si>
  <si>
    <t>TLC APP</t>
  </si>
  <si>
    <t>HILITE MALL, KOCHIKODE</t>
  </si>
  <si>
    <t xml:space="preserve">GOURMET INVESTMENTS PVT LTD </t>
  </si>
  <si>
    <t>SECTOR 67, MOHALI</t>
  </si>
  <si>
    <t>BIZ COMPLIANCE</t>
  </si>
  <si>
    <t>RAJ-AVNISH</t>
  </si>
  <si>
    <t>AIRPORT OUTLET</t>
  </si>
  <si>
    <t>AHMEDABAD</t>
  </si>
  <si>
    <t>NOT INITIATED</t>
  </si>
  <si>
    <t>ABIR</t>
  </si>
  <si>
    <t>AVISHKAR COLONY, AURANGABAD</t>
  </si>
  <si>
    <t xml:space="preserve">CBD BELAPUR, NAVI MUMBAI </t>
  </si>
  <si>
    <t>FIRE APP</t>
  </si>
  <si>
    <t>UNDER PROCESS</t>
  </si>
  <si>
    <t>JP NAGAR</t>
  </si>
  <si>
    <t>GMST AMENDED</t>
  </si>
  <si>
    <t>SHRUTIKA</t>
  </si>
  <si>
    <t>HIRANANDANI ESTATE THANE </t>
  </si>
  <si>
    <t>GMST RENEWAL</t>
  </si>
  <si>
    <t>PANCHPAKHADI THANE WEST</t>
  </si>
  <si>
    <t>KOPERKHAIRANE</t>
  </si>
  <si>
    <t>KOREGAON PARK</t>
  </si>
  <si>
    <t>HLC RENEWAL</t>
  </si>
  <si>
    <t>MUKUND NAGAR</t>
  </si>
  <si>
    <t>SAYALI TERRACE</t>
  </si>
  <si>
    <t>ASKHAY PARK</t>
  </si>
  <si>
    <t>PMC VIMAN NAGAR</t>
  </si>
  <si>
    <t>BHANDAKAR ROAD</t>
  </si>
  <si>
    <t>LULU MALL,PALAKKAD</t>
  </si>
  <si>
    <t>SEJAL</t>
  </si>
  <si>
    <t>BURMAN HOSPITALITY PVT LTD</t>
  </si>
  <si>
    <t>LAKE MALL, KOLKATA</t>
  </si>
  <si>
    <t>RENEWED FLC</t>
  </si>
  <si>
    <t>HOTEL AMRUT</t>
  </si>
  <si>
    <t>SECTOR-19C, VASHI 11</t>
  </si>
  <si>
    <t>TLC NEW</t>
  </si>
  <si>
    <t>AROMA FOODS AND BEVRAGES</t>
  </si>
  <si>
    <t>SATRA PLAZA, VASHI</t>
  </si>
  <si>
    <t>TLC RENEWAL</t>
  </si>
  <si>
    <t>PMC KURLA (S24)</t>
  </si>
  <si>
    <t>FSSAI RENEWAL</t>
  </si>
  <si>
    <t>JIMIS BURGER LLP</t>
  </si>
  <si>
    <t>SATRA PLAZA, VSHI</t>
  </si>
  <si>
    <t>RENEWED TLC</t>
  </si>
  <si>
    <t>HOTEL ABHIJEET</t>
  </si>
  <si>
    <t>SECTOR-19C, VASHI 12</t>
  </si>
  <si>
    <t>AHMEDBAD AIRPORT TERMINAL T1</t>
  </si>
  <si>
    <t>FRAICHEUR RETAIL PRIVATE LIMITED (POPSPACE)</t>
  </si>
  <si>
    <t>CITADEL, INDORE</t>
  </si>
  <si>
    <t>LULU MALL, COCHIN</t>
  </si>
  <si>
    <t>TLC APP NEW</t>
  </si>
  <si>
    <t>COGNIZANT THORAIPAKKAM</t>
  </si>
  <si>
    <t xml:space="preserve">PHOENIX PALLADIUM MUMBAI </t>
  </si>
  <si>
    <t>SIGNAGE COURT SUMMON</t>
  </si>
  <si>
    <t>DISPOSED</t>
  </si>
  <si>
    <t>THE COSMOS G 53</t>
  </si>
  <si>
    <t>UPPER PALACE ORCHIDS-SADASHIVANAGAR</t>
  </si>
  <si>
    <t>NAGARBHAVI BANGALURU</t>
  </si>
  <si>
    <t>GMST AMEND APP</t>
  </si>
  <si>
    <t>OMKAR</t>
  </si>
  <si>
    <t xml:space="preserve">UNDER PROCESS </t>
  </si>
  <si>
    <t>MILASTAR RETAIL PVT. LTD.</t>
  </si>
  <si>
    <t>JAYANAGAR BANGALORE</t>
  </si>
  <si>
    <t>M.L PLAZA, MANTRA BARI ROAD, AGARTALA</t>
  </si>
  <si>
    <t>SUPERFRY INDIA PRIVATE LIMITED</t>
  </si>
  <si>
    <t>CONNAUGHT PLACE DELHI</t>
  </si>
  <si>
    <t>MODIFY APP</t>
  </si>
  <si>
    <t>FRAICHEUR RETAIL PRIVATED LIMITED (NEWME)</t>
  </si>
  <si>
    <t>NEWME INDORE</t>
  </si>
  <si>
    <t xml:space="preserve">MUM054 |OBEROI MALL GOREGAON </t>
  </si>
  <si>
    <t>SUMMON NOTICE</t>
  </si>
  <si>
    <t>LOWER PAREL, MUMBAI MUM055</t>
  </si>
  <si>
    <t>SINAGE SUMMON AND ARREST NOTICE CLOSER</t>
  </si>
  <si>
    <t>PMC KURLA, MUMBAI( SIS)</t>
  </si>
  <si>
    <t>MUM 047 MALAD EAST</t>
  </si>
  <si>
    <t>HARSHIL</t>
  </si>
  <si>
    <t>MUM 048 MIRA ROAD EAST</t>
  </si>
  <si>
    <t>MUM 003 VIVIANA MALL THANE</t>
  </si>
  <si>
    <t>MUM081 PHOENIX PALLADIUM |MUMBAI</t>
  </si>
  <si>
    <t>VIVEK</t>
  </si>
  <si>
    <t>COLOBA /MUMBAI MUM078</t>
  </si>
  <si>
    <t>KARANJADE /PANVEL MUM079</t>
  </si>
  <si>
    <t>VASHI SEC 29 / MUMBAI MUM098</t>
  </si>
  <si>
    <t>MUM 049 MIRA ROAD EAST</t>
  </si>
  <si>
    <t>MUM058 PRABHADEVI, MUMBAI</t>
  </si>
  <si>
    <t>MUM063 ORION MALL , PANVEL</t>
  </si>
  <si>
    <t>MUM072 MUMBAI CENTRAL , MUMBAI</t>
  </si>
  <si>
    <t>PALLADIUM AHMEDABAD | GUJ001-CHINA BELLY</t>
  </si>
  <si>
    <t>PALLADIUM AHMEDABAD | GUJ002-WOW MOMO |</t>
  </si>
  <si>
    <t>PALLADIUM AHMEDABAD | GUJ003-CHINA DINER</t>
  </si>
  <si>
    <t xml:space="preserve">GUJ008/ NEXUS AHMEDABAD </t>
  </si>
  <si>
    <t>GUJ009/NIKOL /SHOP 20</t>
  </si>
  <si>
    <t>GUJ009/NIKOL /SHOP 21</t>
  </si>
  <si>
    <t>GUJ007/GODASAR/AHMEDABAD</t>
  </si>
  <si>
    <t xml:space="preserve">MOTERA / AHMEDABAD </t>
  </si>
  <si>
    <t>WAREHOUSE TURBHE /VASHI</t>
  </si>
  <si>
    <t xml:space="preserve">PUN008 ELPRO, PUNE </t>
  </si>
  <si>
    <t>PUN015, PHOENIX MALL, PUNE</t>
  </si>
  <si>
    <t>PUN017/MILLENIUM MALL / PUNE ,</t>
  </si>
  <si>
    <t xml:space="preserve"> PUN018 MALL OF MILLENIUM,  PUNE</t>
  </si>
  <si>
    <t>MUM009 INORBIT MALL , MALAD WEST</t>
  </si>
  <si>
    <t>MUM008 KORUM MALL , THANE</t>
  </si>
  <si>
    <t>MUM004 SEAWOODS GRAND CENTRAL</t>
  </si>
  <si>
    <t>MUM099 JOSHI MALL</t>
  </si>
  <si>
    <t>MUM014 SUSWAGATAM CHS, CHEMBUR</t>
  </si>
  <si>
    <t>PMC KURLA</t>
  </si>
  <si>
    <t xml:space="preserve"> MUM062 SECTOR 15 , CBD BELAPUR</t>
  </si>
  <si>
    <t>MUM 065 SECTOR 6, AIROLI</t>
  </si>
  <si>
    <t xml:space="preserve"> MUM 050 J B NAGAR METRO STATION</t>
  </si>
  <si>
    <t>FC 14 R CITY MALL GHATKOPAR</t>
  </si>
  <si>
    <t xml:space="preserve"> MUM 020 INORBIT MALL, VASHI</t>
  </si>
  <si>
    <t>MUM007 CARTER ROAD</t>
  </si>
  <si>
    <t>MUM 029 INFINITI MALL , MALAD</t>
  </si>
  <si>
    <t>S.V. ROAD, ANDHERI</t>
  </si>
  <si>
    <t>UNIT NO S-FC-4 ,PMC KURLA</t>
  </si>
  <si>
    <t>MUM 58 PRABHADEVI, MUMBAI</t>
  </si>
  <si>
    <t>SHOPS BMC COURT NOTICE</t>
  </si>
  <si>
    <t>NUPA TECHNOLOGIES PRIVATE LIMITED</t>
  </si>
  <si>
    <t>BUDHERA, HARYANA</t>
  </si>
  <si>
    <t>PUN008 ELPRO MALL 8</t>
  </si>
  <si>
    <t xml:space="preserve">HLC </t>
  </si>
  <si>
    <t>PUN016 ELPRO MALL 7</t>
  </si>
  <si>
    <t>HLC</t>
  </si>
  <si>
    <t>GUJ010/EVA MALL / VADODRA</t>
  </si>
  <si>
    <t>MUM060 SION , MUMBAI</t>
  </si>
  <si>
    <t>MAVERIX PLATFORMS PVT LTD- CUREFOODS INDIA PVT LTD</t>
  </si>
  <si>
    <t>BADARPUR CENTRAL KITCHEN</t>
  </si>
  <si>
    <t>FACTORY LICENSE MODIFICATION</t>
  </si>
  <si>
    <t>MUM031 POWAI MUMUBAI</t>
  </si>
  <si>
    <t>MUM024 KANDIVALI, MUMBAI(GROWELS)</t>
  </si>
  <si>
    <t xml:space="preserve">BANDRA RECLAMATION MUMBAI (MUM046)  </t>
  </si>
  <si>
    <t>MUM 55 LOWER PAREL</t>
  </si>
  <si>
    <t>MUM089  PMC,KURLA S 24</t>
  </si>
  <si>
    <t>VIJAY NAGAR, INDORE</t>
  </si>
  <si>
    <t>SAHJIVAN NAGAR, INDORE</t>
  </si>
  <si>
    <t>VIJAY NAGAR, INDORE 1</t>
  </si>
  <si>
    <t>SAHJIVAN NAGAR, INDORE 2</t>
  </si>
  <si>
    <t xml:space="preserve">UNDER PROCESS   </t>
  </si>
  <si>
    <t>PIMPLE, PUNE  WOW KULFI</t>
  </si>
  <si>
    <t>FLORA, RELIANCE, PUNE</t>
  </si>
  <si>
    <t>CAKEZONE FOODTECH PVT LTD</t>
  </si>
  <si>
    <t>GARIA KOLKATA 3</t>
  </si>
  <si>
    <t>POPSPACE TECHNOLOGIES PVT LTD</t>
  </si>
  <si>
    <t>SARATH CITY, HYDERABAD 10</t>
  </si>
  <si>
    <t>SECTOR-19C, VASHI 19</t>
  </si>
  <si>
    <t>VIKHROLI WEST, MUMBAI 4</t>
  </si>
  <si>
    <t>S.V ROAD ANDHERI</t>
  </si>
  <si>
    <t>CASE DISPOSED</t>
  </si>
  <si>
    <t>COFFEE DAY GLOBAL LIMITED - VENDING</t>
  </si>
  <si>
    <t>BOSCH GLOBAL ELECTRONIC CITY, BANGALORE</t>
  </si>
  <si>
    <t>DOMMASANDRA, BANGALORE</t>
  </si>
  <si>
    <t>GOURMET INVESTMENTS PVT LTD</t>
  </si>
  <si>
    <t>OPP CHRIST COLLAGE, DR MH MARIGOWDA, BANGALORE</t>
  </si>
  <si>
    <t>KARAN</t>
  </si>
  <si>
    <t>HOSUR ROAD, KORAMANAGALA 123, BANGALORE</t>
  </si>
  <si>
    <t>BUILDING 601,602, HOSUR ROAD, BANGALORE</t>
  </si>
  <si>
    <t>AMITY UNIVERSITY, KOLKATA (CC:145001167)</t>
  </si>
  <si>
    <t>REVERTED BACK</t>
  </si>
  <si>
    <t>SARKAR SARANI, KOLKATA</t>
  </si>
  <si>
    <t>DR MEGHNAD SAHA SARANI, KOLKATA</t>
  </si>
  <si>
    <t>SOUTH CITY MALL, KOLKATA</t>
  </si>
  <si>
    <t>EXCISE APP</t>
  </si>
  <si>
    <t>VADODARA ALKAPURI</t>
  </si>
  <si>
    <t>PARLA POINT, SURAT</t>
  </si>
  <si>
    <t xml:space="preserve">PRABHADEVI, MUMBAI </t>
  </si>
  <si>
    <t>SILVER SPRING, ANDHERI</t>
  </si>
  <si>
    <t>WOODSQUARE, SURAT</t>
  </si>
  <si>
    <t>GROUND FLOOR, INORBIT MALL, VADODARA</t>
  </si>
  <si>
    <t>SECOND FLOOR, INORBIT MALL, VADODARA</t>
  </si>
  <si>
    <t>ANDHERI W FOUR BUNGLOWS</t>
  </si>
  <si>
    <t>LOWER PAREL PHOENIX MALL</t>
  </si>
  <si>
    <t>OLD MIRA ROAD, THANE (DEC 2025)</t>
  </si>
  <si>
    <t>MIRA ROAD NEW, THANE(DEC 2025)</t>
  </si>
  <si>
    <t>GOVIND NAGAR, MALAD (MUM047)</t>
  </si>
  <si>
    <t>FRAICHEUR RETAIL PRIVATE LTD(NEW ME)</t>
  </si>
  <si>
    <t>AMANORA MALL, PUNE 5</t>
  </si>
  <si>
    <t>GMST AMEND</t>
  </si>
  <si>
    <t>VESU, SURAT 6</t>
  </si>
  <si>
    <t>PEC APP</t>
  </si>
  <si>
    <t>KOLKATA CENTRAL KITCHEN</t>
  </si>
  <si>
    <t>FLC RENEWAL</t>
  </si>
  <si>
    <t>PUDUCHERRY</t>
  </si>
  <si>
    <t>CHEMBUR EAST, MUMBAI</t>
  </si>
  <si>
    <t>SOUTH DUM DUM, KOLKATA</t>
  </si>
  <si>
    <t>VASANT KUNJ DELHI</t>
  </si>
  <si>
    <t>PCC APP</t>
  </si>
  <si>
    <t>NUPA TECHNOLOGIES PVT LTD</t>
  </si>
  <si>
    <t>SITAPUR, UTTAR PRADESH (SMART YEILD AGRO)</t>
  </si>
  <si>
    <t>HUNGER PANGS PVT LTD</t>
  </si>
  <si>
    <t>PARK STREET, KOLKATA</t>
  </si>
  <si>
    <t>POLICE LICENSE RENEWAL</t>
  </si>
  <si>
    <t>BLOOMBAY ENTERPRISES PVT LTD</t>
  </si>
  <si>
    <t>HOWARA AC MARKET, KOLKATA ( SC:313)</t>
  </si>
  <si>
    <t>FLC APP</t>
  </si>
  <si>
    <t>NEW ALIPORE, KOLKATA (SC:C098)</t>
  </si>
  <si>
    <t>KHARADI, PUNE</t>
  </si>
  <si>
    <t>HLC APP</t>
  </si>
  <si>
    <t>FUZAIL</t>
  </si>
  <si>
    <t>CANDOR TECHSPACE, KOLKATA</t>
  </si>
  <si>
    <t>BLISSCLUB FITNESS PVT LTD</t>
  </si>
  <si>
    <t>APOLLO, INDORE</t>
  </si>
  <si>
    <t>PHOENIX PALLADIUM, MUMBAI 13</t>
  </si>
  <si>
    <t>TECHNO SPORTSWEAR PVT LTD</t>
  </si>
  <si>
    <t>SHYAM NAGAR, RAIPUR</t>
  </si>
  <si>
    <t>BARASAT JESSORE ROAD, KOLKATA (CC:145001101)</t>
  </si>
  <si>
    <t>FSSAI SURRENDER</t>
  </si>
  <si>
    <t>CHIKKAJALA VILLAGE, BANGALORE</t>
  </si>
  <si>
    <t>AANSWR FASHION PRIVATE LIMITED (THE PANT PROJECT)</t>
  </si>
  <si>
    <t>MG ROAD KOCHIN ( COCHIN)</t>
  </si>
  <si>
    <t>ELAN EPIC, GURUGRAM</t>
  </si>
  <si>
    <t>MAHAPE MIDC, NAVI MUMBAI</t>
  </si>
  <si>
    <t>FSSAI MODIFICATION</t>
  </si>
  <si>
    <t>POLICE LICENSE APP</t>
  </si>
  <si>
    <t>TATA STARBUCKS PVT LTD</t>
  </si>
  <si>
    <t>VIRAR</t>
  </si>
  <si>
    <t>KANDIVALI, MUMBAI</t>
  </si>
  <si>
    <t>MG ROAD, TRIVANDRUM (SC:10115)</t>
  </si>
  <si>
    <t xml:space="preserve">GLOBAL CITY, VIRAR </t>
  </si>
  <si>
    <t>AECS LAYOUT, BANGALORE</t>
  </si>
  <si>
    <t>BELLARY, BANGALORE</t>
  </si>
  <si>
    <t xml:space="preserve">VIRAR </t>
  </si>
  <si>
    <t>JIO WORLD DRIVE (JWD) BANDRA MUMBAI</t>
  </si>
  <si>
    <t>CUTTACK, ORISSA</t>
  </si>
  <si>
    <t>POWAI, MUMBAI</t>
  </si>
  <si>
    <t>MONSOON SHED APP</t>
  </si>
  <si>
    <t>INORBIT MALL, HUBLI</t>
  </si>
  <si>
    <t>PIMPLE SAUDAGAR, PUNE</t>
  </si>
  <si>
    <t>RAHUL</t>
  </si>
  <si>
    <t>DTWELVE ACCOMMODATIONS PVT LTD</t>
  </si>
  <si>
    <t>TEL AVIV, PUNE ( A WING)</t>
  </si>
  <si>
    <t>SKY CITY MALL, BORIVALI (PF CHANGS)</t>
  </si>
  <si>
    <t>BHIWANDI WAREHOUSE (ANJUR)</t>
  </si>
  <si>
    <t>MANSAROVAR, JAIPUR (C/269)</t>
  </si>
  <si>
    <t>PATRAKAR, JAIPUR (C/335)</t>
  </si>
  <si>
    <t>VIDHYADHAR NAGAR, JAIPUR (C/266)</t>
  </si>
  <si>
    <t>AMORA, KOCHI</t>
  </si>
  <si>
    <t>MARSEILLE HOUSE, PUNE</t>
  </si>
  <si>
    <t>CUREFOODS INDIA LIMITED</t>
  </si>
  <si>
    <t>BANER, PUNE</t>
  </si>
  <si>
    <t>VELLORE, TAMIL NADU</t>
  </si>
  <si>
    <t>BODEN HOUSE, INDORE</t>
  </si>
  <si>
    <t>CAEN HOUSE, INDORE</t>
  </si>
  <si>
    <t>CULIACAN HOUSE, INDORE</t>
  </si>
  <si>
    <t>PASADENA HOUSE, VIJAY NAGAR, INDORE</t>
  </si>
  <si>
    <t>KOLDING HOUSE, INDORE</t>
  </si>
  <si>
    <t>ORION MALL, PANVEL</t>
  </si>
  <si>
    <t xml:space="preserve">GMST SURRENDER </t>
  </si>
  <si>
    <t>SILVER STONE ARCADE, KATARGAM, SURAT</t>
  </si>
  <si>
    <t>HIGH STREET APOLLO, INDORE</t>
  </si>
  <si>
    <t>CAPITAL MALL, VASAI</t>
  </si>
  <si>
    <t>ANDHERI SPEEZ, MUMBAI</t>
  </si>
  <si>
    <t>BHARTI OVERSEAS PRIVATE LIMITED</t>
  </si>
  <si>
    <t>CHILIS-INORBIT MALL, HYDERABAD</t>
  </si>
  <si>
    <t>HIM, HYDERABAD (PE) INORBIT MALL</t>
  </si>
  <si>
    <t>PE BELAPUR, NAVI MUMBAI</t>
  </si>
  <si>
    <t>PE-BALEWADI, PUNE</t>
  </si>
  <si>
    <t>ORION EAST MALL, BANASWADI (SC:10023)</t>
  </si>
  <si>
    <t>VIDYANARAYANAPURA, BANGALORE (SC:10086)</t>
  </si>
  <si>
    <t>PE KOPA MALL,PUNE</t>
  </si>
  <si>
    <t>ELECTRONIC CITY, BANGALORE (SC:10090)</t>
  </si>
  <si>
    <t>BESANT NAGAR, CHENNAI</t>
  </si>
  <si>
    <t>PE POWAI, MUMBAI</t>
  </si>
  <si>
    <t>PE ANDHERI, MUMBAI</t>
  </si>
  <si>
    <t>PE BKC, MUMBAI</t>
  </si>
  <si>
    <t>PE OMG, MUMBAI (OBEROI MALL)</t>
  </si>
  <si>
    <t>PE-CK BANJARA HILLS, HYDERABAD</t>
  </si>
  <si>
    <t>AKRON HOUSE, PUNE</t>
  </si>
  <si>
    <t>PE-MALL OF MILLENNUIM, PUNE (MOM)</t>
  </si>
  <si>
    <t>SHUBHAM SALVE</t>
  </si>
  <si>
    <t>PE-AERO MALL, PUNE</t>
  </si>
  <si>
    <t>COLOGNE HOUSE, BANGALORE</t>
  </si>
  <si>
    <t>GROWEL MALL KANDIVALI, MUMBAI</t>
  </si>
  <si>
    <t>PE-SEAWOODS GRAND CENTRAL, NAVI MUMBAI</t>
  </si>
  <si>
    <t>EXCISE NAME CHANGE</t>
  </si>
  <si>
    <t>ABIR SIR</t>
  </si>
  <si>
    <t>PE-VIVIANA MALL, THANE</t>
  </si>
  <si>
    <t>INORBIT MALL, MALAD</t>
  </si>
  <si>
    <t>HERAT HOUSE, PUNE</t>
  </si>
  <si>
    <t>WHITEHAVEN HOUSE, PUNE</t>
  </si>
  <si>
    <t>EVORA HOUSE, BANGALORE</t>
  </si>
  <si>
    <t>SEC-12, KHARGHAR</t>
  </si>
  <si>
    <t xml:space="preserve">JAYANAGAR, BANGALORE (SC:10016) </t>
  </si>
  <si>
    <t xml:space="preserve">NEW BEL, BANGALORE (SC:10015) </t>
  </si>
  <si>
    <t xml:space="preserve">ORION YESHWANTHPUR, BANGALORE (SC:10024) </t>
  </si>
  <si>
    <t>PHOENIX MARKET CITY, BANGALORE (SC:10040)</t>
  </si>
  <si>
    <t>ST.PETERSBURG HOUSE, BANGALORE</t>
  </si>
  <si>
    <t>VISEV HOUSE, BANGALORE</t>
  </si>
  <si>
    <t>ALBURY HOUSE, BANGALORE</t>
  </si>
  <si>
    <t>VERNON HOUSE, BANGALORE</t>
  </si>
  <si>
    <t>NOTTINGHAM HOUSE, BANGALORE</t>
  </si>
  <si>
    <t xml:space="preserve">KAMPALA HOSE, BANGALORE </t>
  </si>
  <si>
    <t>HUVELVA HOUSE, BANGALORE</t>
  </si>
  <si>
    <t>MANTRI SQUARE MALL, BANGALORE (SC:10035)</t>
  </si>
  <si>
    <t>BRATISLAVA HOUSE, BANGALORE</t>
  </si>
  <si>
    <t xml:space="preserve">SAHAKAR NAGAR, BANGALORE (SC:10019) </t>
  </si>
  <si>
    <t>BISMARCK HOUSE, BANGALORE</t>
  </si>
  <si>
    <t>MALLESHWARAM, BANGALORE (SC:10080)</t>
  </si>
  <si>
    <t>RR NAGAR KITCHNE, BANGALORE</t>
  </si>
  <si>
    <t>COFFEE DAY GLOBAL LIMITED</t>
  </si>
  <si>
    <t>GUWAHATI WAREHOUSE</t>
  </si>
  <si>
    <t>TLC PENALTY</t>
  </si>
  <si>
    <t>HEALTH CIC APP</t>
  </si>
  <si>
    <t>PE BALEWADI, PUNE</t>
  </si>
  <si>
    <t>GMST MODIFICATION</t>
  </si>
  <si>
    <t>PE NSO, AIROLI NAVI MUMBAI</t>
  </si>
  <si>
    <t>PE-MALL OF MILLENNIUM, PUNE (MOM)</t>
  </si>
  <si>
    <t>PE-HIRANANDANI THANE (THW)</t>
  </si>
  <si>
    <t>PE-KOPA MALL, PUNE</t>
  </si>
  <si>
    <t xml:space="preserve">HSR LAYOUT, BANGALORE (SC:10014) </t>
  </si>
  <si>
    <t xml:space="preserve">SKY CITY MALL, BORIVALI </t>
  </si>
  <si>
    <t>PECK KHAR, MUMBAI</t>
  </si>
  <si>
    <t>BKC, MUMBAI</t>
  </si>
  <si>
    <t>PE VIOS WADALA, MUMBAI</t>
  </si>
  <si>
    <t xml:space="preserve">SHUBHAM </t>
  </si>
  <si>
    <t>CORPORATE OFFICE, HSR LAYOT, BANGALORE</t>
  </si>
  <si>
    <t>FSSAI ANNUAL FILING</t>
  </si>
  <si>
    <t>KOPA MALL, PUNE</t>
  </si>
  <si>
    <t>BALEWADI, PUNE</t>
  </si>
  <si>
    <t>LAKESHORE Y JUNCTION MALL, HYDERABAD</t>
  </si>
  <si>
    <t>GST ABOP</t>
  </si>
  <si>
    <t>SIGNAGE APP</t>
  </si>
  <si>
    <t>TIRUPATI HEIGHTS KOPARKHAIRNE, NAVI MUMBAI</t>
  </si>
  <si>
    <t>FRAICHEUR RETAIL PRIVATE LTD(NEWME)</t>
  </si>
  <si>
    <t>ASMEETA TEXTILE PARK, BHIWANDI</t>
  </si>
  <si>
    <t>PRINCIPAL EMPLOYER REG</t>
  </si>
  <si>
    <t>UPINGTON HOUSE, PUNE</t>
  </si>
  <si>
    <t>VERONA HOUSE, INDORE</t>
  </si>
  <si>
    <t>SANTA BARBARA HOUSE, INDORE</t>
  </si>
  <si>
    <t>CAMERON HOUSE, INDORE</t>
  </si>
  <si>
    <t>LUCERNE HOUSE, INDORE</t>
  </si>
  <si>
    <t>BERIA HOUSE, INDORE</t>
  </si>
  <si>
    <t>MINYA HOUSE, INDORE</t>
  </si>
  <si>
    <t>NEW HO, HSR LAYOUT, BANGALORE</t>
  </si>
  <si>
    <t>PRADHAN MANTRI SCHEME</t>
  </si>
  <si>
    <t>MALMO HOUSE,PUNE</t>
  </si>
  <si>
    <t>FIRE CIC APP</t>
  </si>
  <si>
    <t>KALYAN NAGAR KAMANAHHALI, BANGALORE</t>
  </si>
  <si>
    <t>HSR LAYOUT, BANGALORE</t>
  </si>
  <si>
    <t xml:space="preserve">8TH BLOCK KORAMANGALA, BANGALORE </t>
  </si>
  <si>
    <t>DURBAN HOUSE, INDORE</t>
  </si>
  <si>
    <t>BODHI WELLNESS</t>
  </si>
  <si>
    <t>SECTOR 7 KHARGHAR</t>
  </si>
  <si>
    <t>PFC SKYCITY BORIVALI</t>
  </si>
  <si>
    <t>OBEROI COMMERZ, MUMBAI</t>
  </si>
  <si>
    <t>FIRE AFFIDAVIT</t>
  </si>
  <si>
    <t>HIRANANDANI MEADO, THANE</t>
  </si>
  <si>
    <t>HIRANANDHANI ESTATE, THANE</t>
  </si>
  <si>
    <t xml:space="preserve">VIVIANA MALL, THANE </t>
  </si>
  <si>
    <t xml:space="preserve">PANCHPAKHADI THANE </t>
  </si>
  <si>
    <t>POSH ANNUAL RETURN</t>
  </si>
  <si>
    <t>CHANGE IN USE</t>
  </si>
  <si>
    <t>DTWELVE SPACES PRIVATE LIMITED</t>
  </si>
  <si>
    <t>ORAN HOUSE, PUNE</t>
  </si>
  <si>
    <t>KENITRA HOUSE, PUNE</t>
  </si>
  <si>
    <t>KINGSTON HOUSE, PUNE</t>
  </si>
  <si>
    <t>BARNSLEY HOUSE, PUNE</t>
  </si>
  <si>
    <t>GIRONA HOSE KATRAJ, PUNE</t>
  </si>
  <si>
    <t>MONSA HOUSE, PUNE</t>
  </si>
  <si>
    <t>AUSTIN HOUSE PUNE</t>
  </si>
  <si>
    <t>TOBRUK HOUSE, PUNE</t>
  </si>
  <si>
    <t>AMIENS HOUSE</t>
  </si>
  <si>
    <t>NEW HO,BANGALORE</t>
  </si>
  <si>
    <t>SHITAL</t>
  </si>
  <si>
    <t>EVANSVILLE HOUSE, PUNE</t>
  </si>
  <si>
    <t>MUMBAI BRANCH OFFICE</t>
  </si>
  <si>
    <t>RAMPUR WAREHOUSE</t>
  </si>
  <si>
    <t>SIGNAGE NAME CHANGE</t>
  </si>
  <si>
    <t>SR.NO</t>
  </si>
  <si>
    <t>DATE</t>
  </si>
  <si>
    <t xml:space="preserve">COMPANY NAME </t>
  </si>
  <si>
    <t>LOCATION</t>
  </si>
  <si>
    <t>APP TYPE</t>
  </si>
  <si>
    <t xml:space="preserve">APPLIED BY </t>
  </si>
  <si>
    <t>STATUS UPDATE</t>
  </si>
  <si>
    <t>OBTAINED UPDATED</t>
  </si>
  <si>
    <t>CODE</t>
  </si>
  <si>
    <t>COMPANY</t>
  </si>
  <si>
    <t>ADDRESS</t>
  </si>
  <si>
    <t>CITY/STATE</t>
  </si>
  <si>
    <t>EXPIRY DATE</t>
  </si>
  <si>
    <t>MONTH</t>
  </si>
  <si>
    <t>YEAR</t>
  </si>
  <si>
    <t>LICENSE TYPE</t>
  </si>
  <si>
    <t>M5 ECITY MALL</t>
  </si>
  <si>
    <t>THE PANT PROJECT,FF 13, M5 ECITY MALL, PLOT NO - 1,NEXT
TO AUDI SHOWROOM,VEERASANDRA INDUSTRIAL AREA,
HOSUR RD, OPPOSITE TO ELECTRONIC CITY FLYOVER,PHASE 2,
ELECTRONIC CITY, BANGALORE,KARNATAKA,560100</t>
  </si>
  <si>
    <t>BANGALORE/ KARNATAKA</t>
  </si>
  <si>
    <t>Sep</t>
  </si>
  <si>
    <t>PPL</t>
  </si>
  <si>
    <t>NEXUS ELANTE MALL, CHANDIGARH</t>
  </si>
  <si>
    <t>UNIT NO 130A, FIRST FLOOR, NEXUS ELANTE MALL, PLOT NO 178-178A, INDUSTRIAL AREA PHASE 1, CHANDIGARH
160002</t>
  </si>
  <si>
    <t>CHANDIGARH</t>
  </si>
  <si>
    <t>FORUM SOUTH - KANAKPURA</t>
  </si>
  <si>
    <t>UNIT NO.1F-137 &amp;1F-138, FIRST FLOOR,FORUM SOUTHBANGALORE, KONANAKUNTE CROSS METRO STATION,ANJANADRI LAYOUT, BENGALURU 560062</t>
  </si>
  <si>
    <t xml:space="preserve">BENGALURU/ KARNATAKA </t>
  </si>
  <si>
    <t>MG ROAD CAMP, PUNE</t>
  </si>
  <si>
    <t>SHOP NO 4, GROUND FLOOR, ABBAAS CHAMBER, 1 MG ROAD CAMP, PUNE 411001</t>
  </si>
  <si>
    <t>PUNE/MAHARASHTRA</t>
  </si>
  <si>
    <t>GMST</t>
  </si>
  <si>
    <t>HSR LAYOUT</t>
  </si>
  <si>
    <t>PREMISES NO.238,GROUND AND FIRST FLOOR, 24TH CROSS 27TH MAIN, 2ND SECTOR, HSR LAYOUT, BANGALORE 560102</t>
  </si>
  <si>
    <t>BENGALURU/KARNATAKA</t>
  </si>
  <si>
    <t>Mar</t>
  </si>
  <si>
    <t>TRADE</t>
  </si>
  <si>
    <t>HIMAYATNAGAR</t>
  </si>
  <si>
    <t>3-6-379/G5, GROUND FLOOR AND FIRST FLOOR, STREET NO 3, HIMAYAT NAGAR, HYDERABAD 500029 TELANGANA</t>
  </si>
  <si>
    <t>HYDERABAD/ TELANGANA</t>
  </si>
  <si>
    <t>Apr</t>
  </si>
  <si>
    <t>SHOP NO 3, GROUND FLOOR, ARISTA MOJE, PLOT NO 103/2, SINDHU BHAWAN ROAD, BODAKDEV AHMEDABAD 380059</t>
  </si>
  <si>
    <t>AHMEDABAD/GUJARAT</t>
  </si>
  <si>
    <t>GRANT ROAD</t>
  </si>
  <si>
    <t>UNIT NO 5 , GROUND, FLOOR ,KOHINOOR BUILDING,
PLOT NO 29, NAYAMURTI SITARAM, PATKAR MARG
,KHAREGHAT COLONY, GRANT ROAD, MUMBAI 400007</t>
  </si>
  <si>
    <t>MUMBAI/ MAHARASHTRA</t>
  </si>
  <si>
    <t xml:space="preserve"> BORIVALI</t>
  </si>
  <si>
    <t>SHOP NO 14, GROUND FLOOR, MADHAVKUNJ APT, SVP ROAD, BORIVALI W, MUMBAI 400092</t>
  </si>
  <si>
    <t>July</t>
  </si>
  <si>
    <t>BORIVALI</t>
  </si>
  <si>
    <t>SIGNAGE</t>
  </si>
  <si>
    <t>MG ROAD</t>
  </si>
  <si>
    <t>NO 66/6411, GROUND &amp; FIRST FLOOR, CABLE HOUSE, MG ROAD, ERNAKULAM VILLAGE, COCHIN 682035</t>
  </si>
  <si>
    <t>KOCHI/KERALA</t>
  </si>
  <si>
    <t>Dec</t>
  </si>
  <si>
    <t xml:space="preserve">LAKESHORE Y JUNCTION MALL	</t>
  </si>
  <si>
    <t>UNIT NO L1-26, SECOND FLOOR, LAKESHORE Y JUNCTION MALL SURVEY NO 414, 415, 416, 417, 418, KUKATPALLY VILLAGE, KUKATPALLY, MEDCHAL MALKAJGIRI HYDERABAD 500072</t>
  </si>
  <si>
    <t>UNIT NO.1F-137 &amp;1F-138, FIRST FLOOR,FORUM SOUTHBANGALORE, KONANAKUNTE CROSS METRO STATION, ANJANADRI LAYOUT, BENGALURU 560062</t>
  </si>
  <si>
    <t>LIFETIME</t>
  </si>
  <si>
    <t>HIGHSTREET APOLLO</t>
  </si>
  <si>
    <t>AANSWR FASHION PVT LTD</t>
  </si>
  <si>
    <t>UNIT NO C-02, C-27 AND C-28, GROUND FLOOR, HIGH STREET APOLLO, NIRANJANPUR, A.B. ROAD, INDORE 452001</t>
  </si>
  <si>
    <t>INDORE/ MADHYA PRADESH</t>
  </si>
  <si>
    <t>LAKESHORE MALL</t>
  </si>
  <si>
    <t>UNIT NO L1-26, SECOND FLOOR, LAKESHORE Y JUNCTION MALL SURVEY NO 414, 415, 416, 417, 418, KUKATPALL VILLAGE, KUKATPALLY, MEDCHAL MALKAJGIRI HYDERABAD 500072</t>
  </si>
  <si>
    <t>ACTOSERBA ACTIVE WHOLESALE LIMITED</t>
  </si>
  <si>
    <t>UNIT NO RSM 18, 1ST FLOOR, RELIANCE MALL, 229/1, BLOCK NO 5, MEYYANUR, JUNCTION MAIN ROAD, SALEM 636004</t>
  </si>
  <si>
    <t>SALEM/ TAMILNADU</t>
  </si>
  <si>
    <t>UNIT NO 239, 2ND FLOOR, EXPRESS AVENUE, 49-50L, WHITES ROAD, ROYAPETTAH, CHENNAI 600014</t>
  </si>
  <si>
    <t>CHENNAI/TAMIL NADU</t>
  </si>
  <si>
    <t>UNIT NO 122, 1ST FLOOR, THE FORUM VIJAYA MALL, NO 183-188, TS NO 5/1,5/3, 5/4, 5/5, ARCOT ROAD, VADAPALANI, CHENNAI-600026, TAMIL NADU</t>
  </si>
  <si>
    <t xml:space="preserve"> UNIT NO S5, 2N DFLOOR, VR CHENNAI, 44, PILLAIYAR KOIL STREET, JAWAHARLAL NEHRU ROAD, ANNANAGAR, CHENNAI-600040, TAMIL NADU</t>
  </si>
  <si>
    <t>UNIT NO F-43, FIRST FLOOR, PHOENIX MARKETCITY MALL, OLD DOOR NO 66, NEW DOOR NO 142, VELACHERY ROAD, CHENNAI-600042</t>
  </si>
  <si>
    <t>UNIT NO GF-20, GR FLOOR, MALL OF MYSORE, BEARING NO C-1, ITTIGE GOODU-INDIRANAGAR EXTENSION, NAZARBAD, MYSORE 570010</t>
  </si>
  <si>
    <t>MYSORE/KARNATAKA</t>
  </si>
  <si>
    <t>SHOP NO TC 82/5122, 82/5122, GR FLOOR, PULIMOODU JN, MG ROAD, TRIVANDRUM 695001</t>
  </si>
  <si>
    <t>TRIVANDRUM/KERALA</t>
  </si>
  <si>
    <t>BEARING NO 133/1, GR FLOOR, DEVARAJA URS ROAD, DEVRAJA MOHALLA, MYSORE 570001</t>
  </si>
  <si>
    <t>UNIT NO 108, THE FORUM CENTRE CITY MALL, BEARING NO 8(OLD) 5(NEW), HYDER ALI ROAD, ABBA ROAD, NAZARBAD MOHALLA, MYSORE 570019</t>
  </si>
  <si>
    <t>10069- V3S MALL</t>
  </si>
  <si>
    <t>UNIT NO 83-84, V3S MALL, LAXMI NAGAR, NEW DELHI 110092</t>
  </si>
  <si>
    <t>NEW DELHI/DELHI</t>
  </si>
  <si>
    <t>10065-LAJPAT NAGAR</t>
  </si>
  <si>
    <t>E-38, GR FLOOR, VEER SAVARKAR MARG, BLOCK E, LAJPAT NAGAR II, NEW DELHI 110024</t>
  </si>
  <si>
    <t>10059- VEGAS MALL</t>
  </si>
  <si>
    <t>S-215, VEGAS MALL, PLOT NO 6, SECTOR 14, DWARKA, NEW DELHI 110078</t>
  </si>
  <si>
    <t>10056- GK M BLOCK</t>
  </si>
  <si>
    <t>M-34, M BLOCK, GREATER KAILASH-1, NEW DELHI 110048</t>
  </si>
  <si>
    <t>10041- RAJOURI GARDEN</t>
  </si>
  <si>
    <t>PROPERTY NO F-127, BLOCK F, RAJOURI GARDEN, DELHI-110027</t>
  </si>
  <si>
    <t>10079 - REOPEN</t>
  </si>
  <si>
    <t>SHOP NO 5,,KUDPI HOUSE,,PLOT NO 532, LINKING ROAD, KHAR WEST,,MUMBAI,400052 MUMBAI - 400052</t>
  </si>
  <si>
    <t>UNIT NO FF-23, 1ST FLOOR, THE CAPITAL MALL, S.NO 52 AND 53, NEW LINK ROAD, NALLASOPARA EAST,VASAI 401209</t>
  </si>
  <si>
    <t>UNIT NO. F-66 ON FIRST FLOOR,PHOENIX MARKETCITY,SURVEY NO. 207, VIMAN NAGAR ROAD PUNE-411014</t>
  </si>
  <si>
    <t>10073-R MALL</t>
  </si>
  <si>
    <t>UNIT NO F-14, 1ST FLOOR, R MALL, MANPADA, OPP LAWKIM, GHODBUNDER ROAD, THANE WEST 400607</t>
  </si>
  <si>
    <t>THANE/ MAHARASHTRA</t>
  </si>
  <si>
    <t>BEARING NO 326, GR FLOOR, 4TH BLOCK, 2ND STAGE, BAWESHWARNAGAR, BANGALORE 560079</t>
  </si>
  <si>
    <t>38, WHITE OBLONG, NEELDARI NAGAR, NEELDARI MAIN ROAD, DODDATHOGUR, BANGALORE 560100</t>
  </si>
  <si>
    <t xml:space="preserve"> NO 25/25, 1ST BLOCK, BEL LAYOUT, VIDYARANYAPURA MAIN ROAD, NANJAPPA LAYOUT, VIDYARANYAPURA, BANGALORE 560097</t>
  </si>
  <si>
    <t>UNIT NO SF-04A, VIVIANA MALL, POKRAN RAOD, NEXT TO JUPITER HOSPITAL, PANCHPAKHADI, THANE WEST-400606</t>
  </si>
  <si>
    <t>SHOP NO 196, GR FLOOR, 2ND MAIN ROAD, SAMPIGE ROAD, MALLESHWARAM, BANGALORE 560003</t>
  </si>
  <si>
    <t>KRISNALILA PLAZA, PLOT NO 12, SURVEY NO 225, MUDINAGUDA, SERLINGAMPALLY MANDAL, RR DISTRICT, HYDERABAD 500049</t>
  </si>
  <si>
    <t xml:space="preserve"> NO 21, FIRST FLOOR, THE FORUM MALL, HOSUR ROAD, ADJACENT TO AFFINITY SALON, KORMANGALA, BANGALORE 560095</t>
  </si>
  <si>
    <t>UNIT NO L4-13, HYDERABAD NEXT GALLERIA-MOOSARAMBAGH MALL, SY NO TS 2,5 &amp; 6, WARD NO 170, BLOCK B, MOOSARAMBAGH, GADDIANAARAM VILLAGE, SAIDABAD MANDAL, HYDERABAD 500070</t>
  </si>
  <si>
    <t>UNIT NO 3F-055-056, SARATH CITY CAPITAL MALL, GACHIBOWLI MIYAPUR ROAD, WHITEFIELD, HYDERABAD 500084</t>
  </si>
  <si>
    <t>UNIT NO G-44, LOWER GR FLOOR, PHOENIX MARKETCITY, NEAR  KRISHNARAJAPURAM FLYOVER, MAHADEVAPURA, BANGALORE 560048</t>
  </si>
  <si>
    <t>UNIT NO S-1B, 2ND FLOOR, MANTRI SQUARE MALL, SAMPIAGE ROAD, NO-1, MALLESHWARAM, BANGALORE 560003</t>
  </si>
  <si>
    <t xml:space="preserve"> UNIT NO 129A, 26/1, FIRST FLOOR, ORION MALL, BRIGADE GATEWAY, 80FEET ROAD, MALLESHWARAM WEST, BANGALORE 560055</t>
  </si>
  <si>
    <t>UNIT NO SF-214, ORION EAST MALL, BANASWADI MAIN ROAD, MUNICIPAL NO 10/3, BANASWADI LAYOUT, BANGALORE 560033</t>
  </si>
  <si>
    <t>UNIT NO 508, MEDINI, 60FEET ROAD, OPP MCDONALDS, KODIGEHALLI, SAHAKAR NAGAR, YELAHANKA, BANGALORE 560092</t>
  </si>
  <si>
    <t xml:space="preserve"> UNIT NO 6, SRI SHANKARA ARCADE, 27TH CROSS, 4TH BLOCK, JAYANAGAR, BANGALORE 560011</t>
  </si>
  <si>
    <t xml:space="preserve"> NO 27, ALJOSAN, NEW BEL ROAD, MSR NAGAR LAYOUT, DOORAVANI NAGAR, BANGALORE 560012</t>
  </si>
  <si>
    <t>UNIT NO 665, JK LANDMARK, 27TH MAIN ROAD, SECTOR 1, HSR LAYOUT, BANGALORE 560102</t>
  </si>
  <si>
    <t>10129- BHARATH MALL</t>
  </si>
  <si>
    <t>UNIT NO 103, 1ST FLOOR, BHARATH MALL, BEJAI MAIN ROAD, OPP. KSRTC BUS STAND, LALBAGH, MANGALORE 575003</t>
  </si>
  <si>
    <t xml:space="preserve">MANGALORE / KARNARAKA </t>
  </si>
  <si>
    <t>BEARING NO 1133, GR FLOOR, 100 FEET ROAD, HAL 2ND STAGE, INDIRANAGAR, BANGALORE 560038</t>
  </si>
  <si>
    <t xml:space="preserve">BENGALURU/ KARNARAKA </t>
  </si>
  <si>
    <t>BEARING NO 2, GR FLOOR, BASAVESHWARA HBCS, 2ND STAGE, 4TH MAIN ROAD, CHNADRA LAYOUT, BANGALORE 560040</t>
  </si>
  <si>
    <t>UNIT NO 013, GR FLOOR, FORUM MALL AND FORUM COURTYARD, NO 10/3, LALA LAJPATH RAI SARANI, KOLKATA 700020</t>
  </si>
  <si>
    <t>KOLKATA/ WEST BENGAL</t>
  </si>
  <si>
    <t>UNIT NO SF-2, 2ND FLOOR, TGV ANANTHA CITY SQUARE MALL, S.Y NO 177 &amp; 192, 4A, NEW BUS STAND ROAD, RIVER VIEW COLONY, KURNOOL 518004</t>
  </si>
  <si>
    <t>KURNOOL/ ANDHRA PRADESH</t>
  </si>
  <si>
    <t>BEARING NO 36 AND 37, GR FLOOR, UTTARHALLI MAIN ROAD. UTTARHALLI VILLAGE, BANGALORE 560061</t>
  </si>
  <si>
    <t>UNIT NO GF-13, GR FLOOR, KEMPFORT MALL, NO.97, OLD AIRPORT ROAD, KONENA AGRAHARA VILLAGE, BANGALORE 560017</t>
  </si>
  <si>
    <t>UNIT NO F-19, LULU MALL THIRUVANATHAPURAM, TC91/270(2), ANAYARA P.O, THIRUVANANTHAPURAM 695029</t>
  </si>
  <si>
    <t>SHOP NO 10, GR FLOOR TO SECONDFLOOR, OPP TO WOODYS, COMMERCIAL STREET, BANGALORE 560001</t>
  </si>
  <si>
    <t>SHOP NO 3B, GR FLOOR, DOOR NO 60-5-3, GADDE VENKATRATNAM ROAD, SECOND LANE, SIDDHARTHA NAGAR, VIJAYAWADA 520010</t>
  </si>
  <si>
    <t>VIJAYAWADA/ ANDHRA PRADESH</t>
  </si>
  <si>
    <t>UNIT NO S-22, 2ND FLOOR, PHOENIX UNITED MALL, PLOT NO CD 08, SEC B, LDA COLONY, KANPUR ROAD SCHEME, LUCKNOW ,LUCKNOW,226011 LUCKNOW</t>
  </si>
  <si>
    <t>LUCKNOW/ UTTARPRADESH</t>
  </si>
  <si>
    <t>UNIT NO S-16, 2ND FLOOR, PHOENIX PALASSIO LUCKNOW,
SECTOR 7, GOMTI NAGAR EXTENSION, LUCKNOW
,LUCKNOW,226010 LUCKNOW</t>
  </si>
  <si>
    <t>BEARING NO 758, UPPER GR FLOOR, RUBY ARCADE, 15TH MIAN, 7TH CROSS, 2ND STAGE, BTM LAYOUT, BANGALORE 560076</t>
  </si>
  <si>
    <t>SHOP NO 2, UPPER GR FLOOR, NO 59-2-1, VV TOWER, KHARKHANA, SECUNDRABAD-500009</t>
  </si>
  <si>
    <t>MUNICIPAL NO 2/3, 13, 16,17,35 AND 36, GR FLOOR, KORMANGALA MAIN ROAD, MUNICIPAL WARD NO 68, EJIPURA, BANGALORE 560034</t>
  </si>
  <si>
    <t>UNIT NO FF-27, 1ST FLOOR, GLOBAL MALL, MUNICIPAL NO 19/2, MYSORE DEVIATION ROAD, GOPALAPURA, BANGALORE  560023</t>
  </si>
  <si>
    <t>UNIT NO 35F, FIRST FLOOR, BHARTIYA CITY CENTER, THANISANDRA MAIN ROAD, CHOKKANAHALLI VILLAGE, YELAHANKA HOBLI, BANGALORE  560064</t>
  </si>
  <si>
    <t>BEARING NO 4M-413, GR FLOOR, HRBR LAYOUT, 3RD BLOCK, KAMMANAHALLI, BANGALORE 560043</t>
  </si>
  <si>
    <t>GF-005, DLF CITY CENTRE MALL, PLOT NO 2,
KISHANGARH, MANI MARZA, CHANDIGARH 160101</t>
  </si>
  <si>
    <t>UNIT NO S-321, SOUTH CITY MALL, NO 375, PRINCE ANWAR SHAH ROAD, KOLKATA-700068</t>
  </si>
  <si>
    <t>UNIT NO SF-10, 2ND FLOOR, VEGA CITY MALL, 1ST CROSS ROAD, DOLLAR LAYOUT,BTM LAYOUT,  BANGALORE 560076</t>
  </si>
  <si>
    <t>UNIT NO F-51, LULU MALL, THRIKKAKKARA, KANAYANNUR, KRNAKULAM, EDAPALLY, KOCHI-682024</t>
  </si>
  <si>
    <t>UNIT NO 232B, 2ND FLOOR, ELANTE MALL,PLOT NO 178- 178A, INDUSTRIAL AREA PHASE-1, CHANDIGARH-160002</t>
  </si>
  <si>
    <t>10081- R CITY MALL</t>
  </si>
  <si>
    <t>UNIT NO SF 14,R CITY MALL, 2ND FLOOR,LBS MARG, GHATKOPAR WEST, MUMBAI 400086</t>
  </si>
  <si>
    <t>MUMBAI/MAHARASHTRA</t>
  </si>
  <si>
    <t>10076-PHOENIX PALLADIUM</t>
  </si>
  <si>
    <t>UNIT NO T-13, THIRD FLOOR, PHOENIX PALLADIUM, BLOCK NO 2, PHOENIX MILLS COMPOUND 462, SENAPATI BAPAT MARG, LOWER PAREL, MUMBAI 400013</t>
  </si>
  <si>
    <t>10053- PHOENIX MARKETCITY KURLA</t>
  </si>
  <si>
    <t>UNIT NO F 19,PHOENIX MARKET CITY, LBS MARG,KURLA WEST,MUMBAI MUMBAI - 400070</t>
  </si>
  <si>
    <t>10031-INFNITI MALAD</t>
  </si>
  <si>
    <t>UNIT FF 214,INFINITI MALL, CTS NO 1406/3/9,LINK ROAD, MALAD WEST, MUMBAI 400064</t>
  </si>
  <si>
    <t>10123-KUMAR PACIFIC MALL</t>
  </si>
  <si>
    <t>UNIT NO FF-10, 1ST FLOOR, KUMAR PACIFIC MALL, BEARING CTS NO 42 AND 43, SHANKAR SHETH ROAD, GULTEKDI, PUNE 411037</t>
  </si>
  <si>
    <t>SHOP NO K07, GR FLOOR AND MEZZANINE FLOOR, PALLADIUM GRAND PHASE II, S.NO 17/1A/2, DHANORI, PUNE 411015</t>
  </si>
  <si>
    <t>SHOP NO 25, GR FLOOR &amp; FIRST FLOOR, SACRED HEART TOWN CHS, BUILDING H, S.NO 75/2/2, WANAWADI, PUNE 411040</t>
  </si>
  <si>
    <t>SHOP NO 6/A,, GR FLOOR AND FIRST FLOOR, ASHOK VIJAY COMPLEX, CAMP MG ROAD, PUNE 411033</t>
  </si>
  <si>
    <t>SHOP NO 9,, SHALIMAR TRAM BUILDING,, SECT AND CH.PRIYAKUNJ CO.OP SOCIETY,, PLOT NO 72, OPP KHALSA DIARY, VIMAN NAGAR, PUNE 411014</t>
  </si>
  <si>
    <t>UNIT NO FF-15, ELPRO CITY SQUARE, CTS NO 4270,CHINCHWADGAON, PIMPRI CHINCHAWAD, PUNE, 411033</t>
  </si>
  <si>
    <t>UNIT NO SF-04A, VIVIANA MALL, POKRAN ROAD, NEXT TO JUPITER HOSPITAL, PANCHPAKHADI, THANE WEST-400606</t>
  </si>
  <si>
    <t>UNIT NO FF-23, THE PAVILLION MALL, PLOT NO 403A/1, TPS1, SHIVAJI NAGAR, BHAMBURADA, PUNE, 411016</t>
  </si>
  <si>
    <t>UNIT NO FF-04, WESTEND MALL, SECTOR 1,CTS NO 2495, AUNDH VILLAGE, PUNE 411007</t>
  </si>
  <si>
    <t>UNIT NO 24, GR FLOOR, GNP GALAXY, VADOL GAON, WALDHUNI, AMBERNATH 421501</t>
  </si>
  <si>
    <t>AMBERNATH/ MAHARASHTRA</t>
  </si>
  <si>
    <t>UNIT NO SF-66, 2ND FLOOR, SEAWOODS GRAND CENTRAL MALL, PLOT NO R-1, SECTOR 40, SEAWOODS, NERUL, NAVI MUMBAI 400706</t>
  </si>
  <si>
    <t>NAVI MUMBAI/ MAHARASHTRA</t>
  </si>
  <si>
    <t>UNIT NO GF-14, GR FLOOR, GRAND HIGH STREET, PLOT NO 1 AND 2, VILLAGE HINJEWADI, PUNE 411057</t>
  </si>
  <si>
    <t>SHOP NO 71,, GROUND AND MEZZANINE FLOOR,
VISION 9,, PIMPLE SAUDAGAR, PUNE
(MUNICIPAL CORPORATION.) , PUNE CITY, PUNE,
411027</t>
  </si>
  <si>
    <t>NEELAMANGALA WAREHOUSE</t>
  </si>
  <si>
    <t>S.NO 34/1, 35, 37/3,, 37/4, VILLAGE B.MAYLANAHALLI,, KASABA HOBLI,, NELAMANGALA TALAUK,, BANGALORE RURAL, 562123</t>
  </si>
  <si>
    <t>KA/BANGALORE</t>
  </si>
  <si>
    <t>HEAD OFFICE</t>
  </si>
  <si>
    <t>A BLOCK, 6TH FLOOR, TOWER A, IBC KNOWLEDGE PARK, 4/1, BANNERGHATTA MAINROAD, S.G. PALYA, BHAVANI NAGAR, BANGALORE, 560029</t>
  </si>
  <si>
    <t>UNIT NO RSM 16, RELIANCE MALL, NEAR SD COLLEGE, VADACKKAL, P.O. KALARCODE JUNCTION, ALLEPPEY 688003</t>
  </si>
  <si>
    <t>ALLEPPEY/ KERALA</t>
  </si>
  <si>
    <t>UNIT NO 125, 1ST FLOOR, GSM MALL, S.NO 99 PART A AND 100 PART, MADEENAGUDA, MIYAPUR, HYDERABAD 500049</t>
  </si>
  <si>
    <t>NO 4-16-3, BASHEERBAD, QUTUBULPUR, HYDERABAD 500067</t>
  </si>
  <si>
    <t>SHOP NO 2, GR FLOOR, BEARING NO 3-6-518 &amp; 3-6-519, HIMAYATNAGAR, HYDERABAD 500029</t>
  </si>
  <si>
    <t>GR FLOOR, PRAKASH COMPLEX, PLOT BEARING NO 1, HOUSE NO 3-1 &amp; 3-11/P, SURVEY NO 20 &amp; 28/1, MIYAPUR RESIDENTIAL COMPLEX, HUDA COLONY, HYDERABAD 500090</t>
  </si>
  <si>
    <t>GR FLOOR, BEARING NO 4-12/B AND 4-12/C, SURVEY NO 107, DUBEY COLONY ROAD, SERILINGAMPALLY, TELANGANA 500019</t>
  </si>
  <si>
    <t>GR FLOOR, D.NO. 10-4-227/2/GF, PAVAN PLAZA, SURVEY NO 32/A, LINGOJIGUDA, SAROOR NAGAR, REVENUE MANDAL, L B NAGAR, KARMANGHAT 500079</t>
  </si>
  <si>
    <t>GR FLOOR, BEARING NO 9,41, DHARMA REDDY COLONY, HYDERNAGAR, KUKKATPALLY 500072</t>
  </si>
  <si>
    <t>UPPER GROUND FLOOR, PARKLANE, BEARING NO 1-6-45 &amp; 251, SECUBDRABAD, HYDERABAD 500003</t>
  </si>
  <si>
    <t>SHOP NO 4, HOUSE NO. 5-5-303/23/NR, PLOT NO 23&amp;24, PRASHANT NAGAR, VANASTHALIPURAM, L.B NAGAR, HYDERABAD 500070</t>
  </si>
  <si>
    <t>SHOP NO 4-7-152/1, NAGENDER NAGAR, HABISGUDA MAIN ROAD, HABISGUDA, HYDERABAD 500007</t>
  </si>
  <si>
    <t>LIG-A2, H.NO 1-12-2, DR A S RAO NAGAR MAIN ROAD, KAPRA MANDAL, MEDCHAL-MALKAJGIRI, HYDERABAD 500062</t>
  </si>
  <si>
    <t>BENGALURU/ KARNATAKA</t>
  </si>
  <si>
    <t>UNIT NO SF-03, 2ND FLOOR, DSL VIRTUE MALL, IDA UPPAL HYDERABAD, TELANGANA 500039</t>
  </si>
  <si>
    <t>UNIT NO L4-31, L &amp; T PUNJAGUTTA MALL, BLOCK-E, WARD 89, PUNJAGUTTA, HYDERABAD-500082</t>
  </si>
  <si>
    <t>UNIT NO 219, 2ND FLOOR, THE FORUM SUJANA MALL, SURVEY NO 1009, KUKKATPALLY, BALANAGAR VILLAGE, RANGA REDDY DISTRICT, HYDERABAD 500072</t>
  </si>
  <si>
    <t>UNIT NO FF-21, 1ST FLOOR, SHALIMAR GATEWAY MALL, ALAM BAGH, LUCKNOW, UTTAR PRADESH 226005</t>
  </si>
  <si>
    <t xml:space="preserve">FITTING NEW </t>
  </si>
  <si>
    <t>NEW HO-CLOSED</t>
  </si>
  <si>
    <t>A WING, 5TH FLOOR, EMBASSY PRIME, NO 66/2, C V RAMAN NAGAR, BYRASANDRA VILLAGE, BANGALORE  560093</t>
  </si>
  <si>
    <t>CLOSED</t>
  </si>
  <si>
    <t>KOKA HARYANA WAREHOUSE</t>
  </si>
  <si>
    <t>KILLA NO 25/2(1-35), KOKA VILLAGE, JHAJJAR DISTRICT, HARYANA 124108</t>
  </si>
  <si>
    <t>JHAJJAR/ HARYANA</t>
  </si>
  <si>
    <t>10099-CLOSED</t>
  </si>
  <si>
    <t>SHOP NO-1 UPPER GR FLOOR, THE HUB , PLOT
NO-332, VILLAGE GHORPADI, HAVELI, PUNE
411001</t>
  </si>
  <si>
    <t>MH/PUNE</t>
  </si>
  <si>
    <t>10089-CLOSED</t>
  </si>
  <si>
    <t>SHOP NO 109A, FIRST FLOOR, BROOKEFIELD MALL, PROPERTY SURVEY NUMBER 111, 123/2(P), KUNDALAHALLI VILLAGE, BANGALORE, 560066</t>
  </si>
  <si>
    <t>10088-CLOSED</t>
  </si>
  <si>
    <t>TOTAL MADIWALA, SHOP NO 28, GR FLOOR, MARKET SQUARE MALL, HOSUR ROAD AND SARJAPUR ROAD, MADIWALA, BANGALORE 560034</t>
  </si>
  <si>
    <t>10047 CLOSED DT29-02-24</t>
  </si>
  <si>
    <t>UNIT NO 1, GR FLOOR, PLOT NO 16, KAPIL VIHAR, PITAMPURA, SARASWATI VIHAR, DELHI 110034</t>
  </si>
  <si>
    <t>10044 CLOSED</t>
  </si>
  <si>
    <t>SILVER SQUARE, JUBLIEE HILLS, ROAD NO 36, HYDERABAD 500033</t>
  </si>
  <si>
    <t>10039-CLOSED</t>
  </si>
  <si>
    <t>SHOP NO F-372, 2ND FLOOR, DLF MALL OF INDIA, SECTOR 18, NOIDA, UTTAR PRADESH-201301</t>
  </si>
  <si>
    <t>UP/NOIDA</t>
  </si>
  <si>
    <t>10028-CLOSED</t>
  </si>
  <si>
    <t>UNIT NO 125, FIRST FLOOR, THE FORUM NEIGHBOURHOOD MALL, WHITEFIELD MAIN ROAD, WHITEFIELD, BANGALORE 560066</t>
  </si>
  <si>
    <t>DOCUMENT PENDING</t>
  </si>
  <si>
    <t>VASHI SEC 19</t>
  </si>
  <si>
    <t>ADIMAYA SHAKTI FRUIT COMPANY</t>
  </si>
  <si>
    <t>OPEN SHED(BACK SIDE),, APMC FRUIT MARKET, SECTOR 19,, VASHI TURHBA,NAVI MUMBAI 400705,, NAVI MUMBAI (MUNICIPAL CORPORATION.) , THANE, THANE, 400705</t>
  </si>
  <si>
    <t>MH/NAVI MUMBAI</t>
  </si>
  <si>
    <t>FSSAI</t>
  </si>
  <si>
    <t>AMAR JYOTI</t>
  </si>
  <si>
    <t>UNIT NO 16, JALARAM WHOLESALE MARKET, PLOT NO 1A, SECTOR 19C, VASHI, NAVI MUMBAI 400703, VASHI ZONE (EXCEPT APMC MARKET I, APMC MARKET II &amp; ONION, POTATO, FRUIT &amp; VEGATABLE MARKET), NAVI MUMBAI MUNICIPAL CORPORATION (THANE ZONE-3), MAHARASHTRA - 400703</t>
  </si>
  <si>
    <t xml:space="preserve">AMBIKA ENTERPRISES </t>
  </si>
  <si>
    <t>SHOP NO 08, SHANTI KUNJ, PLOT NO 09, SECTOR-19, KAMOTHE, NAVI MUMBAI-410209, PANVEL CITY, RAIGAD, MAHARASHTRA - 410209</t>
  </si>
  <si>
    <t>MH/PANVEL</t>
  </si>
  <si>
    <t>AMPLITUDE ENTERPRISE PVT LTD - CLOSED</t>
  </si>
  <si>
    <t>SHOP NO 5, GR FLOOR, SECTOR 1, PLOT NO 5, OPP DY PATIL COLLEGE, AHILYA GOKUL PATIL ROAD, NERUL, NAVI MUMBAI 400706</t>
  </si>
  <si>
    <t xml:space="preserve">TURBHE </t>
  </si>
  <si>
    <t>ANITA MOHAN DODEJA</t>
  </si>
  <si>
    <t>UNIT NO 4, GROUND FLOOR, SAGAR RATNA, PLOT NO D-265, TTC MIDC, TURBHE, NAVI MUMBAI 400705</t>
  </si>
  <si>
    <t>NAVI MUMBAI/MAHARASHTRA</t>
  </si>
  <si>
    <t>VASHI SECTOR 7-CLOSED</t>
  </si>
  <si>
    <t>SHOP NO 15 , GROUND FLOOR, F TYPE APARTMENT OWNERS ASSOCIATION, SECTOR 7, VASHI, NAVI MUMBAI 400703</t>
  </si>
  <si>
    <t>APPLE HOSPITALITY - CLOSED</t>
  </si>
  <si>
    <t>UNIT NO 24,31,32,33,34, SATRA PLAZA, PLOT NO 19/20, SECTOR 19D, VASHI, NAVI MUMBAI 400705, VASHI ZONE (EXCEPT APMC MARKET I, APMC MARKET II &amp; ONION, POTATO, FRUIT &amp; VEGATABLE MARKET), NAVI MUMBAI MUNICIPAL CORPORATION (THANE ZONE-4), MAHARASHTRA-400705</t>
  </si>
  <si>
    <t>SATRA PLAZA-CLOSED</t>
  </si>
  <si>
    <t>AROMA FOODS AND BEVERAGES - CLOSED</t>
  </si>
  <si>
    <t xml:space="preserve">SHOP NO 59, PLOT NO 19, SECTOR 19D, TURBHE NAVI MUMBAI </t>
  </si>
  <si>
    <t>VASHI SEC 18</t>
  </si>
  <si>
    <t>ASW ENTERPRISES</t>
  </si>
  <si>
    <t>SHOP NO 10, DEVI ANNAPURNA PREMISES CHS, PLOT NO 8, SECTOR 18, VASHI-TURBHE, , VASHI ZONE, NAVI MUMBAI, MAHARASHTRA - 400705</t>
  </si>
  <si>
    <t>HANIF ABDUL BAGWAN</t>
  </si>
  <si>
    <t>BAGWAN AND SONS</t>
  </si>
  <si>
    <t>OPEN SHED,APMC FRUIT MARKET,SECTOR-19,TURBHE,VASHI,NAVI MUMBAI</t>
  </si>
  <si>
    <t>HANIF ABDUL BAGWAN-CLOSED</t>
  </si>
  <si>
    <t>DORMANT</t>
  </si>
  <si>
    <t>RE-OPEN</t>
  </si>
  <si>
    <t xml:space="preserve">BHAGWATI STATIONERY AND XEROX - ASHOK </t>
  </si>
  <si>
    <t>SHOP NO 1,2 AND 3, PLOT NO 179, SHELTER PALACE, NEAR SBI, SECTOR 19C, VASHI, NAVI MUMBAI 400703</t>
  </si>
  <si>
    <t>PE AIROLI</t>
  </si>
  <si>
    <t>BHARTI OVERSEAS PVT LTD</t>
  </si>
  <si>
    <t>UNIT NO. - F&amp;B -03, GROUND FLOOR, PLOT NO. 03, MINDSPACE SEZ THANE BELAPUR ROAD, AIROLI, NAVI MUMBAI - 400708</t>
  </si>
  <si>
    <t>PE-MALL OF ASIA</t>
  </si>
  <si>
    <t xml:space="preserve">UNIT NO. T-38, THIRD FLOOR, PHOENIX MALL OF ASIA, NO.239/240/ 275/89/1, BYATARAYANAPURA, BB ROAD, BANGALORE 560092
</t>
  </si>
  <si>
    <t>PE-KORAMANGALA</t>
  </si>
  <si>
    <t>NO. 136 GROUND FLOOR, 1ST CROSS ROAD, 5TH BLOCK, KORAMANGALA, BANGALORE 560095</t>
  </si>
  <si>
    <t>PE-KAMANAHALLI</t>
  </si>
  <si>
    <t>3AC-421 2ND BLOCK 3RD A CROSS ROAD HRBR LAYOUT, BANGALORE 560043</t>
  </si>
  <si>
    <t>PE-INDIRANAGAR</t>
  </si>
  <si>
    <t>NO 949 12TH MAIN ROAD, HAL 2ND STAGE BANGALORE 560038</t>
  </si>
  <si>
    <t>PE- ORION MALL</t>
  </si>
  <si>
    <t>UNIT NO:R3 &amp; R3A 2 ND FLOOR ORION MALL BRIGADE GATEWAY MALLESWARAM,BANGALORE 560055</t>
  </si>
  <si>
    <t>CHILIS ORION MALL</t>
  </si>
  <si>
    <t>UNIT NO R3 &amp;R3A SECOND FLOOR ORION MALL BRIGADE
GATEWAY DR RAJKUMAR ROAD MALLESWARAM,BANGALORE 560055</t>
  </si>
  <si>
    <t>PE- VIOS WADALA</t>
  </si>
  <si>
    <t>UNIT NO.- F&amp;B - 02,,GROUND FLOOR, VIOS TOWER,OFF EASTERN EXPRESS FREEWAY, NEAR WADALA,TERMINAL , WADALA EAST,,MUMBAI,MUMBAI,400037</t>
  </si>
  <si>
    <t>May</t>
  </si>
  <si>
    <t>HEALTH</t>
  </si>
  <si>
    <t>PECK KHAR</t>
  </si>
  <si>
    <t>UNIT NO.1, ZAVERI HOUSE, CHITRAKAR DHURANDHAR MARG, 14 TH ROAD, PLOT NO.442, KHAR WEST, MUMBAI- 400052</t>
  </si>
  <si>
    <t>Nov</t>
  </si>
  <si>
    <t>PE BALEWADI</t>
  </si>
  <si>
    <t>SHOP NO. 5 B , COMMERCIAL B BUILDING, BALEWADI HIGHSTREET , LAXMAN NAGAR, PUNE - 411045</t>
  </si>
  <si>
    <t xml:space="preserve">HEALTH </t>
  </si>
  <si>
    <t>PE-KOPA MALL</t>
  </si>
  <si>
    <t>UNIT NO.2-09 AND 2- 09 A, SECOND FLOOR,KOPA MALL , NORTH MAIN ROAD ,KOREGOAN PARK, MUNDHWA ROAD, GHORPADI , PUNE- 411001</t>
  </si>
  <si>
    <t>PE-INORBIT MALL</t>
  </si>
  <si>
    <t>UNIT NO F-48 A, FIRST FLOOR, INORBIT MALL, , SURVEY NO 64,
MADHAPUR VILLAGE, SERILIMGAMPALLY, MADHAPUR,
SERILINGAMPALLY,RANGAREDDY</t>
  </si>
  <si>
    <t>UNIT NO. F-48 A, FIRST FLOOR, INORBIT MALL, SURVEY NO. 64, MADHAPUR VILLAGE, SERILIMGAMPALLY TELANGANA-500081</t>
  </si>
  <si>
    <t>PECK-BANJARA HILLS</t>
  </si>
  <si>
    <t>MCH NO. 6-3-346/1, ROAD NO.1, 1ST FLOOR, BANJARA HILLS,
KHAIRATABAD,  HYDERABAD 500034</t>
  </si>
  <si>
    <t>PE-CK BANJARA HILLS</t>
  </si>
  <si>
    <t>,MCH NO 6-3-346/1, ROAD NO 1, FIRST FLOOR, ,
BANJARA HILLS, KHAIRATABAD, CIRCLE 10, CIRCLE 10,HYDERABAD</t>
  </si>
  <si>
    <t>CHILIS-INORBIT MALL</t>
  </si>
  <si>
    <t>(CHILIS),UNIT NO F-48A, FIRST FLOOR,
INORBIT MALL,, SURVEY NO. 64, MADHAPUR
VILLAGE, SERILIMGAMPALLY , MADHAPUR,
SERILINGAMPALLY,RANGAREDDY</t>
  </si>
  <si>
    <t>OMG, MUMBAI (OBEROI MALL)</t>
  </si>
  <si>
    <t>UNIT NO-R-03, 3RD FLOOR, OBEROI MALL, OPP. WESTERN EXPREESS HIGHWAY, GOREGAON (EAST), MUMBAI 400063</t>
  </si>
  <si>
    <t>PE OMG (OBEROI MALL)</t>
  </si>
  <si>
    <t>UNIT NO-R-03, 3RD FLOOR, OBEROI MALL, OPP. WESTERN EXPREESS HIGHWAY, GOREGAON (EAST),
MUMBAI,400063</t>
  </si>
  <si>
    <t>March</t>
  </si>
  <si>
    <t xml:space="preserve">PE-HIRANANDANI  (THW)	</t>
  </si>
  <si>
    <t>SHOP NO. - 05, GROUND FLOOR, THE WALK
HIRANANDANI ESTATE ROAD, THANE - 400607,</t>
  </si>
  <si>
    <t>April</t>
  </si>
  <si>
    <t>CHILIS &amp; PE ORION MALL</t>
  </si>
  <si>
    <t>Chili's, No.26 &amp; 26/1, Shop No. R-3 &amp; R-3A,
Brigade Orion Mall, Rajajinagar, Bengaluru -
560055</t>
  </si>
  <si>
    <t>BENGALURU</t>
  </si>
  <si>
    <t xml:space="preserve">PE- BALEWADI </t>
  </si>
  <si>
    <t>PE-ORION MALL</t>
  </si>
  <si>
    <t>UNIT NO. R3 + R3A, SECOND FLOOR, ORION
MALL, BRIGADE GATEWAY,26/1, 80 FEET ROAD,
MALLESHWARAM WEST, Malleshwaram, 560055</t>
  </si>
  <si>
    <t>UNIT NO. R3 + R3A, SECOND FLOOR, ORION MALL, BRIGADE GATEWAY,26/1, 80 FEET ROAD, MALLESHWARAM WEST  560055</t>
  </si>
  <si>
    <t>Unit No T 38, Third Floor, Phoneix Mall Of Asia, Byatarayanapura
Village, Yelahanka, Bengaluru, 560092,</t>
  </si>
  <si>
    <t>UNIT NO T 38, THIRD FLOOR, PHONEIX MALL OF ASIA, BYATARAYANAPURA VILLAGE, YELAHANKA, BENGALURU, 560092</t>
  </si>
  <si>
    <t>NO.136, 1ST CROSS ROAD, 5TH BLOCK, BTM LAYOUT,
KORAMANGALA, BANGALORE, 560095,</t>
  </si>
  <si>
    <t>421 3RD A Cross, 2ND 421, 3rd A Cross, 2nd Block, HRBR LAYOUT,
BANGALORE, 560043,</t>
  </si>
  <si>
    <t>421 3RD A CROSS, 2ND 421, 3RD A CROSS, 2ND BLOCK, HRBR LAYOUT, BANGALORE, 560043</t>
  </si>
  <si>
    <t>72-1-949, BBMP Ward No 72, New Ward No.112, 12th Main Road,
HAL II Stage Extension, Bangalore, 560038,</t>
  </si>
  <si>
    <t>72-1-949, BBMP WARD NO 72, NEW WARD NO.112, 12TH MAIN ROAD,
HAL II STAGE EXTENSION, BANGALORE, 560038</t>
  </si>
  <si>
    <t>CHILIS &amp; PE- ORION MALL</t>
  </si>
  <si>
    <t>26/1 R3 R3A, SECOND FLOOR DR RAJKUMAR ROAD, ORION MALL,
MALLESWARAM WEST, 80 FEET ROAD, BANGALORE, 560055,</t>
  </si>
  <si>
    <t>PE-ANDHERI</t>
  </si>
  <si>
    <t xml:space="preserve">UNIT NO 1, GROUND FLOOR, CRYSTAL PARADISE,CTS NO 844 29 AMBIVALI VILLAGE, VEERA DESAI ROAD,ANDHERI WEST, MUMBAI 
400053 </t>
  </si>
  <si>
    <t>PE-SEAWOODS</t>
  </si>
  <si>
    <t>UNIT NO. - F&amp;B-4, AIR SPACE, SECOND FLOOR, AIR SPACE FLOOR, SEAWOODS NEXUS GRANDCENTRAL MALL, PLOT NO. - R1, SECTOR- 40, SEAWOODS RAILWAYSTATION, REVENUE VILLAGE NERUL, NAVIMUMBAI - 400706</t>
  </si>
  <si>
    <t>NAVI MUMBAI | MAHARASHTRA</t>
  </si>
  <si>
    <t>NO 136, 1st CROSS ROAD, 5th BLOCK,
KORAMANGALA, BENGALURU, BTM Layout, Karnataka-560095</t>
  </si>
  <si>
    <t>Feb</t>
  </si>
  <si>
    <t>NO 136, 1ST CROSS ROAD, 5TH BLOCK, KORAMANGALA, BENGALURU 560095</t>
  </si>
  <si>
    <t>PE-POWAI</t>
  </si>
  <si>
    <t>UNIT NO G 14 ,RESTAURANT NO. 8 ,B WING,GROUND FLOOR, VENTURA BUILDING ,CTS NO 15-B, POWAI, MUMBAI 400076</t>
  </si>
  <si>
    <t xml:space="preserve">PE VIOS WADALA	</t>
  </si>
  <si>
    <t>UNIT NO. - F &amp;B -02, GROUND FLOOR, VIOS TOWER, OFF EASTERN FREEWAY, NEAR WADALA TRUCK TERMINAL , WADALA EAST,
MUMBAI - 400037</t>
  </si>
  <si>
    <t>PE- AERO MALL</t>
  </si>
  <si>
    <t>UNIT NO. - K- 1, SECOND FLOOR, AERO MALL, NEXT TO PUNE AIRPORT, SURVEY NO. - 225, LOHEGAON, PUNE - 411032</t>
  </si>
  <si>
    <t>PE-KHAR</t>
  </si>
  <si>
    <t>UNIT NO.1, ZAVERI BUILDING, 442 CHITRAKAR
 DHURANDHA MARG,KHAR WEST, MUMBAI 400052</t>
  </si>
  <si>
    <t>Aug</t>
  </si>
  <si>
    <t>PE-BKC</t>
  </si>
  <si>
    <t>UNIT NO. 001 BLOCK C, FIFC, PLOT NO.C-54 AND 55,
G BLOCK, BANDRA KURLA COMPLEX, BANDRA EAST,
MUMBAI 400051</t>
  </si>
  <si>
    <t>Unit No T-38, Third Floor, Phoenix Mall Of Asia, Site No.239/240/275/89/1, Byatarayanapura Village, Yelahanka Hobli, Bengaluru ,560092</t>
  </si>
  <si>
    <t>Oct</t>
  </si>
  <si>
    <t>UNIT NO T-38, THIRD FLOOR, PHOENIX MALL OF ASIA, SITE NO.239/240/275/89/1, BYATARAYANAPURA VILLAGE, YELAHANKA HOBLI, BENGALURU  560092</t>
  </si>
  <si>
    <t xml:space="preserve">PE VIVIANA MALL	</t>
  </si>
  <si>
    <t>UNIT NO. SF -30 ,SECOND FLOOR , VIVIANA
MALL, VOLTAS COMPOUND , POKHRAN ROAD NO 2, THANE WEST-400607</t>
  </si>
  <si>
    <t>421, Ground Floor, 3rd A Cross Road, 2nd
Block, HRBR Layout, Shivajinagara, B.B.M.P
East, Karnataka-560043</t>
  </si>
  <si>
    <t>421, GROUND FLOOR, 3RD A CROSS ROAD, 2ND BLOCK, HRBR LAYOUT, SHIVAJINAGARA, 3560043</t>
  </si>
  <si>
    <t>72-1-949 BBMP, WARD NO.72, NEW WARD
NO.112, HAL II STAGE EXTENSION, 12TH MAIN
ROAD, BANGALORE,-560038</t>
  </si>
  <si>
    <t>72-1-949 BBMP, WARD NO.72, NEW WARD NO.112, HAL II STAGE EXTENSION, 12TH MAIN ROAD, BANGALORE 560038</t>
  </si>
  <si>
    <t>CHILI'S, NO.26 &amp; 26/1, SHOP NO. R-3 &amp; R-3A,
BRIGADE ORION MALL, RAJAJINAGAR, BENGALURU 560055</t>
  </si>
  <si>
    <t>CBD BELAPUR</t>
  </si>
  <si>
    <t>SHOP NO 11 &amp; 12, GROUND FLOOR, MAHAVIR ICON, PLOT NO 89 &amp; 90   SECTOR 15, CBD BELAPUR, NAVI MUMBAI 400614</t>
  </si>
  <si>
    <t>PE NSO, AIROLI</t>
  </si>
  <si>
    <t>UNIT NO. - F&amp;B -03, GROUND FLOOR, PLOT
NO. 03, MINDSPACE SEZ , THANE BELAPUR ROAD, AIROLI , NAVI MUMBAI - 400708</t>
  </si>
  <si>
    <t>UNIT NO. RES - 22, 2ND FLOOR, INORBIT MALL, LINKROAD, MALAD WEST MUMBAI, 40006</t>
  </si>
  <si>
    <t>DONE BY COMPANY</t>
  </si>
  <si>
    <t>FIRE</t>
  </si>
  <si>
    <t>JAYANAGAR</t>
  </si>
  <si>
    <t>BIRYANIS AND MORE PVT LTD</t>
  </si>
  <si>
    <t>BEARING NO 178/5, GR FLOOR, 25TH CROSS, 8TH 'F' MAIN ROAD, 3RD BLOCK, JAYANAGAR, BANGALORE 560011, JAYANAGAR , B.B.M.P SOUTH, KARNATAKA-560011</t>
  </si>
  <si>
    <t>APOLLO INDORE</t>
  </si>
  <si>
    <t>UNIT NO G-04, GROUND FLOOR, APOLLO PREMIER, PLOT NO 1, SCHEME NO 54, P.U-4, VIJAY NAGAR, INDORE 452010</t>
  </si>
  <si>
    <t>INDORE/MADHYA PRADESH</t>
  </si>
  <si>
    <t>EXPRESS AVENUE</t>
  </si>
  <si>
    <t>SHOP NO. S-241, SECOND FLOOR, EXPRESS AVENUE, NO. 49 &amp; 50, WHITES ROAD, ROYAPETTAH CHENNAI  600014, TAMIL NADU</t>
  </si>
  <si>
    <t>CHENNAI/ TAMILNADU</t>
  </si>
  <si>
    <t>PROFESSIONAL TAX</t>
  </si>
  <si>
    <t>INFINITI MALAD</t>
  </si>
  <si>
    <t>UNIT NO. SF 243/A, SECOND FLOOR,  INFINITI MALAD, MALAD LINK ROAD, MALAD WEST, MUMBAI 400064</t>
  </si>
  <si>
    <t>VEGAS MALL</t>
  </si>
  <si>
    <t>SHOP NO S-230, SECOND FLOOR, VEGAS MALL, PLOT NO 06, SECTOR 14 DWARKA, NEW DELHI 110078</t>
  </si>
  <si>
    <t>NEW DELHI/ DELHI</t>
  </si>
  <si>
    <t>LINKING ROAD, MUMBAI</t>
  </si>
  <si>
    <t>SHOP NO 4, GROUND FLOOR, KOLTE PATIL LAKE PALACE, SANTACURZ WEST, MUMBAI 400054.</t>
  </si>
  <si>
    <t xml:space="preserve">BORIVALI   </t>
  </si>
  <si>
    <t>SHOP NO 51, GROUND AND FIRST FLOOR, SATRA PARK, SIMPOLI ROAD, NEAR KASTUR PARK, BORIVALI WEST, MUMBAI 400092</t>
  </si>
  <si>
    <t>Jan</t>
  </si>
  <si>
    <t>SHOP NO 51, GROUND AND FIRST FLOOR, SATRA PARK, SIMPOLI ROAD, NEAR KASTUR PARK, BORIVALI WEST, MUMBAI 400092 (ENGLISH SIGNAGE)</t>
  </si>
  <si>
    <t>SHOP NO 51, GROUND AND FIRST FLOOR, SATRA PARK, SIMPOLI ROAD, NEAR KASTUR PARK, BORIVALI WEST, MUMBAI 400092 (MARATHI SIGNAGE)</t>
  </si>
  <si>
    <t>UNIT NO G 62, GROUND FLOOR, PHOENIX MARKET CITY, LBS MARG, KURLA WEST,MUMBAI, 400070</t>
  </si>
  <si>
    <t>COMMERCIAL STREET</t>
  </si>
  <si>
    <t>UPPER GROUND FLOOR, MEZZANINE FLOOR 24/1,COMMERCIAL STREET, SHIVAJI NAGAR, TASKER TOWN, BENGALURU 560001</t>
  </si>
  <si>
    <t>100 FT ROAD INDIRANAGAR</t>
  </si>
  <si>
    <t>NO 2005, 100 FT ROAD, INDIRANAGAR, 2ND STAGE, HAL, BANGALORE, 560038</t>
  </si>
  <si>
    <t>Jul</t>
  </si>
  <si>
    <t>J M ROAD</t>
  </si>
  <si>
    <t>SHOP NO 7 AND 8, GROUND FLOOR, PLOT NO 595, CTS NO 1261, JANGALI MAHARAJ ROAD,  SHIVAJINAGAR, PUNE 411005</t>
  </si>
  <si>
    <t>ELAN EPIC</t>
  </si>
  <si>
    <t>SHOP NO GF 52, GROUND FLOOR, ELAN EPIC, COMMERCIAL COLONY, SECTOR 70, GURUGRAM 122101</t>
  </si>
  <si>
    <t>GURUGRAM/HARYANA</t>
  </si>
  <si>
    <t>SARATH CITY MALL</t>
  </si>
  <si>
    <t>UNIT NO GF-130, GROUND FLOOR, SARATH CITY CAPITAL MALL, KOTHAGUDA VILLAGE, SERILINGAMAPALLY MANDAL, HYDERABAD 500084</t>
  </si>
  <si>
    <t>NEXUS HYDERABAD MALL</t>
  </si>
  <si>
    <t>UNIT NO SF 202, 2ND FLOOR,NEXUS HYDERABAD MALL,, SY NO 1009,KUKKATPALLY VILLAGE, MEDCHAL MALKAJGIRI, KUKATPALLY, KUKATPALLY,MEDCHAL (MALKAJGIRI)</t>
  </si>
  <si>
    <t>VR SURAT</t>
  </si>
  <si>
    <t>UNIT NO 116G, FIRST FLOOR, VR SURAT, DUMAS ROAD, SURAT 395007, GUJARAT</t>
  </si>
  <si>
    <t>SURAT/GUJARAT</t>
  </si>
  <si>
    <t>C G ROAD</t>
  </si>
  <si>
    <t xml:space="preserve">UNIT NO 3, GF, PUROHIT AVENUE,C.G ROAD, NAVRANGPURA, AHMEDABAD380009
</t>
  </si>
  <si>
    <t>XPERIA MALL</t>
  </si>
  <si>
    <t>KIOSK, 3RD FLOOR, FOOD COURT, ATRIUM 1, LODHA XPERIA
MALL, SHILPHATA ROAD, PALAVA, DOMBIVALI - 421204</t>
  </si>
  <si>
    <t>DOMBIVALI/MAHARASHTRA</t>
  </si>
  <si>
    <t>THIRUVOTTIYUR</t>
  </si>
  <si>
    <t>(THE BELGIAN WAFFLE CO),THIRUVOTTIUR HIGH ROAD THIRUVOTTIUR CHENNAI, T.H.ROAD,THIRUVOTTIYUR TOWN,TAMIL NADU, 600019</t>
  </si>
  <si>
    <t>THIRUVOTTIYUR/ TAMILNADU</t>
  </si>
  <si>
    <t>MIYAPUR</t>
  </si>
  <si>
    <t>HOUSE NO. 1-122/11, GROUND FLOOR, JAYABHARATHI KALPANA, NANDI  NAGAR, MIYAPUR, HYDERABAD 500049</t>
  </si>
  <si>
    <t>KONDAPUR</t>
  </si>
  <si>
    <t>BEARING NO. 1-111/1/B/28, GROUND FLOOR, PLOT NO 28-B, SURVEY NO 60, RAGHAVENDRA COLONY, KONDAPUR VILLAGE, SERILINGAMPALLY HYDERABAD 500084</t>
  </si>
  <si>
    <t>HYDERABAD</t>
  </si>
  <si>
    <t xml:space="preserve">BEARING NO. 5-2-1070, GROUND FLOOR, ICCHA MOTI MAHAL,
MOZAM JAHI MARKET,RISALA ABDULLAH COLONY, JAM BAGH MOTI MAHAL MARKET, ABIDS, HYDERABAD 500012 </t>
  </si>
  <si>
    <t>HABSIGUDA</t>
  </si>
  <si>
    <t>HOUSE NO 1-7-71-/6, GROUND FLOOR, PLOT NO 6 AND 7, STREET NO 08, MAIN ROAD, HABSIGUDA, HYDERABAD 500007</t>
  </si>
  <si>
    <t>CHAMPAPET</t>
  </si>
  <si>
    <t>SHOP NO 4 AND 5, BEARING NO.17/1/382/N/1GROUND FLOOR, NAGARJUNA COLONY, VAISHALI NAGAR, CHAMPAPET, HYDERABAD 500079</t>
  </si>
  <si>
    <t>AMBERPET</t>
  </si>
  <si>
    <t>NO. 2-2-1109/BK/MIG/86, GROUND FLOOR, SURVEY NO 563/1/2, BLOCK NO 2, BATHUKAMMAKUNTA, BAGH AMBERPET VILLAGE, HYDERABAD 500016</t>
  </si>
  <si>
    <t>C285-WAGHOLI</t>
  </si>
  <si>
    <t>SHOP NO. A-12, QXY-PRIMO, BAKORI PHATA, GAT NO.559/1, OPP BJS COLLEGE, WAGHOLI, PUNE - 412207</t>
  </si>
  <si>
    <t>HEALTH NOC</t>
  </si>
  <si>
    <t>C178-KOPA MALL</t>
  </si>
  <si>
    <t>KIOSK NO F&amp;B -D, FIRST FLOOR, THE KOPA BY LAKE SHORE MALL, SITUATED AT NORTH MAIN ROAD, KOREGOAN PARK, MUNDHWA ROAD, GHORPADI, PUNE - 411001</t>
  </si>
  <si>
    <t>C139-HADAPSAR</t>
  </si>
  <si>
    <t xml:space="preserve">SHOP NO 06, S NO 44H NO A, UPPER GROUND FLOOR, FORTUNE PLAZA, NEAR SAYYAD NAGAR RAILWAY GATE, HADAPSAR, PUNE -411028 </t>
  </si>
  <si>
    <t>C137-SEASONS MALL</t>
  </si>
  <si>
    <t>KIOSK NO. KT-04, THIRD FLOOR, SEASONS MALL, MAGARPATTA CITY, HADAPSAR PUNE - 411013</t>
  </si>
  <si>
    <t>C095-MAGARPATTA</t>
  </si>
  <si>
    <t xml:space="preserve">SHOP NO 10, UPPER GROUND FLOOR, GANDHARV GALAXIA, S NO 135, RASKAR CHOWK, MAGARPATTA, REVENUE VILLAGE,
HADAPSAR - 411028	</t>
  </si>
  <si>
    <t>C085-KHARADI</t>
  </si>
  <si>
    <t>SHOP NO 1, FORTUNE PLAZA, NEXT TO AXIS BANK, EON FREE ZONE ROAD, KHARADI, PUNE 411014</t>
  </si>
  <si>
    <t>C052-AUNDH</t>
  </si>
  <si>
    <t>SHOP NO.2, GROUND FLOOR, PLOT NO.47, SR NO.13/1/19 AND SR NO.13/13/6, INDUS PLANET, AUNDH, PUNE 411007</t>
  </si>
  <si>
    <t>C013- VIMAN NAGAR</t>
  </si>
  <si>
    <t>SHOP NO.1, GROUND FLOOR, KONARK ARCADE, NEAR DATTA MANDIR CHOWK, VIMAN NAGAR, PUNE - 411014</t>
  </si>
  <si>
    <t>BANASWADI</t>
  </si>
  <si>
    <t>THE BELGIAN WAFFLE CO, BEARING NO.10/3-8, GROUND FLOOR, BANASWADI EXTENSION, MARUTHISEVA NAGAR, BENGALURU 560035</t>
  </si>
  <si>
    <t>C329-WARJE</t>
  </si>
  <si>
    <t>SHOP NO. 12, GROUND FLOOR, WING B, SHUBHAM HEIGHTS, ATUL NAGAR, WARJE, PUNE - 411058</t>
  </si>
  <si>
    <t>C218-GANGADGAM</t>
  </si>
  <si>
    <t>SHOP NO 27, GAGAN SAMRUDDHI, 612/7, NEAR MARKET YARD, BIBVEWADILULLANAGAR ROAD, PUNE - 411037</t>
  </si>
  <si>
    <t>C205-MAHARISHI NAGAR</t>
  </si>
  <si>
    <t>SHOP NO 2, SURVEY NO 692/693, DECISION TOWERS, PUNE SATARA ROAD, PUNE - 411037</t>
  </si>
  <si>
    <t>C175-BHAVDHAN</t>
  </si>
  <si>
    <t>SHOP NO.3, S NO.1, HISSA NO. 1 TO 16, PLOT -22 , SUMANSUDHA APP, BAVDHAN, KHURD, PUNE - 411021</t>
  </si>
  <si>
    <t xml:space="preserve">C172-NANDED CITY </t>
  </si>
  <si>
    <t>SHOP UG-01, UPPER GROUND, WING A &amp; B, APPLE REGENCY, OPP. NANDED CITY, MAIN GATE, SINHGAD ROAD, DHAYARI , PUNE -411041</t>
  </si>
  <si>
    <t>C152-KUMAR PACIFIC MALL</t>
  </si>
  <si>
    <t>SHOP NO TF-02, 3RD FLOOR, KUMAR PACIFIC MALL, FP-CTS 42 &amp; 43, SHANKAR SETH ROAD, GULTEKDI, PUNE - 411042</t>
  </si>
  <si>
    <t>C027-KOTHRUD</t>
  </si>
  <si>
    <t>SHOP NO 5, GROUND FLOOR, RAMDUT VIHAR APT, MARUTI MANDIR, KARVE ROAD, KOTHRUD, PUNE 411029</t>
  </si>
  <si>
    <t>C023-SINHAGAD</t>
  </si>
  <si>
    <t>SHOP NO F-02, S NO 37/2B/2,3, SOBA OPTIMA, MANIK BAUG, AMRIT GANGA HIGH STREET, SINGHAGAD ROAD, PUNE - 411051</t>
  </si>
  <si>
    <t>BHIWANDI WAREHOUSE</t>
  </si>
  <si>
    <t>GALA B-5, H NO.475, GROUND FLOOR, ACORN WAREHOUSE AND LOG PARK, DIVE (ANJUR), BHIWANDI 421302,</t>
  </si>
  <si>
    <t>THANE/MAHARASHTRA</t>
  </si>
  <si>
    <t>SANPADA</t>
  </si>
  <si>
    <t>THE BELGIAN WAFFLE CO, SHOP NO 14, GROUND FLOOR, BHOOMI PARADISE CHS,PLOT NO 2 &amp;3 ,SECTOR 11,SANPADA, NAVI MUMBAI-400705</t>
  </si>
  <si>
    <t xml:space="preserve">THE BELGIAN WAFFLE CO, BEARING NO.10/3-8, GROUND FLOOR, BANASWADI EXTENSION, MARUTHISEVA NAGAR, BENGALURU 560033 </t>
  </si>
  <si>
    <t>DOMBIVALI</t>
  </si>
  <si>
    <t>SHOP NO 5, SS BUSINESS PARK, GHARDA CIRCLE, DOMBIVALI EAST 421203</t>
  </si>
  <si>
    <t>BHAYANDAR</t>
  </si>
  <si>
    <t>THE BELGIAN WAFFLE CO, SHOP NO.08, SALASAR BARASANA CHSL, SALASAR BRIJ BHOOMI COMPLEX, TEMBA ROAD, NEW OVER BRIDGE, BHAYANDAR WEST 401101</t>
  </si>
  <si>
    <t>BHAYANDAR/MAHARASHTRA</t>
  </si>
  <si>
    <t>OMAXE, FARIDABAD</t>
  </si>
  <si>
    <t>THE BELGIAN WAFFLE CO, SCO 29, GF WS OMAXE, SECTOR 79, FARIDABAD - 121006</t>
  </si>
  <si>
    <t>WARDHAMAN NAGAR</t>
  </si>
  <si>
    <t xml:space="preserve">SHOP NO 5, GROUND FLOOR, YASH PLAZA, CENTRAL AVENUE ROAD, WARDHAMAN NAGAR, NAGPUR-440008 MAHARASHTRA </t>
  </si>
  <si>
    <t>NAGPUR/ MAHARASHTRA</t>
  </si>
  <si>
    <t>THE BELGIAN WAFFLE CO, BEARING NO.10/3-8, GROUND FLOOR, BANASWADI EXTENSION, MARUTHISEVA NAGAR, BENGALURU 560034</t>
  </si>
  <si>
    <t>VAISHALI NAGAR</t>
  </si>
  <si>
    <t>THE BELGIAN WAFFLE CO,GROUND FLOOR, VAIBHAV COMPLEX, PLOT NO.C-1, C-BLOCK, VAISHALI NAGAR, JAIPUR 302021</t>
  </si>
  <si>
    <t>JAIPUR/ RAJASTHAN</t>
  </si>
  <si>
    <t>TOLLYGUNGE </t>
  </si>
  <si>
    <t>SHAYAM NAGAR</t>
  </si>
  <si>
    <t>THE BELGIAN WAFFLE CO, 15, VIVEK VIHAR MAIN, NEW SANGANER ROAD, JAIPUR -302019</t>
  </si>
  <si>
    <t>SALT LAKE CITY </t>
  </si>
  <si>
    <t>PURNA DAS</t>
  </si>
  <si>
    <t>NAKTALA </t>
  </si>
  <si>
    <t>NAGPUR</t>
  </si>
  <si>
    <t>THE BELGIAN WAFFLE CO. SHOP NO. 6, GROUND FLOOR, KESHAV ENCLAVE, PLOT NO.1, GURUDEO NAGAR, NANDANVAN, NAGPUR 440024</t>
  </si>
  <si>
    <t>MANIPAL UNIVERSITY</t>
  </si>
  <si>
    <t>THE BELGIAN WAFFLE CO., WILD GARDEN CAFE, KHASRA NO 
471, ADJACENT MANIPAL UNIVERSITY JAIPUR 303007</t>
  </si>
  <si>
    <t>KESTOPUR </t>
  </si>
  <si>
    <t>GIRISH PARK </t>
  </si>
  <si>
    <t>EARNING POINT</t>
  </si>
  <si>
    <t>SHOP NO A-12, GROUND FLOOR, EARNING POINT, KOLAR ROAD, BHOPAL 462042</t>
  </si>
  <si>
    <t>BHOPAL/ MADHYA PRADESH</t>
  </si>
  <si>
    <t>DOMBIVALI/ MAHARASHTRA</t>
  </si>
  <si>
    <t>DIAMOND PLAZA MALL</t>
  </si>
  <si>
    <t>DB CITY</t>
  </si>
  <si>
    <t>TK-3, THIRD FLOOR, DB CITY, ARERA HILLS, OPP. ZONE I, M P NAGAR, BHOPAL 462011</t>
  </si>
  <si>
    <t>C-336- JHOTWARA</t>
  </si>
  <si>
    <t>SHOP NO G-6, GROUND FLOOR, KRISHNA ENCLAVE 1, GOKULPURA KALWAR ROAD, JAIPUR 302012</t>
  </si>
  <si>
    <t>C SCHEME</t>
  </si>
  <si>
    <t>SHOP NO 5, MAHAVIR MARG, , OPP MAHAVIR COLLEGE, C
SCHEME, ASHOK NAGAR, JAIPUR 302001</t>
  </si>
  <si>
    <t>BARRACKPORE </t>
  </si>
  <si>
    <t>AXIS MALL </t>
  </si>
  <si>
    <t>AVANI MALL</t>
  </si>
  <si>
    <t>ARERA COLONY</t>
  </si>
  <si>
    <t>THE BELGIAN WAFFLE CO, ROOM NO - 1 E -3/49, KAMDAR BUILDERS, ARERA COLONY, BHOPAL  462016</t>
  </si>
  <si>
    <t>BAWADIA KALAN</t>
  </si>
  <si>
    <t>SHOP NO 8, BLOCK 4, GROUND FLOOR, MAHENDRA SQUARE, PLOT NO 10, BAWADIYA KALAN, SALAIYA, BHOPAL 462039, MADHYA PRADESH</t>
  </si>
  <si>
    <t>LALGHATI</t>
  </si>
  <si>
    <t>SHOP NO 1, GROUND FLOOR, GUFA MANDIR ROAD, EVM BARELA GAON, LALGHATI, BHOPAL 462001, MADHYA PRADESH</t>
  </si>
  <si>
    <t xml:space="preserve">KHATIWALA TANK	</t>
  </si>
  <si>
    <t>UNIT NO UG-52, HOLANI COMMERCE, SCHEME NO 44, KHATIWALA TANK,  INDORE  452014, MADHYA PRADESH</t>
  </si>
  <si>
    <t xml:space="preserve">ANAND BAZAR	</t>
  </si>
  <si>
    <t>SHOP NO 1, GROUND FLOOR, SECTOR A, 34/1, INDRAPURI MAIN ROAD, NEAR BURGER KING, BHOPAL 462022</t>
  </si>
  <si>
    <t>INDRAPURI</t>
  </si>
  <si>
    <t>VIJAYANAGAR</t>
  </si>
  <si>
    <t>UNIT NO UG-01, BHAWANI COMPLEX, 62D, SCHEME 7C, VIJAYNAGAR, INDORE  452010, MADHYA PRADESH</t>
  </si>
  <si>
    <t xml:space="preserve">KHARGHAR   </t>
  </si>
  <si>
    <t>SHOP NO 66 AND 67, GROUND AND FIRST FLOOR, PATEL HERITAGE CO-OP. HSG. SOC. LTD, PLOT NO 15 AND 17 SECTOR-7, KHARGHAR, NAVI MUMBAI 410210</t>
  </si>
  <si>
    <t>AIROLI</t>
  </si>
  <si>
    <t xml:space="preserve">UNIT NO F&amp;B NO 12, GROUND FLOOR, MINDSPACE AIROLI, TTC INDUSTRIAL AREA, AIROLI EAST, NAVI MUMBAI 400708 </t>
  </si>
  <si>
    <t xml:space="preserve">OBEROI COMMERZ	</t>
  </si>
  <si>
    <t>UNIT NO S-09 AND S-10, LOWER GROUNDFLOOR, COMMERZ III,INTERNATIONAL BUSINESS PARK, OBEROI GARDEN CITY, OFFWESTERN EXPRESS HIGHWAY, GOREGAON EAST, MUMBAI 400063,</t>
  </si>
  <si>
    <t>GRAND HIGH STREET</t>
  </si>
  <si>
    <t>BURMAN HOSPITALITY PVT LTD - BHPL</t>
  </si>
  <si>
    <t>UNIT NO TF05 AND 06 , THIRD FLOOR, GRAND HIGH STREET, PLOT NO 1 AND 2,VILLAGE HINJEWADI, MULSHI &amp; VELLA, PUNE PMC &amp; RURAL, MAHARASHTRA-411057</t>
  </si>
  <si>
    <t>LAKE MALL KOLKATA</t>
  </si>
  <si>
    <t xml:space="preserve"> COUNTER NO_x0002_17,18,19,, 4TH FLOOR, LAKE MALL, 104, RASH BEHARI AVENUE, KOLKATA 700029</t>
  </si>
  <si>
    <t>POLICE</t>
  </si>
  <si>
    <t>ACROPOLIS MALL KOLKATA</t>
  </si>
  <si>
    <t xml:space="preserve">T-003,3RD FLOOR, ACROPOLIS MALL,KOL-107, 1858/1, RAJDANGA MAIN ROAD, KOLKATA 700107 </t>
  </si>
  <si>
    <t>WESTEND MALL</t>
  </si>
  <si>
    <t>UNIT NO SF-01, 2ND FLOOR, WESTEND MALL, SECTOR 1, BUILDING A.S. 169/1, NEAR PARIHAR CHOWK, DP ROAD, AUNDH, PUNE 411007</t>
  </si>
  <si>
    <t xml:space="preserve">PMC PUNE </t>
  </si>
  <si>
    <t>SHOP NO S-05, 2ND FLOOR, PHOENIX MARKETCITY, SURVEY NO 207, VIMAN NAGAR, PUNE 411014</t>
  </si>
  <si>
    <t>PHOENIX MARKET CITY</t>
  </si>
  <si>
    <t>KALYANI NAGAR</t>
  </si>
  <si>
    <t>SHOP NO-18 AND 19, GR FLR, MARIPLEX, PL NO-10, S NO-15/1, 15/2/1, 15/2/25, 15/3, 15/4, 15/5, 15/6, KALYANI NAGAR, WADGAON SHERI, PUNE 411014</t>
  </si>
  <si>
    <t>BALEWADI HIGH STREET</t>
  </si>
  <si>
    <t>UNIT NO 3, GROUND FLOOR,BALEWADI HIGH STREET, PANCHSHIL BUSINESS PARK, SURVEY NO 20, BALEWADI, PUNE 411045</t>
  </si>
  <si>
    <t>VR NAGPUR</t>
  </si>
  <si>
    <t>UNIT NO FC-01 AND FC-02, THIRD FLOOR, VR NAGPUR, SURVEY NO 361/1, SHEET 64/2 OF MOUZA-JAT-TARODI, BEARING MUNICIPAL HOUSE NO 02, WARD NO 11, NEAR MEDICAL SQUARE, RAMBAGH, NAGPUR 440001</t>
  </si>
  <si>
    <t>NAGPUR/MAHARASHTRA</t>
  </si>
  <si>
    <t>NEXUS SEAWOODS MALL</t>
  </si>
  <si>
    <t>UNIT NO. F &amp; B-13, 2ND FLOUR, PLOT NO. R-1, SEAWOODS GRAND CENTRAL MALL, SEAWOODS, BELAPUR, NAVI MUMBAI 400706</t>
  </si>
  <si>
    <t>FIRE/PNG</t>
  </si>
  <si>
    <t>INORBIT MALL VASHI</t>
  </si>
  <si>
    <t>UNIT NO S-16, SECOND FLOOR, INORBIT MALL, PALM BEACH ROAD, SECTOR 30A, VASHI, NAVI MUMBAI 400703</t>
  </si>
  <si>
    <t>HIRANANDANI ESTATE</t>
  </si>
  <si>
    <t>SHOP NO 8, GROUND FLOOR, THE WALK, HIRANANDANI ESTATE, THANE 400607</t>
  </si>
  <si>
    <t>UNIT NO TF05 AND 06 , THIRD FLOOR, GRAND HIGH STREET, PLOT NO 1 AND 2,VILLAGE HINJEWADI 411057</t>
  </si>
  <si>
    <t xml:space="preserve">PMC KURLA </t>
  </si>
  <si>
    <t>S-22,,2ND FLOOR,PHOENIX MARKETCITY,L.B.S. MARG,KAMANI,KURLA,MUMBAI,PIN.400070, MAHARASHTRA, INDIA</t>
  </si>
  <si>
    <t>SKY CITY MALL</t>
  </si>
  <si>
    <t>UNIT NO FC-12, THIRD FLOOR, SKY CITY MALL, OFF DUTTA PADA ROAD, BORIVALI EAST, MUMBAI 400066</t>
  </si>
  <si>
    <t xml:space="preserve">HEALTH  </t>
  </si>
  <si>
    <t xml:space="preserve">F.C ROAD </t>
  </si>
  <si>
    <t>SHOP NO-7,8,9,10, GR FLR AND BASEMENT, SHOP NO-2 ON FIRST FLOOR, DECCAN GYMKHANA, F.C. ROAD, PUNE 411004</t>
  </si>
  <si>
    <t>LOWER PAREL EAST POINT</t>
  </si>
  <si>
    <t>UNIT NO S-14, SECOND FLOOR, PHOENIX PALLADIUM, BLOCK NO 2, EAST ZONE, 462, SENAPATI BAPAT MARG, LOWER PAREL, MUMBAI 400013</t>
  </si>
  <si>
    <t>INFINITI ANDHERI</t>
  </si>
  <si>
    <t>UNIT NO 211 &amp; 212,2ND FLOOR, INFINITI MALL,LINK ROAD,OSHIWARA,ANDHERI WEST,MUMBAI,PIN.400053, MAHARASHTRA, INDIA.</t>
  </si>
  <si>
    <t>INFINITI MALL MALAD</t>
  </si>
  <si>
    <t>UNIT NO TF307A, THIRD FLOOR, INFINITI MALAD, LINK ROAD, MALAD WEST, MUMBAI 400064, GREATER MUMBAI WARD-P/N, GREATER MUMBAI, MAHARASHTRA-400064</t>
  </si>
  <si>
    <t>AMANORA MALL</t>
  </si>
  <si>
    <t>UNIT NO EB-SF-FC-14, 2ND FLOOR, BLOK EAST, AMANORA MALL, VILLAGE SADESATRANALI (17-1/2 NALI), HADAPSAR, PUNE 411028, HADAPSAR, PUNE PMC &amp; RURAL, MAHARASHTRA-411028</t>
  </si>
  <si>
    <t>R CITY GHATKOPAR</t>
  </si>
  <si>
    <t>T24,WING A 3FLOOR R CITY,LBS MARG,GHATKOPAR WEST,MUMBAI  400086</t>
  </si>
  <si>
    <t>RAINBOW PLAZA</t>
  </si>
  <si>
    <t>SHOP NO-22(PART-C) GR FLR, RAINBOW PLAZA, S NO-7/1+2A/2/1, 7/1+2A/2/2, 7/1+2A/2/3, 7/1+2A/2/4, 7/1+2A/2/5, SHIVER GARDEN, RAHATANI ,PUNE 411017</t>
  </si>
  <si>
    <t>PHOENIX PALLADIUM, LOWER PAREL</t>
  </si>
  <si>
    <t>UNIT NO S-14, SECOND FLOOR, PHOENIX PALLADIUM, BLOCK NO 2, EAST ZONE, 462, SENAPATI BAPAT MARG, LOWER PAREL, MUMBAI 400013, GREATER MUMBAI WARD-G/S, GREATER MUMBAI, MAHARASHTRA-400013</t>
  </si>
  <si>
    <t>MH/MUMBAI</t>
  </si>
  <si>
    <t>T24,,WING A 3FLOOR R CITY,LBS MARG,GHATKOPAR WEST,MUMBAI,PIN.400086, MAHARASHTRA, INDIA.</t>
  </si>
  <si>
    <t>CHANDIVALI DARK KITCHEN</t>
  </si>
  <si>
    <t>UNIT NO 2A, GROUND FLOOR, PLOT NO 1, CTS. NO 46/1, SAKI VIHAR ROAD, BEHIND ICE FACTORY, ANDHERI EAST,
MUMBAI 400072</t>
  </si>
  <si>
    <t>BHANDUP DARK KITCHEN</t>
  </si>
  <si>
    <t>SHOP NO. - 2&amp; 3, OPPOSITE JIO CUSTOMER CARE, GAMA HOUSE , GAONDEVI ROAD, BHANDUP WEST , MUMBAI - 400078</t>
  </si>
  <si>
    <t>CHARKOP</t>
  </si>
  <si>
    <t>PART OF 122 A/B, GOVT. INDUSTRIAL ESTATE , CHARKOP , KANDIVALI WEST , MUMBAI - 400067</t>
  </si>
  <si>
    <t>ANDHERI SPEEZ</t>
  </si>
  <si>
    <t>SHOP NO. G3B, GROUND FLOOR, 6B, ACKRUTI CENTRE POINT, KONDIVITA, ANDHERI EAST, MUMBAI 400093</t>
  </si>
  <si>
    <t xml:space="preserve">T-003,3RD FLOOR, ACROPOLIS MALL,KOL-107, 1858/1, RAJDANGA MAIN ROAD, KOLKATA, PINCODE - 700107 </t>
  </si>
  <si>
    <t>DONE BY BHPL</t>
  </si>
  <si>
    <t xml:space="preserve">DONE BY BHPL </t>
  </si>
  <si>
    <t>Jun</t>
  </si>
  <si>
    <t>S-22, 2ND FLOOR,PHOENIX MARKETCITY,L.B.S. MARG,KAMANI,KURLA, MUMBAI 400070</t>
  </si>
  <si>
    <t>PARK STREET KOLKATA</t>
  </si>
  <si>
    <t>31, CHOWRINGHEE ROAD COMMERCIAL SPACE / SHOP ON FIRST FLOOR, BANGUR BFL ESTATE, P.S-SHAKESAPEARE SARANI, P.O-PARK STREET KOLKATA, KOLKATA, PINCODE - 700016, P.S.</t>
  </si>
  <si>
    <t xml:space="preserve"> COUNTER NO_x0002_17,18,19,, 4TH FLOOR, LAKE MALL, 104, RASH BEHARI AVENUE, KOL-29, KOLKATA, PINCODE - 700029</t>
  </si>
  <si>
    <t>GROWELS MALL -CLOSED</t>
  </si>
  <si>
    <t>3RD FLOOR, FC - 1 AND FC - 2,GROWEL MALL,AKURLI ROAD,OFF WESTERN EXPRESS HIGHWAY,KANDIVALI EAST,MUMBAI 400101</t>
  </si>
  <si>
    <t>3RD FLOOR,,FC - 1 AND FC - 2,GROWEL MALL,AKURLI ROAD,OFF WESTERN EXPRESS HIGHWAY,KANDIVALI EAST,MUMBAI,PIN.400101, MAHARASHTRA, INDIA.</t>
  </si>
  <si>
    <t>MANISH NAGAR</t>
  </si>
  <si>
    <t>GROUND FLOOR , PANCHATARA SOCIETY OPPOSITE MANIK PARK, PLOT NO 29, MANISH NAGAR , SOMALWADA, NAGPUR 440015</t>
  </si>
  <si>
    <t>BELLA BISTA KONDHWA</t>
  </si>
  <si>
    <t>LOWER GROUND FLOOR, 7/28, MOMIN DREAMS , NEAR ESHA BELLA BISTA, KONDHWA , PUNE, 411048, MAHARASHTRA.</t>
  </si>
  <si>
    <t>SHOP NO 2, GROUND FLOOR, PLOT E-79,80,81,82, SECTOR 9, RAMA GOSAVI MARG, GES DIVA, AIROLI, NAVI MUMBAI 400708</t>
  </si>
  <si>
    <t xml:space="preserve">NAVI MUMBAI </t>
  </si>
  <si>
    <t>ANAND NAGAR</t>
  </si>
  <si>
    <t>SHOP NO G-30/A, GROUND FLOOR, KRIS CORNER COMMERCIAL PLAZA PREMISES CO-OPERATIVE SOCIETY LTD, KAVESAR, GHODBUNDERROAD, ANAND NAGAR, THANE WEST 400615</t>
  </si>
  <si>
    <t>LALPUR</t>
  </si>
  <si>
    <t>2ND FLOOR, SUBH KIRAN BUILDING, PURULIA ROAD, BARHI
TOLI, LALPUR, RANCHI 834001</t>
  </si>
  <si>
    <t>RANCHI/JHARKHAND</t>
  </si>
  <si>
    <t>ASHOK NAGAR</t>
  </si>
  <si>
    <t xml:space="preserve">SHOP NO 13, FIRST FLOOR, MOHAN MARKETING COMPLEX, OPPOSITE IDBI NEAR ARGORA CHOWK, ASHOK NAGAR, RANCHI 834002 </t>
  </si>
  <si>
    <t>WAGHOLI</t>
  </si>
  <si>
    <t>SHOP NO 6 SHIVKAILAS COMPLEX BAIF ROAD DHABHADE WASTI NR IRIS SOCIETY WAGHOLI,  PUNE 412207</t>
  </si>
  <si>
    <t>ZOO NARENGI ROAD</t>
  </si>
  <si>
    <t>GROUND FLOOR, H. NO. 6, ZOO NARENGI ROAD, GUWAHATI
781021</t>
  </si>
  <si>
    <t>GUWAHATI/ASSAM</t>
  </si>
  <si>
    <t>BELTOLA, ASSAM</t>
  </si>
  <si>
    <t>GROUND FLOOR, H/NO 33, BISHNU RAVA PATH, BELTOLA, KAMRUP METROPOLITAN DIST, ASSAM, 781028</t>
  </si>
  <si>
    <t>TURQOISE C. G ROAD, AHMEDABAD</t>
  </si>
  <si>
    <t>GF/12, FF/112, TURQUOISE BUILDING, NR  PANCHVATCIRCLE, C.G ROAD, ELLISBRIGDE,MUNICIPAL CORPORATION, AHMEDABAD, GUJARAT-380006</t>
  </si>
  <si>
    <t>ANAND NAGAR, THANE</t>
  </si>
  <si>
    <t>AERIUM COMPLEX, VADODARA</t>
  </si>
  <si>
    <t>301, AERIUM COMPLEX, 01 SHROFF NAGAR CO-OP HOUSING SOCIETY, HARINAGAR CROSS CO-OP HOUSING SOCIETY, HARINAGAR CROSS ROAD, VADODARA 390021</t>
  </si>
  <si>
    <t>VADODARA/GUJARAT</t>
  </si>
  <si>
    <t>KALYAN</t>
  </si>
  <si>
    <t>OFFICE F 101, FIRST FLOOR, TYCOON SAPPHIRE CHS, GODREJ
HILL, KHADAKPADA, KALYAN 421301</t>
  </si>
  <si>
    <t>KALYAN/MAHARASHTRA</t>
  </si>
  <si>
    <t>SHOP NO 9, GROUND FLOOR, PLOT NO - PHASE 1, MIDC, NEAR
PENDHARKAR COLLAGE, DOMBIVALI EAST  421203</t>
  </si>
  <si>
    <t>GARIA HUT</t>
  </si>
  <si>
    <t>GROUND FLOOR NO. 1074, GARIA HAT BAJAR,NEAR BASANA, KALI BARI BORAL MAIN ROAD,RAJPUR-SONARPUR MUNICIPALITY, SOUTH,TWENTY FOUR PARGANAS, WEST BENGAL-700084</t>
  </si>
  <si>
    <t>KOLKATA/WEST BENGAL</t>
  </si>
  <si>
    <t>AKANDAKESHARI</t>
  </si>
  <si>
    <t>GROUND FLOOR, PLOT NO 400 AND 441, AKANDAKESHARI VILLAGE, NEAR RATION SHOP, PS TECHNOCITY, KOLKATA 700135</t>
  </si>
  <si>
    <t>BORIVALI,MAHARASHTRA</t>
  </si>
  <si>
    <t>SHOP NO,4 AND 5,GOLDERS GREEN BLDG NO,1B CHS LTD ,HOLY CROSS ROAD,IC COLONY BORIVALI WEST MUMBAI 400103</t>
  </si>
  <si>
    <t>CENTRAL KITCHEN</t>
  </si>
  <si>
    <t>PID NO.706/45/22/1, OLD MANGAMMANAPALYA ROAD, POPULAR COLONY, BANGALORE, INDIA 56006</t>
  </si>
  <si>
    <t>LOWER PAREL</t>
  </si>
  <si>
    <t>GALA NO. 62 GROUND FLOOR, SHAH &amp; NAHAR INDUSTRIAL ESTATE, DHANRAJ MILLSCOMPOUND, LOWER PAREL (W), MUMBAI400013</t>
  </si>
  <si>
    <t>RAHEJA WOODS</t>
  </si>
  <si>
    <t>FIFTH FLOOR, RAHEJA WOODS, BUILDING NO 4, RIVER SIDE 25A, WEST AVENUE,KALYAN NAGAR, PUNE 411006,</t>
  </si>
  <si>
    <t>T NAGAR</t>
  </si>
  <si>
    <t>OLD NO 280, NEW NO 393A, SECOND FLOOR GANESH COMPLEX, ANNA SALAI, SUBBARAYAN NAGAR, TEYNAMPET, NEXT TO T NAGAR, CHENNAI 600018</t>
  </si>
  <si>
    <t>MIRA ROAD</t>
  </si>
  <si>
    <t>SHOP NO 001/002 BUILDING A/3 SECTOR NO 5 SHANTINAGAR OPP BHARAT GAS MIRA ROAD EAST 401107</t>
  </si>
  <si>
    <t>MIRA ROAD/MAHARASHTRA</t>
  </si>
  <si>
    <t>VIKHROLI (POWAI)</t>
  </si>
  <si>
    <t>UNIT NO 007 KAILASH INDUSTRIAL ESTATE A WING BLDG NO 2 PARK SITE NEAR VEER SAVARKAR MARG VIKHROLI WEST, GREATER MUMBAI WARD-N, GREATER MUMBAI, MAHARASHTRA-400079</t>
  </si>
  <si>
    <t>VARTAK NAGAR</t>
  </si>
  <si>
    <t xml:space="preserve">GROUND FLOOR, C8 AGGARWAL ESTATE, CHITALSAR
MANPADA, S V ROAD, VARTAKNAGAR, THANE 400607
</t>
  </si>
  <si>
    <t xml:space="preserve">MAROL   </t>
  </si>
  <si>
    <t>UNIT NO 4 JAFERBHOY INDUSTRIAL ESTATE MAKAWANA ROAD MAROL ANDHERI EAST,MUMBAI 400049</t>
  </si>
  <si>
    <t>SATRA PLAZA</t>
  </si>
  <si>
    <t>SHOP NO 61,PLOT NO 19 AND 20, SECTOR 19D, SATRA PLAZA, PLAM BEACH ROAD, VASHI, NAVI MUMBAI 400703</t>
  </si>
  <si>
    <t>JULAKBARI</t>
  </si>
  <si>
    <t>HOUSE NO 2, GROUND FLOOR, CHALIHA NIVAS, NH-37, OPP OYO DENNIS HOTEL, PRAGIYOTISH NAGAR, SUNDARBARI, JALUKBARI, GUWAHATI 781014</t>
  </si>
  <si>
    <t>GOMTI NAGAR</t>
  </si>
  <si>
    <t>A-01/7, GROUND FLOOR ,CONCEPT POINT, VIBHUTI KHAND,
GOMTINAGAR  226010</t>
  </si>
  <si>
    <t>LUCKNOW/UTTAR PRADESH</t>
  </si>
  <si>
    <t>PANVEL</t>
  </si>
  <si>
    <t>BUILDING KALPVRUKSHA PLOT NO 19 SECTOR NO 1 S ROAD NO 5 CIDCO OFFICE NEW PANVEL EAST 410206</t>
  </si>
  <si>
    <t>PANVEL/MAHARASHTRA</t>
  </si>
  <si>
    <t>KONDHWA PUNE</t>
  </si>
  <si>
    <t>FLAT NO 2, SHREEYA HEIGHTS, S NO 16/1-B OPP SAI SERVICE, KONDHWA,  PUNE 411048</t>
  </si>
  <si>
    <t>LOWER GROUND FLOOR, 7/28, MOMIN DREAMS , NEAR ESHA BELLA BISTA, KONDHWA, PUNE 411048</t>
  </si>
  <si>
    <t>CENTRAL KITCHEN, BANGALORE</t>
  </si>
  <si>
    <t>FSSAI ANNUAL RETURN</t>
  </si>
  <si>
    <t>MATUNGA</t>
  </si>
  <si>
    <t>SHOP NO 5-A TYPES 2 KALPAK ESTATE A-17 GROUND FLOOR S M ROAD ANTOPHILL MUMBAI  400037</t>
  </si>
  <si>
    <t>BELTOLA</t>
  </si>
  <si>
    <t>ITSY HOTELS GREEN VILLAA, NO.1, SIVA SAKTHI STREET, SITHANKUDI, BRINDAVAN COLONY PUDUCHERRY 605011</t>
  </si>
  <si>
    <t>BHUBANESWAR</t>
  </si>
  <si>
    <t xml:space="preserve">FIRST FLOOR, PLOT NO 1630 &amp; 1631/3589, NEAR SAI SHREE ENCLAVE CANAL ROAD LAXMISAGAR, BHUBANESWAR 751006 </t>
  </si>
  <si>
    <t>BHUBANESWAR/ ORISSA</t>
  </si>
  <si>
    <t xml:space="preserve">PANCHKULA </t>
  </si>
  <si>
    <t>SCO-141, GROUND FLOOR, BACKSIDE SECTOR 14, PANCHKULA 134113</t>
  </si>
  <si>
    <t>GURGAON/HARYANA</t>
  </si>
  <si>
    <t>LALPUR, RANCHI</t>
  </si>
  <si>
    <t>ASHOK NAGAR, RANCHI</t>
  </si>
  <si>
    <t>GROUND FLOOR, H. NO. 6, ZOO NARENGI ROAD, GUWAHATI 781021</t>
  </si>
  <si>
    <t>SHIBPUR</t>
  </si>
  <si>
    <t>SHREE KRISHNA BHAVAN, GROUND FLOOR, BLOCK B , SHOP NO B-3, 151, NARASINGHA DUTTA ROAD, KADAMTALA, SHIBPUR, HOWRAH 711101</t>
  </si>
  <si>
    <t xml:space="preserve">HOWRAH/ WEST BENGAL </t>
  </si>
  <si>
    <t>DONE BYCZ</t>
  </si>
  <si>
    <t>MICHEAL NAGAR</t>
  </si>
  <si>
    <t>162, JESSORE ROAD, GROUND FLOOR, SUKANTA NAGAR, MICHEAL NAGAR, MADHYAMGRAM , WARD 27, KOLKATA 700133</t>
  </si>
  <si>
    <t>DONE BY CZ</t>
  </si>
  <si>
    <t>A-01/7, GROUND FLOOR ,CONCEPT POINT, VIBHUTI KHAND, GOMTINAGAR  226010</t>
  </si>
  <si>
    <t>GROUND FLOOR NO. 1074, GARIA HAT BAJAR NEAR BASANA, KALI BARI BORAL MAIN ROAD, KOLKATA 700084</t>
  </si>
  <si>
    <t>TREEBO OOTY</t>
  </si>
  <si>
    <t xml:space="preserve">CAKEZONE FOODTECH PVT LTD </t>
  </si>
  <si>
    <t>TREEBO HOTEL SKYDALE INN AND SUITES WITH MOUNTAIN VIEW, 284 OOTY WEST LAKE ROAD, ROAD THETTUKKAL, OOTY 643006</t>
  </si>
  <si>
    <t>OOTY/ TAMILNADU</t>
  </si>
  <si>
    <t>CHIRAG NEXT BAR AND RESTAURANT</t>
  </si>
  <si>
    <t>SHOP NO 1, SAIDHARA CHS, PLOT NO 14, SECTOR 30, SANPADA-VASHI, NAVI MUMBAI 400705</t>
  </si>
  <si>
    <t>NAVI MUMBAI /MAHARASHTRA</t>
  </si>
  <si>
    <t>VESU SURAT</t>
  </si>
  <si>
    <t>COFFEE CODES INDIA PVT LTD</t>
  </si>
  <si>
    <t>GF-6, SNS ARISTA , OPP. HAPPY RESIDENCY, NEAR VESU CHAR RASTA, UDHNA-MAGDALLA ROAD, SURAT 395007, GUJARAT</t>
  </si>
  <si>
    <t>SURAT/ GUJARAT</t>
  </si>
  <si>
    <t>43/3/1,DIAMOND HARBOUR ROAD,WARD NO.144, KOLKATA 700104</t>
  </si>
  <si>
    <t>145001066 -SANTHOSPUR AVENUE</t>
  </si>
  <si>
    <t>GROUND FLOOOR, 226 SANTOSHPUR AVENUE, KOLKATA 700075</t>
  </si>
  <si>
    <t>148004001- BOKARO MALL</t>
  </si>
  <si>
    <t>UNIT NO 310 AND 311, THIRD FLOOR, BOKARO MALL, PLOT NO 1432, SECTOR IIIC, BOKARO STEEL CITY, BOKARO, 834001</t>
  </si>
  <si>
    <t>BOKARO/ JHARKHAND</t>
  </si>
  <si>
    <t>145001155-BARRACKPORE TRUNK ROAD</t>
  </si>
  <si>
    <t>PREMISES NO 97/4, GROUND FLOOR, B.T. ROAD , WARD NO 16, KOLKATA 700090</t>
  </si>
  <si>
    <t>111001003- INDIRANAGAR</t>
  </si>
  <si>
    <t>NO, M.S.K PLAZA,  DEFENCE COLONY, 100FT ROAD,INDIRANAGAR, BENGALURU 560038</t>
  </si>
  <si>
    <t xml:space="preserve">DN REGALIA	</t>
  </si>
  <si>
    <t>IDCO PLOT NO: 1/A, BHAGABANPUR I.E, DN SQUARE, PATRAPADA, BHUBANESWAR 751019, ORISSA</t>
  </si>
  <si>
    <t xml:space="preserve">24-12-2026	</t>
  </si>
  <si>
    <t>VIP ROAD</t>
  </si>
  <si>
    <t>COFFEE DAY GLOBAL LIMITED-CCD</t>
  </si>
  <si>
    <t>SHOP NO.1/2, GROUND FLOOR, BLOCK NO1, KOYLA VIHAR VASUNDHRA, VIP ROAD, P.O AIRPORT, KOLKATA-700052</t>
  </si>
  <si>
    <t xml:space="preserve">FSSAI   </t>
  </si>
  <si>
    <t>145001022- E MALL</t>
  </si>
  <si>
    <t>UNIT NO 317 THIRD FLOOR E MALL PREMISES NO 6 CHITTARANJAN AVENUE BLOCK NO XVI KOLKATA WARD NO:046, KOLKATA  700072</t>
  </si>
  <si>
    <t>BCM HEIGHTS</t>
  </si>
  <si>
    <t>SHOP NO 06, UPPER GROUND FLOOR, BCMHEIGHTS, BOMBAY HOSPITAL LINK ROAD,SCHEME-54, INDORE 452010</t>
  </si>
  <si>
    <t>145001138 - LAKE MALL</t>
  </si>
  <si>
    <t>PROPERTY NO 104 , 4TH FLOOR , LAKE MALL , RASHBEHARI AVENUE , PS TOLLYGUNGE, WARD NO 083, KOLKATA  700029</t>
  </si>
  <si>
    <t>0145002004-MINTRI BHAWAN</t>
  </si>
  <si>
    <t>GROUND FLOOR, MINTRI BHAWAN, SHAHEED D.B GIRI PATH (MAIN ROAD), P.O KALIMPONG 734301</t>
  </si>
  <si>
    <t>KALIMPONG/ WEST BENGAL</t>
  </si>
  <si>
    <t>MANTRA BARI ROAD, AGARTALA</t>
  </si>
  <si>
    <t>HOLDING NO 255, GROUND FLOOR, M.L PLAZA, PLOT NO 13371,
MANTRA BARI ROAD, AGARTALA 799001</t>
  </si>
  <si>
    <t xml:space="preserve">TRIPURA/AGARTALA </t>
  </si>
  <si>
    <t>GREEN BUILDING</t>
  </si>
  <si>
    <t>UNIT NO-AGF, GROUND FLOOR, HERASATULLAH ENCALVE APARTMENT, NO 82, MD TAYABULLA ROAD, DIGHALIPUKHURI EAST, GUWAHATI781001</t>
  </si>
  <si>
    <t>GINGER KHEJURBAGAN</t>
  </si>
  <si>
    <t>GINGER HOTEL, KUNJABAN, KHEJUR BAGAN, AGARTALA MUNICIPAL CORPARTION, TIRPURA-799006</t>
  </si>
  <si>
    <t>AGARTALA/TRIPURA</t>
  </si>
  <si>
    <t>111001184- HPCL PETROL BUNK PEENYA</t>
  </si>
  <si>
    <t>HPCL PETROL BUNK, TUMKUR ROAD, YESHWANTHPUR,
SUBURB II STAGE, PEENYA, BANGALORE, 560038,</t>
  </si>
  <si>
    <t>WAREHOUSE RAJASTHAN</t>
  </si>
  <si>
    <t>COFFEE DAY GLOBAL LIMITED-CDGL</t>
  </si>
  <si>
    <t>FIRST FLOOR, PARNAMI COMPLEX, BEARING NO 2B-67-68, BAIS GODAM INDUSTRIAL ESTATE, JAIPUR 302006</t>
  </si>
  <si>
    <t>JAIPUR/RAJASTHAN</t>
  </si>
  <si>
    <t>BOAT CLUB BHOPAL</t>
  </si>
  <si>
    <t>GR FLOOR, JAL TARANG, NEAR BOAT CLUB, INTERPRETATION CENTER VAN VIHAR ROAD, BHOPAL-462002</t>
  </si>
  <si>
    <t>BHOPAL/MADHYA PRADESH</t>
  </si>
  <si>
    <t>TMS FOOD COURT GF NO 206/3 SALEM</t>
  </si>
  <si>
    <t xml:space="preserve">206/3,JAGIR AMMAPALAYAM, SURAMANGALAM TOWN, SALEM WEST TALUK, SALEM DISTRICT, TAMIL NADU 636009 </t>
  </si>
  <si>
    <t>SALEM/ TAMIL NADU</t>
  </si>
  <si>
    <t>SHOOLGIRI - KRISHNAGIRI</t>
  </si>
  <si>
    <t>SHOOLAGIRI TOWN, SHOOLAGIRI TALUK, KRISHNAGIRI DISTRICT, TAMIL NADU 635117</t>
  </si>
  <si>
    <t>KRISHNAGIRI/TAMILNADU</t>
  </si>
  <si>
    <t>RAKIPATTY SURVEY NO 17 2 SALEM COIM HW</t>
  </si>
  <si>
    <t>17/2RAKKIPAATI, VEERAPANDI TOWN, SALEM SOUTH TALUK, SALEM DISTRICT, TAMIL NADU 637504</t>
  </si>
  <si>
    <t>R.S. PURUM</t>
  </si>
  <si>
    <t>SHOP NO 8, GROUND FLOOR, PLOT NO 2, R.S.PURAM, T.V. SAMY ROAD-EAST, COIMBATORE TOWN, COIMBATORE SOUTH TALUK, TAMIL NADU 641002</t>
  </si>
  <si>
    <t>COIMBATORE/TAMIL NADU</t>
  </si>
  <si>
    <t>BPCL NAVANI MADURAI HIGHWAY</t>
  </si>
  <si>
    <t>BPCL PETROL PUMP, REDDI PUDUR VILLAGE, NAMAKKAL,NAVANI TOWN, RASIPURAMTALUK, NAMAKKAL DISTRICT, TAMIL NADU 637014</t>
  </si>
  <si>
    <t>NAMAKKAL/ TAMILNADU</t>
  </si>
  <si>
    <t>INDORE</t>
  </si>
  <si>
    <t>UNIT NO UG 25 &amp; UG 26, GR FLOOR, APOLLO SQUARE, PLOT NO 7/2, DR R.S BHANDARI MARG, INDORE 452001</t>
  </si>
  <si>
    <t>CITY CENTER 2 NEWTOWN</t>
  </si>
  <si>
    <t>PLOT NO IID/5AA-IID,J.L. NO 11, MOUZA-NOAPARA, CITY CENTAR 2, NEW TOWN, RAJARHAT, KOLKATA 700157</t>
  </si>
  <si>
    <t>RG BAURAUH</t>
  </si>
  <si>
    <t>GR FLOOR, GK-2, OPP. TANZ SUPERMARKET, R.G BAURAH ROAD, JAPRIGOG VILLAGE, GUWAHATI 781024</t>
  </si>
  <si>
    <t>R G BAURAH - CLOSED</t>
  </si>
  <si>
    <t>PALAKKAD COIMBATORE SALEM BLR</t>
  </si>
  <si>
    <t>DOOR NO 1/971, GR FLOOR,  SIGNATURE BUILDING, SURVEY NO 10/8, BLOCK 46, KODUMBU VILLAGE, PALAKKAD DISTRICT 678013</t>
  </si>
  <si>
    <t>PALAKKAD/ TAMILNADU</t>
  </si>
  <si>
    <t>CANDOR TECHSPACE</t>
  </si>
  <si>
    <t>GROUND FLOOR, CANDOR TECHSPACE, DH BLOCK, ACTION
AREA-1, NEW TOWN,  KOLKATA  700156</t>
  </si>
  <si>
    <t>WOODSQUARE</t>
  </si>
  <si>
    <t>UNIT NO-6, GROUND FLOOR, WOODSQUARE, NO-169, NETAJI SUBHASH CHANDRA BOSE ROAD, P.S SONAPUR 24 PARGANAS
KOLKATA-700103</t>
  </si>
  <si>
    <t>145004008 - COSMOS MALL</t>
  </si>
  <si>
    <t>LOWER GROUND FLOOR, COSMOS MALL, 2ND
MILE, SEVOKE ROAD, SILIGURI, WEST BENGAL 734001</t>
  </si>
  <si>
    <t>AD-84, SALT LAKE</t>
  </si>
  <si>
    <t>AD-84, SALT LAKE, SECTOR I, GROUND FLOOR, WARD NO 40, KOLKATA 700064</t>
  </si>
  <si>
    <t>HOLDING NO 1/2, BLOCK NO I, KOLYA VIHAR, VASUNDHARA, VIP ROAD, WARD NO 12, KOLKATA 700052</t>
  </si>
  <si>
    <t>HOLDING NO 97/4, 97, B.T. ROAD, WARD NO 16, KOLKATA 700090</t>
  </si>
  <si>
    <t>KALIMPONGAL</t>
  </si>
  <si>
    <t>WAREHOUSE FARIDABAD</t>
  </si>
  <si>
    <t>PLOT NO 16/2, MATHURA ROAD,KARKHANA BAGH, SAREEN COMPLEX, FARIDABAD 121002</t>
  </si>
  <si>
    <t>FARIDABAD/HARYANA</t>
  </si>
  <si>
    <t>EE4, GROUND FLOOR, SALT LAKE, SECTOR 2, NEAR TANK 10, KOLKATA 700091</t>
  </si>
  <si>
    <t>GROUND FLOOR, PEGASUS HOTEL, PLOT NO 7, POLICE BAZAR SHILONG 793001</t>
  </si>
  <si>
    <t>SHILONG/MEGHALAYA</t>
  </si>
  <si>
    <t>AD84- SALT LAKE</t>
  </si>
  <si>
    <t>AD-84, SALT LAKE, SECTOR 1, GROUND FLOOR, KOLKATA700064</t>
  </si>
  <si>
    <t>INSIDE IOCL, NH4, MANANGI, TUMKUR, SIRA, KARNATAKA,
572139</t>
  </si>
  <si>
    <t>SIRA/ KARNATAKA</t>
  </si>
  <si>
    <t>INSIDE IOCL, GR FLOOR, BANGALORE-HASSAN HIGHWAY, NA,
CHENNARAYAPATNA, KARNATAKA, 573116</t>
  </si>
  <si>
    <t>CHENNARAYAPATNA/ KARNATAKA</t>
  </si>
  <si>
    <t>GR FLOOR, S.Y NO 9, HUTOOR HOBLI, VENKATAPURA VILLAGE,
KOLAR, KARNATAKA, 563133</t>
  </si>
  <si>
    <t>KOLAR/ KARNATAKA</t>
  </si>
  <si>
    <t>GR FLOOR, HPCL, TUMKUR-SHIMOGA HIGHWAY, KIBBANAHALLI, TUMKUR, KARNATAKA, 572114,</t>
  </si>
  <si>
    <t>GR FLOOR, HPCL, NELAMANGALA, SOMPURA, DOBESPET,
BANAGLORE, 562111</t>
  </si>
  <si>
    <t>GR FLOOR, SOMNAHALLI VILLAGE, BANGALORE-MYSORE
HIGHWAY, MADDUR TALUKA, MANDYA, MANDYA DISTRICT,
KARNATAKA 560082</t>
  </si>
  <si>
    <t>MANDYA/ KARNATAKA</t>
  </si>
  <si>
    <t>GR FLOOR, SITE NO 657, SIDDHU COMPLEX, T.KOPPAL,
SARASWATHIPURAM EXTENSION, NA, CHAMARAJA MOHALLA,
MYSORE, 570009</t>
  </si>
  <si>
    <t>SITE NO 2M-429, GR FLOOR &amp; FIRST FLOOR, 2ND MAIN ROAD,
KASTURI NAGAR, NGEF LAYOUT, BANGALORE, 560043</t>
  </si>
  <si>
    <t>G-2, GR FLOOR, RAJA IKON, SY NO 89/1, MUNIKOLLALU
VILLAGE, VARTHUR HOBLI, BANGALORE, 560037</t>
  </si>
  <si>
    <t>SITE NO 451, 17TH CROSS, SECTOR 4, HOUSUR-SARJAPUR
ROAD, HSR LAYOUT, BANGALORE, 560102</t>
  </si>
  <si>
    <t>SITE NO 95, NATHAN PRIDUS, GR FLOOR, DODOANEKUNDI
VILLAGE, K.R.HOBLI, BANGALORE, 560037</t>
  </si>
  <si>
    <t>35/5, GR FLOOR, CUNNINGHAM ROAD, CUNNINGHAM ROAD,
BANGALORE 560052</t>
  </si>
  <si>
    <t>GR FLOOR, SITE NO 300, 5TH PHASE, SARAKKI, JP NAGAR,
BANGALORE, 560078</t>
  </si>
  <si>
    <t>SITE NO 426, GR FLOOR, 4TH BLOCK, KORAMANGALA,
KORMANGALA, BANGALORE, 560034</t>
  </si>
  <si>
    <t>SKANDA COMPLEX,, 30TH MAIN, 23RD CROSS, NA,
BANASHANKARI II STAGE, BANGALORE, 560070</t>
  </si>
  <si>
    <t>MUNICIPAL NO 573, BLOCK NO II, MATTADAHALLI EXTENSION, R.T NAGAR, BANGALORE 560032</t>
  </si>
  <si>
    <t xml:space="preserve">145003005- ASANSOL SENTRUM MALL </t>
  </si>
  <si>
    <t>PREMISES NO 66, NEW SENTRUM MALL, UNIT NO 105, GROUND FLOOR, WARD NO 22, KOLKATA 713305</t>
  </si>
  <si>
    <t>WAREHOUSE CHENNAI</t>
  </si>
  <si>
    <t>SURVEY NO: 171/1 ,NO: 2A,2B&amp;2C,NEAR UDAAN FOOD HUB, VAYALANALLUR VILLAGE, POONAMALLE TALUKA, THIRUVALLUR DISTRICT, CHENNAI 600072</t>
  </si>
  <si>
    <t>BANAGLORE CENTRAL KICTHEN</t>
  </si>
  <si>
    <t>SURVEY NO 34/1, TUMKUR ROAD,, CHICKKABIDARAKALLU VILLAGE,, DASANAPURA HOBLI,, BANGALORE, 560731</t>
  </si>
  <si>
    <t>145001167 - AMITY UNIVERSITY CAMPUS</t>
  </si>
  <si>
    <t>AMITY UNIVERSITY CAMPUS, PLOT NO IIA-36,37 &amp; 38, MAJOR ARTERIAL ROAD, ACTION AREA II, NEWTON, KOLKATA 700315</t>
  </si>
  <si>
    <t>145001010- NEW ALIPORE</t>
  </si>
  <si>
    <t>BEARING NO 23/N, GROUND FLOOR, BLOCK B, NEW ALIPORE,
KOLKATA 700053</t>
  </si>
  <si>
    <t>145001069- BHUPEN BOSE ROAD</t>
  </si>
  <si>
    <t>PREMISES NO 68, GROUND FLOOR, BHUPEN ROY ROAD, KOLKATA 700034</t>
  </si>
  <si>
    <t>WAREHOUSE GUWAHATI</t>
  </si>
  <si>
    <t>1ST FLOOR, BEARING BUILDING PUB BORAGAON, NH-37, LOKRA EAST ZONE, GUWAHATI 781035</t>
  </si>
  <si>
    <t>WAREHOUSE CHAMRAIL</t>
  </si>
  <si>
    <t>BUILDING NO 2, NATIONAL HIGHWAY-6,
CHAMRAIL, HOWRAH, KOLKATA 711114</t>
  </si>
  <si>
    <t>HOWRAH/ WEST BENGAL</t>
  </si>
  <si>
    <t>BUILDING NO 2, NATIONAL HIGHWAY-6, CHAMRAIL, HOWRAH, KOLKATA 711114</t>
  </si>
  <si>
    <t>SIDDESWARI DUM DUM</t>
  </si>
  <si>
    <t>PREMISES NO. 87(2), 181, DUM DUM COSSIPORE ROAD, P.O DUM DUM 700074, WEST BENGAL</t>
  </si>
  <si>
    <t>DUM DUM/ WEST BENGAL</t>
  </si>
  <si>
    <t>RAJAT BHAVAN</t>
  </si>
  <si>
    <t>GR FLOOR, RAJAT BHAVAN, HOUSEFED,
BASISTHA ROAD, GUWAHATI 781006</t>
  </si>
  <si>
    <t>KOLKATA CENTRAL KITCHEN (WORKSHOP)</t>
  </si>
  <si>
    <t>KOLKATA CENTRAL KITCHEN (STORE)</t>
  </si>
  <si>
    <t>145061135-SARKAR SARANI</t>
  </si>
  <si>
    <t>2/A P C SORCAR SARANI BEARING NO P.C.2, GR. FLOOR, SARKAR SARANI, GARIAHAT, KOLKATA, 700019 KOLKATA.</t>
  </si>
  <si>
    <t>2A, P. C. SARKAR SARANI, KOLKATA MUNICIPAL CORPORATION, KOLKATA, WEST BENGAL-700019</t>
  </si>
  <si>
    <t>145001160- SOUTH CITY MALL</t>
  </si>
  <si>
    <t>UNIT NO K 004, 4TH FLOOR, SOUTH CITY MALL, 375 PRINCE ANWAR SHAH ROAD, KOLKATA 700068</t>
  </si>
  <si>
    <t>375, PRINCE ANWAR SHAH ROAD, 4TH FLOOR, CAFE -1, KOLKATA MUNICIPAL CORPORATION,KOLKATA, WEST BENGAL-700068</t>
  </si>
  <si>
    <t>145001135-RAJA KALI KRISHNA LANE</t>
  </si>
  <si>
    <t xml:space="preserve">PREMISE NO 2/1, GROUND FLOOR, RAJA KALI KRISHNA LANE, POLICE STATION, SHYAMPUKUR, KOLKATA 700005 </t>
  </si>
  <si>
    <t>145001129- NSC BOSE ROAD</t>
  </si>
  <si>
    <t>UNIT NO S-2, GROUND FLOOR, SKYLINE SAPPHIRE, PREMISES NO 231B, NETAJI SUBHAS CHANDRA BOSE ROAD, WARD NO 100, KOLKATA 700047</t>
  </si>
  <si>
    <t>145001101-BARSAT JESSORE ROAD</t>
  </si>
  <si>
    <t>GROUND FLOOR, 73, JESSORE ROAD (S), SISIR
KUNJ, BARASAT, KOLKATA 700127</t>
  </si>
  <si>
    <t>145001099 BIRATI JESSORE ROAD</t>
  </si>
  <si>
    <t>GROUND FLOOR, MONINDRA ENCLAVE, 4 MAHAJATI NAGAR, BIRATI JESSORE ROAD,KOLKATA 700051</t>
  </si>
  <si>
    <t>145001094- DR MEGHNAD SAHA SARANI</t>
  </si>
  <si>
    <t xml:space="preserve">PREMISES NO 19A, GROUND FLOOR, CAPRICORN SOLITAIRE, SOUTHERN AVENUE, DR MEGHNAD SAHA SARANI, PS TOLLYGUNGE,  KOLKATA 700026 </t>
  </si>
  <si>
    <t>145001031-MANI SQUARE MALL</t>
  </si>
  <si>
    <t>UNIT NO 301, THIRD FLOOR, MANI SQUARE MALL, 164/1 MANIKTALA, MAIN ROAD,PHOOL BAGAN,KANKURGACHI, KOLKATA 700054</t>
  </si>
  <si>
    <t>145001029 SWEET HOME DALHOUSIE</t>
  </si>
  <si>
    <t>ROOM NO 6, GR FLOOR, SWEET HOME,
DALHOUSIE, 6, KIRON SANKAR ROY ROAD,
KOLKATA 700001</t>
  </si>
  <si>
    <t>ROOM NO 6, GR FLOOR, SWEET HOME, DALHOUSIE, 6, KIRON SANKAR ROY ROAD, KOLKATA 700001</t>
  </si>
  <si>
    <t>UNIT NO 317 THIRD FLOOR E MALL PREMISES
NO 6 CHITTARANJAN AVENUE BLOCK NO XVI
KOLKATA WARD NO:046, KOLKATA MUNICIPAL
CORPORATION, KOLKATA, WEST BENGAL-700072</t>
  </si>
  <si>
    <t>145001012- SOUTHERN AVENUE</t>
  </si>
  <si>
    <t>86 HEMANTA MUKHOPADHYAY SARANI GROUND FLOOR, LAKE ROAD, KOLKATA KOLKATA 700029</t>
  </si>
  <si>
    <t>145001002 -ROWDON STREET, KOLKATA</t>
  </si>
  <si>
    <t>GR FLOOR, EXPRESS TOWER, NO 42A, SHAKESPEARE SARANI, ROWDON STREET, KOLKATA 700017</t>
  </si>
  <si>
    <t>111001435- VEGA CITY MALL</t>
  </si>
  <si>
    <t>NO 43, OLD NO 11, NANDI DURGA ROAD, JAYAMAHAL EXTENSION, BANGALORE, 560046</t>
  </si>
  <si>
    <t xml:space="preserve">111001371	</t>
  </si>
  <si>
    <t>127/17 G-17, ESTEEM MALL HEBBAL KEMPAPURA, BANGALORE-560024</t>
  </si>
  <si>
    <t>111001310-NARAYAN REDDY</t>
  </si>
  <si>
    <t>BEARING NO OLD NO750 NEW NO 38, PATTABHIRAMANAGARA, 9TH MAIN ROAD, 4TH BLOCK, JAYANAGAR BANGALORE  560041</t>
  </si>
  <si>
    <t>111001309-SAHAKARNAGAR</t>
  </si>
  <si>
    <t>#2443 KHATA NO.1870/1846/2443, MINISTRY OF COMMUNICATIONS EMPLOYEES CO-OPERATIVE HOUSING SOCIETY LTD, SAHAKAR NAGAR, BANGALORE</t>
  </si>
  <si>
    <t>111001307-LMN ARCADE</t>
  </si>
  <si>
    <t>1025/139/1/6,GANDHINAGAR,YELAHANKA, BANGALORE 560064</t>
  </si>
  <si>
    <t>111001150- GARUDA MALL</t>
  </si>
  <si>
    <t>15, 17, 18 &amp; 27 GARUDA MALL MAGRATH ROAD, BANGALORE</t>
  </si>
  <si>
    <t>111001084-VIJAYANAGAR 2</t>
  </si>
  <si>
    <t>1, 5TH MAIN ROAD, RAMCO LAYOUT, BANGALORE, 560040</t>
  </si>
  <si>
    <t>111001079-GANGAHALLI</t>
  </si>
  <si>
    <t>NO 83, BELLARY, ROAD, GANGANAGAR, BANGALORE, 560024</t>
  </si>
  <si>
    <t>111001074 - SMOKING JOE</t>
  </si>
  <si>
    <t>NO 3 AM, 408, 3RD BLOCK, HRBR LAYOUT, BANGALORE, 560043</t>
  </si>
  <si>
    <t>111001072-SMR VINAY BANASWADI</t>
  </si>
  <si>
    <t>OUTER, RING, ROAD, HORAMAVU, BANGALORE, 560070</t>
  </si>
  <si>
    <t>111001070-BASAWESHWAR NAGAR</t>
  </si>
  <si>
    <t>NO 105, BHIMA JYOTHI CO-OP, HOUSING COLONY (HBCS),
WEST OF CHORD ROAD BASAWESHWARA NAGAR,
KAMALANAGAR, BANGALORE, 560029</t>
  </si>
  <si>
    <t>111001049-JAYANAGAR</t>
  </si>
  <si>
    <t>721/26, 38TH A CROSS,18TH MAIN, 4TH T BLOCK, JAYANAGAR, BANGALORE 560011</t>
  </si>
  <si>
    <t>111001019- DR RAJKUMAR ROAD</t>
  </si>
  <si>
    <t>1691 DR RAJKUMAR ROAD PRAKASHNAGAR, BANGALORE</t>
  </si>
  <si>
    <t>54, 100FT ROAD DEFENCE COLONY, BANGALORE</t>
  </si>
  <si>
    <t>UNIT NO FR- KIOSK-01, 4TH FLOOR, VEGA CITY MALL, 172/1 SRINIVAS INDUSTRIAL ESTATE, ROAD, BANNERGHATTA, BANGALORE, 560076</t>
  </si>
  <si>
    <t>NO 73, GROUND FLOOR, BINEETA PLAAZA, VARTHUR HOBLI, KASAVANAHALLI VILLAGE, BANGALORE 560087</t>
  </si>
  <si>
    <t>BANGALORE BIO TECH L, NO. 50/8B, GUBBI CROSS, KOTHANUR POST, HENNUR BAGALUR ROAD, BANGALORE, 560077</t>
  </si>
  <si>
    <t>NO 225 &amp; 226, 14TH CROSS, SAMPAGI ROAD, MALLESWARAM, BANGALORE,
560003</t>
  </si>
  <si>
    <t>NO 461-P II, IDEAL HOMES TOWNSHIP, HSBS LAYOUT, KENCHANAHALLI KENGERI, RR NAGAR, BANGALORE, 560098</t>
  </si>
  <si>
    <t>NO-3C-902,, MANU PLAZA,, 9TH MAIN,, H.R.B.R KALYAN NAGAR,,
1ST BLOCK,, BANGALORE, 560043,</t>
  </si>
  <si>
    <t>24TH MAIN, 1ST PHASE, JP
NAGAR, BANGALORE</t>
  </si>
  <si>
    <t>NO.198/37, 2ND MAIN ROAD, PALACE UPPER ORCHARDS, SADASHIVNAGAR, BANGALORE 560080</t>
  </si>
  <si>
    <t>NO.552/646, HSR LAYOUT SECTOR 1, BANGALORE, 560034</t>
  </si>
  <si>
    <t>NORTH EAST, OPEN SPACE, BARTON CENTER,, NO 84,, M.G
ROAD, BANGALORE, 560001</t>
  </si>
  <si>
    <t>BEARING NO 81, GR FLOOR, M.G.E.H.B.C.S LAYOUT, 80 FEET
ROAD, 2ND CROSS, DEVSANDRA, RMV II STAGE, BANGALORE 560094</t>
  </si>
  <si>
    <t>01/01/01 HPCL PEENYA INDUSTRIAL AREA TUMKUR ROAD, BANGALORE</t>
  </si>
  <si>
    <t>23/2, GROUND, FLOOR, VITTAL MALLYA, ROAD, BANGALORE,
560001</t>
  </si>
  <si>
    <t>NO 7, 1ST BLOCK, 2ND STAGE, LAYOUT, NAGARABHAVI, BANGALORE, 560070</t>
  </si>
  <si>
    <t>9 13/1 1239/A, 7TH MAIN, SUBRAMANYA NAGAR, BANGALORE,
560010</t>
  </si>
  <si>
    <t>131/132 135, PATTANDUR AGRAHAR, WHITEFIELD, BANGALORE 560048</t>
  </si>
  <si>
    <t xml:space="preserve">BPCL SHANKAR'S PETROL BANK 8TH MAIN, 19TH CROSS, ROAD MALLESWARAM BANGALORE 560003
</t>
  </si>
  <si>
    <t>SURYA NAGAR</t>
  </si>
  <si>
    <t>PLOT NO 19, BHAMRA COMPLEX, RAJBHAWAN, BHUBANESWAR,
751003</t>
  </si>
  <si>
    <t>SANDY SQUARE</t>
  </si>
  <si>
    <t>PLOT NO-P-1 P-1 A SANDY TOWER, JAYADEV VIHAR, BBSR, BHUBANESWAR 751017</t>
  </si>
  <si>
    <t>MARRION</t>
  </si>
  <si>
    <t>PLOT NO 6, JANAPATH, KHARAVEL NAGAR, BHUBANESWAR 751001</t>
  </si>
  <si>
    <t>J S S SOFTWARE</t>
  </si>
  <si>
    <t>J S S SOFTWARE CAMPUS C I E PATIA, BHUBANESWAR 751024</t>
  </si>
  <si>
    <t>BODHGAYA</t>
  </si>
  <si>
    <t xml:space="preserve">GR FLOOR, SUJATA BYPASS MORE, NEW TARI
DI, BODHGAYA 824231 </t>
  </si>
  <si>
    <t>BODHGAYA/ BIHAR</t>
  </si>
  <si>
    <t>WAREHOUSE  COIMBATORE</t>
  </si>
  <si>
    <t>S.F. NO 475, SITE NO 25,26, BHARATHIPURAM, MALUMICHAMPATTI, SEERAPALAYAM VILLAGE, COIMBATORE 641050</t>
  </si>
  <si>
    <t xml:space="preserve">KOLKATA CENTRAL KITCHEN </t>
  </si>
  <si>
    <t>IMPORTER - NEW HO</t>
  </si>
  <si>
    <t>NO 165, R.V ROAD (NEAR MINERVA CIRCLE), BANGALORE 560004</t>
  </si>
  <si>
    <t>CHENNAI CENTRAL KITCHEN</t>
  </si>
  <si>
    <t>S.NO.262/2,262/3,262/4,262/5 AND 262/6, NO. 54, SNOWMAN, MEVALURKUPPAM,THANDALAM, VALARPURAM (PO) SRIPERUMBUDUR TALUK, SRIPERUMBUDUR BLOCK, KANCHEEPURAM, TAMIL NADU 602105</t>
  </si>
  <si>
    <t>KANCHEEPURAM/ TAMILNADU</t>
  </si>
  <si>
    <t>AHMEDABAD WAREHOUSE</t>
  </si>
  <si>
    <t>PLOT NO 11/A, PRERNA INDUSTRIAL ESTATE, NAZ PIRANA ROAD, AHMEDABAD 370105</t>
  </si>
  <si>
    <t>PREMISES NO P-86, GROUND FLOOR, LAKE ROAD, KOLKATA 700029</t>
  </si>
  <si>
    <t>WAREHOUSE GOA</t>
  </si>
  <si>
    <t>SHOP NO S-1 &amp; S-2, GR FLOOR, CASE VAILANKANI MALABHAT, MERCES, TISWADI, NORTH GOA-403005</t>
  </si>
  <si>
    <t>GOA</t>
  </si>
  <si>
    <t>WAREHOUSE- HYDERABAD</t>
  </si>
  <si>
    <t>SY NOS:156,157,167,168 &amp;174,GROUND FLOOR,GODOWN NO:2,KOMPALLY,KOMPALLY,DUNDIGAL GANDIMAISAMMA 500014</t>
  </si>
  <si>
    <t>WAREHOUSE GURGAON</t>
  </si>
  <si>
    <t>KHASRA NO 17//1/1 MIN, 18//5 MIN, 7//25/1, SHRI RANG ROA WAREHOUSE PATAUDI ROAD, SECTOR 98, DHORKA VILLAGE, GURGOAN 122505</t>
  </si>
  <si>
    <t>WAREHOUSE PANCHKULA</t>
  </si>
  <si>
    <t>PROPERTY BEARING NO 309, PHASE-1, URBAN
ESTATE, PANCHKULA, HARYANA 134113</t>
  </si>
  <si>
    <t>SY NOS:156,157,167,168 &amp;174,GROUND FLOOR,GODOWN NO:2,KOMPALLY,KOMPALLY,DUNDIGAL GANDIMAISAMMA,MEDCHAL (MALKAJGIRI)</t>
  </si>
  <si>
    <t>HOTEL MARRION CAMPUS, UNIT-3, KHARVEL NAGAR, BHUBANESWAR, BHUBANESWAR  ORISSA-751001</t>
  </si>
  <si>
    <t>HYDERABAD-WAREHOUSE</t>
  </si>
  <si>
    <t>HPCL DEVANAHALLI BANGALORE</t>
  </si>
  <si>
    <t>NO.251/58, SVS SERVICE STATION, CHIKKASANNE,
DEVANAHALLI, 562110</t>
  </si>
  <si>
    <t>DEVANAHALLI/ KARNATAKA</t>
  </si>
  <si>
    <t>SURVEY NO 34/1, TUMKUR ROAD, CHICKKABIDARAKALLU VILLAGE,DASANAPURA HOBLI,BANGALORE 560731</t>
  </si>
  <si>
    <t>HEBBAL/ KARNATAKA</t>
  </si>
  <si>
    <t>1ST BUS STATION VIDYA NAGAR DAVANAGERE 577002</t>
  </si>
  <si>
    <t>DAVANGERE/ KARNATAKA</t>
  </si>
  <si>
    <t>NO 127/G-17, ESTEEM MALL, KEMPAPURA MAIN ROAD, NA,
HEBBAL, BANGALORE, 560094</t>
  </si>
  <si>
    <t>61/1, BPCL IN OUT STORES, 8TH MAIN, MALLESHWARAM,
BANAGALORE, 560003</t>
  </si>
  <si>
    <t>145001132- EE4 SALT LAKE</t>
  </si>
  <si>
    <t>145001200-WOODSQUARE</t>
  </si>
  <si>
    <t>WAREHOUSE BHIWANDI</t>
  </si>
  <si>
    <t>BUILDING NO A7, PARAMOUNT LOGITRADE,
GR FLOOR, SURVEY NO 1214, LONAD VILLAGE,
BHIWANDI, MUMBAI 421302</t>
  </si>
  <si>
    <t>UNIT NO S-2, GROUND FLOOR, SKYLINE SAPPHIRE, PREMISES NO 231B, NETAJI SUBHAS CHANDRA BOSE ROAD, WARD NO 100,
KOLKATA 700047</t>
  </si>
  <si>
    <t>DN REGALIA</t>
  </si>
  <si>
    <t>IDCO PLOT NO: 1/A, BHAGABANPUR I.E, DN SQUARE, PATRAPADA, BHUBANESWAR 751019</t>
  </si>
  <si>
    <t>KVG-SULLIA-HIGHWAY-(SH 88)-DAKSHINAKANNADA-DISTRICT</t>
  </si>
  <si>
    <t>GROUND FLOOR,, SURVEY NO 6-2,, ALLATTI VILLAGE, SULLIA TALUK, AND MANDAL PANCHAYATH,, DAKSHINA KANNADE DISTRICT, 574235</t>
  </si>
  <si>
    <t>DAKSHIN KANNADA/ KARNATAKA</t>
  </si>
  <si>
    <t>KOGNOLI FOOD MALL</t>
  </si>
  <si>
    <t>SHOP 3777/10 AND 377, GROUND FLOOR, SURVEY NO 679/11, NIPPANI TALUK, KOGNOLI VILLAGE, BELAGAVI DISTRICT, 591229,</t>
  </si>
  <si>
    <t>BELGAVI/ KARNATAKA</t>
  </si>
  <si>
    <t>KIAL DEPARTURE-BLR</t>
  </si>
  <si>
    <t>KEMPEGOWDA, INTERNATIONAL AIRPORT, CHECK AREA GROUND FLOOR, TERMINAL BUILDING DEVANAHALLI, BANGALORE, 560300</t>
  </si>
  <si>
    <t>KIAL ARRIVALS-BLR</t>
  </si>
  <si>
    <t>TERMINAL, BUILDING, BANGALORE, INTERNATIONAL, AIRPORT
DEVANAHALLI, BANGALORE DIST, 562110</t>
  </si>
  <si>
    <t>KANAKAPURA ROAD ART OF LIVING BENGALUR</t>
  </si>
  <si>
    <t>GROUND FLOOR,, PIRGAL SQUARE,, SURVEY NO 64,, KENGERI
HOBLI,, AGARA VILLAGE,, BANGALORE, 560082,</t>
  </si>
  <si>
    <t>KALLANAYAKANAHALLI    VILLAGE-ARASIKE</t>
  </si>
  <si>
    <t>PROPERTY NO 127,, GROUND FLOOR, SY NO 35/2,, KASABA
HOBLI,, KALLANAYAKANAHALLI VILLAGE,, ARASIKERE, 573103,</t>
  </si>
  <si>
    <t>ARASIKERE/ KARNATAKA</t>
  </si>
  <si>
    <t>IOC THRASL-MANGALORE-GOA HIGHWAY</t>
  </si>
  <si>
    <t>IOC, PETROL BUNK, THRASI EDAPALLY, KUNDAPUR, PANVEL
HIGHWAY,, KARNATAKA, 576235,</t>
  </si>
  <si>
    <t>MANGALORE/ KARNATAKA</t>
  </si>
  <si>
    <t>IOC-  GOLLARAHATTI</t>
  </si>
  <si>
    <t>SURVEY NO 49/P,, IOCL, GOLLARAHATTI,, ANAGODU HOBLI,,
HONNUR VILLAGE, DAVANGERE, 577556</t>
  </si>
  <si>
    <t>HPCL, KAMLAPURA HIGHWAY</t>
  </si>
  <si>
    <t>HPCL, B M ROAD, KAMPALAPURA, PIRIYAPATNA 571107</t>
  </si>
  <si>
    <t>PRIYAPATNA/ KARNATAKA</t>
  </si>
  <si>
    <t>DHARMASHTALA UJIRE</t>
  </si>
  <si>
    <t>GROUND FLOOR, SDME SOCIETY, NEAR SIDDAVANA GURUKULA, PG CENTER CAMPUS, SDM COLLEGE, UJIRE BEITHANAGADY TALUK 574240</t>
  </si>
  <si>
    <t>UJIRE/ KARNATAKA</t>
  </si>
  <si>
    <t>BAIL PARKING/QUAD</t>
  </si>
  <si>
    <t>THE QUAD, GROUND FLOOR, KEMPGOWDA INTERNATIONAL
AIRPORT, NA, DEVANAHALLI, BANGALORE, 560300</t>
  </si>
  <si>
    <t>ARCADE BRIGADE KANAKPURA</t>
  </si>
  <si>
    <t>UNIT NO G 03, GROUND FLOOR, ARCADE BRIGADE MEADOWS,,
KAGGALIPURA VILLAGE,, SURVEY NO 136,, UTTARAHALI HOBLI,
BANGALORE, 560061</t>
  </si>
  <si>
    <t>111001540-CISCO SARJAPURA ROAD-CLOSED</t>
  </si>
  <si>
    <t>CESSNA BUSINESS PARK, SEZ UNIT, SARJAPURA MARATHAHALLI OUTER RING ROAD, KAADUBESSANAHALLI VILLAGE, BANGALORE, 560103</t>
  </si>
  <si>
    <t>111001519- SATTVA GLOBAL CITY</t>
  </si>
  <si>
    <t>SATTVA GLOBAL CITY, SURVEY NO 14, PATTANAGERE, KENGERE HOBLI, AND MYLASANDRA VILLAGE, BENGALURU 560058</t>
  </si>
  <si>
    <t>111001376-ASHOKA PILLAR</t>
  </si>
  <si>
    <t>519/A,119/A-36 9TH M RD, 4TH BLOCK JAYANAGAR, BANGALORE 560041</t>
  </si>
  <si>
    <t>111001063- JNC KORAMANGALA</t>
  </si>
  <si>
    <t>GR FLOOR &amp; 1ST FLOOR, VARSHA,, PLOT NO 138,, KORAMANGALA,, V BLOCK,, BANGALORE, 560095</t>
  </si>
  <si>
    <t>HPCL NARSAPURA, NARSAPURA, KARNATAKA,HIGHWAY, KOLAR 563133</t>
  </si>
  <si>
    <t>UNIT NO 03, GROUND FLOOR, HUB 1 BUILDING, KARLE TOWN CENTRE, KASABA HOBLI, NAGAVARA VILLAGE, BANGALORE, 560045</t>
  </si>
  <si>
    <t>UNIT NO G 47 AND G 4, GROUND FLOOR, PHONIX MARKETCITY
BENGALURU, KRISHNARAJAPURAM HOBLI,, WHITEFIELD MAIN
ROAD,BENGALURU 560048</t>
  </si>
  <si>
    <t>NO 524, GR FLOOR,, KUKKE ARCADE,, BILEKAHALLI VILLAGE,
VIJAY BANK EMPLOYEES HOUSING CHSL, BEGUR HOBLI,
BANGALORE, 560076</t>
  </si>
  <si>
    <t>NO 31,, GROUND FLOOR,, HRG ARCADE,, BELLANDUR VILLAGE,,
SURVEY NO 77/2,, VARTHUR HOBLI, BANGALORE, 560103,</t>
  </si>
  <si>
    <t>NO 559/2320/1815, HBR 1ST STAGE, 5TH BLOCK, HBR LAYOUT, BANGALORE 560043</t>
  </si>
  <si>
    <t>NEW HO, R.V. ROAD</t>
  </si>
  <si>
    <t>NO 165, R.V ROAD (NEAR MINERVA CIRCLE),
BANGALORE 560004, JAYANAGAR, B.B.M.P
SOUTH, KARNATAKA-560004</t>
  </si>
  <si>
    <t xml:space="preserve">111001170-SINDHU YELAHANKA </t>
  </si>
  <si>
    <t>BEARING NO 5, GROUND, SINDHU BUILDING,, NH 7, BB ROAD,
YELAHANKA, GANDHINAGAR, KHB COLONY, BANGALORE,
560064</t>
  </si>
  <si>
    <t>111001029- C.M.H</t>
  </si>
  <si>
    <t>BEARING NO 496, GROUND FLOOR, SALARPURIA HOUSE,
BINNAMANGALA 1ST STAGE EXTENSION, C.M.H. ROAD,
BANGALORE, 560038</t>
  </si>
  <si>
    <t>WAREHOUSE NAROL AHMEDBAD-CLOSED</t>
  </si>
  <si>
    <t>BEARING NO 82, NIDC PLOT, NEAR STOVACE INDUSTRIES LTD, LAMBHA-NAROL ROAD, AHMEDABAD-3824</t>
  </si>
  <si>
    <t>WAREHOUSE NAGPUR-CLOSED</t>
  </si>
  <si>
    <t>UNIT NO 183, UPPER GR FLOOR, PLOT NO 154 AND 162, P.H.NO 05, SURVEY NO 33,36,37,59, MAUZAWADI, NAGPUR 440022</t>
  </si>
  <si>
    <t>NONGPOW SHILONG GUWATHI HIGHWAY</t>
  </si>
  <si>
    <t>GROUND FLOOR, IRDINGMONG VILLAGE, PAHAMRIOH RAID, NONGKHRAH, NONGPOH SIRDARSHIP EIAKA, RI BHOI DISTRICT MEGHALAYA NONGPOH 793101, RI BHOI, RI BHOI , MEGHALAYA, 793101</t>
  </si>
  <si>
    <t>CYBER PARK</t>
  </si>
  <si>
    <t>COFFEE DAY GLOBAL LIMITED-VENDING</t>
  </si>
  <si>
    <t>BOSCH GLOBAL SOFTWARE TECHNOLOGIES PRIVATE LIMITED, PLOT 76 &amp; 77, CYBER PARK 2ND &amp; 3RD FLOOR, DODDATHAGURU, VILLAGE BEGUR, `HOBLI, BANGALORE 560095</t>
  </si>
  <si>
    <t>NAGANATHPURA</t>
  </si>
  <si>
    <t>BOSCH GLOBAL SOFTWARE TECHNOLOGIES PRIVATE LIMITED, BUILDING NO 730, GATE NO 5, HOSUR ROAD, NAGANATHPURA SINGSANDRA,BANGALORE 560100</t>
  </si>
  <si>
    <t>VENDING - GOPALAPURAM</t>
  </si>
  <si>
    <t>PLOT NO H-4, SIPCOT SIRUSERI IT PARK,
PADUR POST, SIRUSERI , CHENNAI 603103</t>
  </si>
  <si>
    <t>GOPALAPURAM</t>
  </si>
  <si>
    <t>PLOT NO H-4,SIPCOT SIRUUSERI IT PARK, PADUR POST, SIRUSERI,CHENNAI 603103</t>
  </si>
  <si>
    <t>CHENNAI/ TAMIL NADU</t>
  </si>
  <si>
    <t>VENDING - CKC CAMPUS, CHENNAI</t>
  </si>
  <si>
    <t>COGNIZANT CKC CAMPUS, (KITS) ELCOT, SHOLINGANALLUR, CHENNAI, ST.THOMAS MOUNT BLOCK WARD-198, KANCHEEPURAM, TAMIL NADU-600119</t>
  </si>
  <si>
    <t>CHENNAI/ TAMIL ANDU</t>
  </si>
  <si>
    <t>VENDING - CTS COIMBATORE</t>
  </si>
  <si>
    <t>COGNIZANT TECHNOLOGY SERVICES INDIA PVT.LTD. 
CCC-CHIL SEZ CAMPUS, KEERANATHAM, , 
SARKARSAMAKULAM BLOCK, COIMBATORE, TAMIL 
NADU-641035</t>
  </si>
  <si>
    <t xml:space="preserve">VENDING - COGNIZANT SIRSUERI </t>
  </si>
  <si>
    <t>SIRUSERI (SRZ) SDBI, 2 &amp; 3 SEZ B-40,41,42,44, SIPCOT SIRUSERI IT PARK-SEZ, PADUR POST, SIRUSERI, CHENNAI 603103</t>
  </si>
  <si>
    <t>VENDING - HINJEWADI, PUNE</t>
  </si>
  <si>
    <t xml:space="preserve">PLOT NO 28, RAJIV GANDHI INFO TECH PARK, MIDC, HINJEWADI,
PUNE 411057 </t>
  </si>
  <si>
    <t>VENDING - SEC 135 NODIA</t>
  </si>
  <si>
    <t xml:space="preserve">THIRD FLOOR, BUILDING - 10, IT/ITES SEZ, CANDOR TECH SPACE, PLOT NO 20 AND 21, SECTOR 135, NOIDA 201304
</t>
  </si>
  <si>
    <t>NOIDA/ UTTAR PRADESH</t>
  </si>
  <si>
    <t>VENDING - GURGAON SEC 48</t>
  </si>
  <si>
    <t>GROUND FLOOR TO FIRST FLOOR,BUILDING - 3, IT/ITES SEZ, CANDOR
TECHSPACE, TIKRI, SECTOR 48, GURGAON 122018</t>
  </si>
  <si>
    <t>LTI MINDTREE-MANAPAKKAM</t>
  </si>
  <si>
    <t>LTIMINDTREE LTD., INNOVATION CAMPUS, TOWER-2,OPP. TO L&amp;T
CONSTRUCTION CAMPUS,MOUNT POONAMALLEE ROAD, MANAPAKKAM,CHENNAI 600089</t>
  </si>
  <si>
    <t>VENDING - MBP G3</t>
  </si>
  <si>
    <t xml:space="preserve">MBP G3, GROUND(PART) 5TH TO 10TH FLOOR, WING B, BLOCK TEAK (G3), MANYATA EMBASSY BUSINESS PARK, RACHENALLI &amp; NAGAWARA VILLAGE, BANGALORE 560045 </t>
  </si>
  <si>
    <t>VENDING - SOLARIUM CITY NEON</t>
  </si>
  <si>
    <t>SOLARIUM CITY NEON, PLOT NO 39 &amp; 40,
GRAPHITE INDIA ROAD, DODDANEKUNDI
EXTENSION, BANGALORE 560037</t>
  </si>
  <si>
    <t>VENDING - MBP F3</t>
  </si>
  <si>
    <t>MBP F-3, MANYATA EMBASSY BUSINESS PARK, G-6 FLOORS, F3 PALM BUILDING PHASE 1, NAGAWARA JUNCTION, OUTER RING ROAD, WARD NO 23, BANGALORE 560045</t>
  </si>
  <si>
    <t>L&amp;T MANAPAKKAM</t>
  </si>
  <si>
    <t>TOWER 1 L&amp; T INNOVATION CAMPUS, OPPL&amp; T CONSTRUCTION CAMPUS, MOUNT POONAMALLE ROAD, MANAPAKKAM,CHENNAI 600089,</t>
  </si>
  <si>
    <t>VENDING - STP BENORWELL, MANGALORE</t>
  </si>
  <si>
    <t>STP UNIT GROUND/FIRST/SECOND/ THIRD FLOORS, RS NO.743/1,
BENDOREWELL, KADRI VILLAGE, KASABA HOBLI, MANGALORE TALUK, DAKSHINA KANNADA 575003</t>
  </si>
  <si>
    <t>VENDING - MEPZ</t>
  </si>
  <si>
    <t>PLOT NO: A-15, 16, 17(PART) B-20 , D-2NH- 45, TAMBARAM GST ROAD , MEPZ,CAMPUS, SPECIAL ECONOMIC ZONE , CHENNAI - 600045</t>
  </si>
  <si>
    <t>CTS INDORE</t>
  </si>
  <si>
    <t>THIR FLOOR, BRILLIANT TITANIUM, PLOT NO 9, SCHEME NO 78, PART II INDORE 452010</t>
  </si>
  <si>
    <t>VENDING-OZONE PARK</t>
  </si>
  <si>
    <t>56/18 55/9, HOSUR MAIN ROAD, KUDLU GATE,OZONE MANAY TECH PARK,GAREBHAVIPALYA, BANGALORE 560068.</t>
  </si>
  <si>
    <t>VENDING-COGNIZANT THORAIPAKKAM-CLOSED</t>
  </si>
  <si>
    <t>TECHNO CAMPUS OFFICE (TCO) STPI 5/535, RAJIV GANDHI SALAI (OMR), OKKIYAM, THORAIPAKKAM, CHENNAI 600097</t>
  </si>
  <si>
    <t>GAUTAM BUDDHA NAGAR</t>
  </si>
  <si>
    <t>COMIDALLEY FOODS PRIVATE LIMITED</t>
  </si>
  <si>
    <t>SHOP NO-27, FIRST FLOOR, BLOCK B-1, CENTRAL MARKET, SECTOR-50, NOIDA, GAUTAM BUDDHA NAGAR, UTTAR PRADESH 201301, NOIDA CITY ZONE-1, GAUTAM BUDDHA NAGAR , UTTAR PRADESH-201301</t>
  </si>
  <si>
    <t xml:space="preserve">WADALA  </t>
  </si>
  <si>
    <t>COMMERCIAL TRANSPORT</t>
  </si>
  <si>
    <t>OFFICE NO 13 B.G.T.A,GANGA PREMISES CHSL PLOT NO A 3,WADALA TRUCK TERMINAL,WADALA, MUMBAI  400037</t>
  </si>
  <si>
    <t xml:space="preserve">VASHI    </t>
  </si>
  <si>
    <t>COMMERCIAL TYRES(HUF)</t>
  </si>
  <si>
    <t>SHOP NO 64, ARENJA CORNER PREMISES, PLOT NO 71, SECTOR 17, VASHI, NAVI MUMBAI 400703</t>
  </si>
  <si>
    <t>PARAS TRINITY MALL, GURGAON</t>
  </si>
  <si>
    <t>CUREFOODS INDIA PRIVATE LIMITED - CIPL</t>
  </si>
  <si>
    <t>SHOP NO SF202-06, 2ND FLOOR,PARAS TRINITY MALL, SECTOR 63,GURGAON 122002</t>
  </si>
  <si>
    <t>BUILDING KALPVRUSHA,PLOT NO.19,SECTOR NO.1(S),ROAD
NO.5,CIDCO OFFICE,NEW PANVEL 410206</t>
  </si>
  <si>
    <t>PANCHKULA SEC-8</t>
  </si>
  <si>
    <t>SHOP CUM FLAT, S.C.F NO. 55, SECTOR-8, PANCHKULA 134109, HARYANA</t>
  </si>
  <si>
    <t>PANCHKULA</t>
  </si>
  <si>
    <t>SCO 141, GROUND FLOOR,BACKSIDE SECTOR-14,PANCHKULA 134113 HARYANA</t>
  </si>
  <si>
    <t>OKHLA</t>
  </si>
  <si>
    <t>E-45/8, OKHLA IND. AREA PHASE-2, 20 NEW DELHI, SARITA VIHAR, DELHI 110020</t>
  </si>
  <si>
    <t xml:space="preserve">NEWTOWN </t>
  </si>
  <si>
    <t>GROUND FLOOR, PLOT NO.AB-144,96TH STREET,ACTION AREA-1, NEWTOW, KOLKATA 700156</t>
  </si>
  <si>
    <t>NERUL, NAVI MUMBAI</t>
  </si>
  <si>
    <t>SHOP NO- 4/5/6,, GROUND FLOOR,, SHRI NIDHI CH
S PLOT NO-4, SECTOR 50 NERUL, NAVI MUMBAI  400706</t>
  </si>
  <si>
    <t>NASHIK</t>
  </si>
  <si>
    <t>PART B FIRST FLOOR 103, SIDDHI POOJA
BUSINESS CENTER, NEAR LIONS CLUB
GARDEN, NEW PANDIT COLONY, NASHIK,
NASHIK WEST, NASHIK, MAHARASHTRA-422002</t>
  </si>
  <si>
    <t>NASHIK/MAHARASHTRA</t>
  </si>
  <si>
    <t>MULUND</t>
  </si>
  <si>
    <t>SHOP NO UG-32, NIRMAL GALAXY AVIOR BUILDING ,NEAR DEEP MANDIR CINEMA,LBS MARG MULUND WEST, MUMBAI 400080</t>
  </si>
  <si>
    <t>MOGAPPAIR</t>
  </si>
  <si>
    <t>PLOT NO. 57, HIG-1, TNHB, MOGAPPAIR WEST MAIN ROAD, NOLAMBUR, VILLIVAKKAM BLOCK WARD-143, THIRUVALLUR, TAMIL NADU-600095</t>
  </si>
  <si>
    <t>THIRUVALLUR/TAMIL NADU</t>
  </si>
  <si>
    <t>MODEL TOWN</t>
  </si>
  <si>
    <t>A-40/1, GROUND FLOOR, KHASRA NO. 351, G T KARNAL ROAD, MAHENDRU ENCLAVE, AZADPUR, MODEL TOWN, NORTH  DELHI 110033</t>
  </si>
  <si>
    <t>162,GROUND FLOOR,  JESSORE ROAD, SUKANTA NAGAR, MADHYAMGRAM, KOLKATA 700133</t>
  </si>
  <si>
    <t>GOMTI  NAGAR</t>
  </si>
  <si>
    <t>A-01/7, GROUND FLOOR, CONCEPT POINT,VIBHUTI KHAND, GOMTI NAGAR, LUCKNOW 226010</t>
  </si>
  <si>
    <t>LUCKNOW/ UTTAR PRADESH</t>
  </si>
  <si>
    <t>KHARGHAR KITCHEN</t>
  </si>
  <si>
    <t>SHOP NO 17, GROUND FLOOR, AUM SAI CHSL, PLOT NO 23C, SECTOR 7, KHARGHAR 410210</t>
  </si>
  <si>
    <t>KITCHEN SHIFTING</t>
  </si>
  <si>
    <t>SAHJIVAN NAGAR</t>
  </si>
  <si>
    <t>277, GROUND FLOOR, GOPUR SQUARE, WEST RING ROAD,
SAHJIVAN NAGAR, INDORE 452009</t>
  </si>
  <si>
    <t xml:space="preserve"> BADARPUR CENTRAL KITCHEN</t>
  </si>
  <si>
    <t>GROUND FLOOR, APEEJAY TECHNOPARK, PLOT NO B- II/40, MOHAN CO-OPERATIVE INDUSTRIAL ESTATE, MATHURA ROAD PULPEHLADPUR PUL PEHLADPUR CENTRAL ZONE CENTRAL DELHI</t>
  </si>
  <si>
    <t>1074,GARIA (HAT BAJAR) AREA,NEAR BASANAKALI BARI,BORAL MAIN ROAD,GROUND FLOOR,WARD NO.29, KOLKATA 700084</t>
  </si>
  <si>
    <t>SHIVAJI NAGAR</t>
  </si>
  <si>
    <t>1187/69-2 GHOLE ROAD OFFICE NO 2  SHIVAJINAGAR,  PUNE 411005</t>
  </si>
  <si>
    <t>KOTHRUD</t>
  </si>
  <si>
    <t>SAI SAYAJI BUILDING,  SECOND FLOOR, S NO  88/1, PAUD ROAD KOTHRUD 411038</t>
  </si>
  <si>
    <t>BANER</t>
  </si>
  <si>
    <t>OFFICE NO 201, 2ND FLOOR, S NO 22, MODI SQUARE 
BUILDING, OPP EMISUR, LAXMAN NAGAR,  BALEWADI, PUNE 411045</t>
  </si>
  <si>
    <t>WAKAD</t>
  </si>
  <si>
    <t>S NO 39/1 WAKAD ROAD NR. H P GAS HINJAWADI 
PUNE, HAVELI, PUNE, MAHARASHTRA-411057</t>
  </si>
  <si>
    <t>VIMAN NAGAR</t>
  </si>
  <si>
    <t>SHOP NO G-49/G-50 GROUND FLOOR S NO 7/1  TO 8/1/1/2-3/2TOWER NO 5/6 &amp;7 F  RESIDENCY OPP CHHATRAPATI SHIVAJI  MAHARAJ GARDEN, WADGAON SHERI , PUNE 
 411014</t>
  </si>
  <si>
    <t>PIMPRI</t>
  </si>
  <si>
    <t>SHOP NO 1&amp;,2 GROUND FLOOR, C T S NO  4669, PIMPRI CHINCHWAD LINK ROAD,  OPP.  BHAT NAGAR PIMPRI CAMP, PIMPRI  WAGHARE  411017</t>
  </si>
  <si>
    <t>SHOP NO 001-002 BUILDING A/3 SECTOR NO 5 SHANTI NAGAR OPP BHARAT GAS MIRA ROAD EAST411104</t>
  </si>
  <si>
    <t>SHOP NO 13, FIRST FLOOR, MOHAN MARKETING COMPLEX, OPPOSITE IDBI NEAR ARGORA CHOWK, ASHOK NAGAR, RANCHI 834002</t>
  </si>
  <si>
    <t>RANCHI/MADHYA PRADESH</t>
  </si>
  <si>
    <t xml:space="preserve">VIJAY NAGAR   </t>
  </si>
  <si>
    <t>GROUND FLOOR, PLOT NO 40, SCHEME NO.78, PART II , VIJAY NAGAR, INDORE 452010</t>
  </si>
  <si>
    <t>PHOENIX PALLADIUM</t>
  </si>
  <si>
    <t>HRX BY EATFIT, UNIT NO S-5A, SECOND FLOOR, PHOENIX PALLADIUM, PHOENIX MILLS COMPOUND, 462, SENAPATI BAPAT MARG, LOWER PAREL, MUMBAI 400013</t>
  </si>
  <si>
    <t>SHOP NO G-30/A, GROUND FLOOR, KRIS CORNER COMMERCIAL PLAZA PREMISES CO-OPERATIVE SOCIETY LTD, KAVESAR, GHODBUNDER ROAD, ANAND NAGAR, THANE WEST 400615</t>
  </si>
  <si>
    <t>GALA NO 62, GROUND FLOOR, SHAS AND NAHAR INDUSTRIAL ESTATE, DHANRAJ MILL COMPOUND, LOWER PAREL (W), MUMBAI 400013</t>
  </si>
  <si>
    <t xml:space="preserve"> BELLA BISTA, KONDHWA</t>
  </si>
  <si>
    <t>LOWER GROUND FLOOR 7/28 MOMIN DREAMS, NEAR EASH
BELLA BISTA, KONDHWA PUNE  411048</t>
  </si>
  <si>
    <t>WAGHOLE PUNE</t>
  </si>
  <si>
    <t>SHOP NO.6 GROUND FLOOR, SHIVKAILASCOMPLEX BAIF ROAD, (DABHADE WASTI), NEAR IRIS, SOCEITYWAGHOLI PUNE- 412207</t>
  </si>
  <si>
    <t>LOHEGAON PUNE</t>
  </si>
  <si>
    <t>UNIT NO  109,110,111,112,122,123,124PALLADIUM  GRAND PHASE 2 FIRST FLOOR K WING S NO  17/1-A/2 LOHGAON ROAD DHANORI  411015</t>
  </si>
  <si>
    <t>SHOP NO 9, GROUND FLOOR, PLOT NO A115, PHASE 1, MIDC, NEAR PENDHARKAR COLLAGE, DOMBIVALI EAST 421203</t>
  </si>
  <si>
    <t>GROUND FLOOR, H NO-6, ZOO NARENGI ROAD GUWAHATI ASSAM 781021</t>
  </si>
  <si>
    <t>GROUND FLOOR, H/NO.33, BISHNU RAVA PATH, BELTOLA, GUWAHATI 781029</t>
  </si>
  <si>
    <t xml:space="preserve">DELHI KITCHEN CENTRAL </t>
  </si>
  <si>
    <t>PLOT B-II/40, APEEJAY TECHNOPARK, MOHAN CO-OPERATIVE INDUSTRIAL ESTATE, MATHURA ROAD,SARITA VIHAR, DELHI 110044</t>
  </si>
  <si>
    <t xml:space="preserve"> APEEJAY TECHNOPARK - DELHI KITCHEN CENTRAL </t>
  </si>
  <si>
    <t>PLOT B-II/40, APEEJAY TECHNOPARK, MOHANCO-OPERATIVE INDUSTRIAL ESTATE, MATHURA ROAD, SARITA VIHAR, DELHI 110044</t>
  </si>
  <si>
    <t>OFFICE F 101, FIRST FLOOR, TYCOON SAPPHIRE CHS, GODREJ HILL, KHADAKPADA, KALYAN 421301</t>
  </si>
  <si>
    <t>AERIUM COMPLEX</t>
  </si>
  <si>
    <t>301, AERIUM COMPLEX, 01 SHROFF NAGAR CO-OP HOUSING SOCIETY, HARINAGAR CROSS ROAD, GOTRI, VADODARA 390021</t>
  </si>
  <si>
    <t>MAHAPE MIDC CENTRAL KITCHEN</t>
  </si>
  <si>
    <t>PLOT NO A-420, TTC INDUSTRIAL AREA, MIDC, MAHAPE, NAVI MUMBAI 400701</t>
  </si>
  <si>
    <t>GCR 53 GURGOAN</t>
  </si>
  <si>
    <t xml:space="preserve">GROUND FLOOR,PLOT NO 1605, SECTOR 53, SARASWATI KUNJ, GURUGRAM 122001 </t>
  </si>
  <si>
    <t>ADYAR MG ROAD</t>
  </si>
  <si>
    <t>NO. 6, FIRST FLOOR, MAHATMA GANDHI ROAD, THIRUVANMIYUR, CHENNAI CORP. WARD - 182,
CHENNAI, TAMIL NADU 600041</t>
  </si>
  <si>
    <t>VELACHERY</t>
  </si>
  <si>
    <t>NO. 18/42 PILLAIYAR KOIL STREET, VELACHERI TOWN, VELACHERI TALUK, CHENNAI DISTRICT, TAMIL NADU 600042</t>
  </si>
  <si>
    <t>SARAVANAMPATTI COIMBATORE</t>
  </si>
  <si>
    <t>NO 28/6A, 7,8,9.10.11, VILLANKURICHI ROAD, SARAVANAMPATTI, COIMBATORE, TAMIL NADU 641035</t>
  </si>
  <si>
    <t>COIMBATORE/TAMILNADU</t>
  </si>
  <si>
    <t>SALEM</t>
  </si>
  <si>
    <t>R12 RBT MALL, FIRST FLOOR MEYYANUR BYE PASS ROAD, ARRS MULTIPLEX ROAD, SALEM- 636004 TAMILNADU</t>
  </si>
  <si>
    <t xml:space="preserve"> ITSY HOTELS GREEN VILLAA, NO.1, SIVA SAKTHI STREET,SITHANKUDI, BRINDAVAN COLONY, PUDUCHERRY 605011</t>
  </si>
  <si>
    <t>KK NAGAR</t>
  </si>
  <si>
    <t>NO. 10/1, SRINIVASAI STREET, WEST K.K NAGAR, CHENNAI CORP. WARD - 137, CHENNAI, TAMIL NADU-600078</t>
  </si>
  <si>
    <t>CHROMPET</t>
  </si>
  <si>
    <t>NO.11, OPPOSITE AGS COLONY, THIRUNEERMALAI MAIN ROAD, CHROMPET TOWN, PALLAVARAM TALUK, CHENGALPATTU DISTRICT, TAMIL NADU 600044</t>
  </si>
  <si>
    <t>CHROMPET/TAMIL NADU</t>
  </si>
  <si>
    <t>ANNA NAGAR</t>
  </si>
  <si>
    <t>GROUND FLOOR, NO. 60, NELSON MANICKAM ROAD, AMINJIKARAI TOWN, AMINJIKARAI TALUK, CHENNAI DISTRICT, TAMIL NADU 600029</t>
  </si>
  <si>
    <t>IC COLONY BORIVALI</t>
  </si>
  <si>
    <t>SHOP NO,4 AND 5,GOLDERS GREEN BLDG NO,1B CHS LTD ,HOLY CROSS ROAD,ICCOLONY BORIVALI WEST MUMBAI 400103</t>
  </si>
  <si>
    <t>VAKOLA</t>
  </si>
  <si>
    <t>UNIT NO 3, AMAR INDUSTRIAL ESTATE CO-OP SOCIETY LTD.,159,CST ROAD,KALINA,SANTACRUZ EAST,MUMBAI 400098</t>
  </si>
  <si>
    <t>THANE</t>
  </si>
  <si>
    <t>GROUND FLOOR, C8 AGGARWAL ESTATE, CHITALSAR MANPADA, S V ROAD, THANE 400607</t>
  </si>
  <si>
    <t xml:space="preserve">VASHI   </t>
  </si>
  <si>
    <t>SHOP NO 61, PLOT NO 19-20, SECTOR-19D, SATRA PLAZA, PLAM BEACH ROAD, VASHI, NAVI MUMBAI 400703</t>
  </si>
  <si>
    <t>SAMBHAV CHAMBER FORT</t>
  </si>
  <si>
    <t>UNIT 5,6,7 AND 8, GROUND FLOOR, PLOT 20, SAMBHAV CHAMBER PHIROZSHOH MEHTAROAD, HORNIMAN CIRCLE, FORT MUMBAI 400001</t>
  </si>
  <si>
    <t>A- 17 GROUND FLOOR, TYPE 2 KALPAK ESATE, PLOT NO
5A, SHAIK MISRI ROAD, CGS COLONY, ANTOP HILL, WADALA EAST,  MUMBAI 400037</t>
  </si>
  <si>
    <t>JUNOS TARDEO</t>
  </si>
  <si>
    <t xml:space="preserve"> SHOP NO A11, MAHAVIR APARTMENT, GANGA JAMUNA CHS
LTD, 241, TARDEO ROAD, NEAR BHATIA,
HOSPITAL, MUMBAI 400007</t>
  </si>
  <si>
    <t>JUNOS LOWER PAREL</t>
  </si>
  <si>
    <t>SHOP NO 3, GROUND FLOOR, ORBIT TERRACES, N.M JOSHI MARG, OPP WESTERN RAILWAY WORKSHOP, LOWER PAREL, MUMBAI 400013</t>
  </si>
  <si>
    <t>SHOP NO 4 AND 5,GOLDERS GREEN BLDG NO 1B CHS LTD ,HOLY CROSS ROAD, IC COLONY,  BORIVALI WEST,  MUMBAI 400103</t>
  </si>
  <si>
    <t>SHOP NO.6 GROUND FLOOR, SHIVKAILAS COMPLEX BAIF ROAD, (DABHADE WASTI), NEAR IRIS, SOCEITYWAGHOLI PUNE  412207</t>
  </si>
  <si>
    <t>POWAI</t>
  </si>
  <si>
    <t>UNIT NO 7, BUILDING NO 2, A WING, GROUND FLOOR,WOODEN BOXES MANUFACTURERS CO-OP INDUSTRIAL ESTATE LTD.,KAILASH INDUSTRIAL COMPLEX, VEER SAWARKAR MARG, PARK SITE, VIKHROLI WEST, MUMBAI 400079</t>
  </si>
  <si>
    <t xml:space="preserve">SOUTH DUM DUM </t>
  </si>
  <si>
    <t>P-125, KALINDI HOUSING ESTATE, GROUND FLOOR, MAYURAKSHI APARTMENT ,KOLKATA, WARD NO. 020, SOUTH DUM DUM 700089</t>
  </si>
  <si>
    <t>SMOODIES POPULAR COLONY</t>
  </si>
  <si>
    <t>4TH FLOOR, PID NO.706/45/22/1, OLD MANGAMMANAPALYA ROAD, POPULAR COLONY, BANGALORE560068</t>
  </si>
  <si>
    <t>SAI BABA COLONY,  COIMBATORE </t>
  </si>
  <si>
    <t>No. 22-1, 22-2A, SRP Nagar II, Saibaba Colony, Coimbatore, Tamil Nadu-641011</t>
  </si>
  <si>
    <t>MAGARPATTA</t>
  </si>
  <si>
    <t>MAGARPATTA- GROUND FLOOR, HINAGANE  COMPLEX, PLOT NO 8 , RAMTEKDI INDUSTRIAL  ESTATE, HADAPSAR, PUNE 411028</t>
  </si>
  <si>
    <t>ZIRAKPUR, PUNJAB</t>
  </si>
  <si>
    <t>SCO 56, FIRST FLOOR, VIP SHOPPING CENTRE, NEAR DEVAJI
PLAZA VIP ROAD, SAS NAGAR 140603</t>
  </si>
  <si>
    <t>ZIRAKPUR/PUNJAB</t>
  </si>
  <si>
    <t>P-125, KALINDI HOUSING ESTATE, GROUND  FLOOR, MAYURAKSHI APARTMENT, KOLKATA, WARD NO. 020, SOUTH DUM DUM 700089</t>
  </si>
  <si>
    <t>SHOP-B-3-151, GROUND FLOOR, BLOCK B, SHRI KRISHNA BHAVAN, NARASINGHA DUTTA ROAD, KADAMTALA, HOWRAH 711101</t>
  </si>
  <si>
    <t>SECTOR 24D, CHANDIGARH</t>
  </si>
  <si>
    <t>S.C.O NO.135, GROUND FLOOR, SECTOR 24-D, CHANDIGARH 160023</t>
  </si>
  <si>
    <t>RAJARHAT</t>
  </si>
  <si>
    <t xml:space="preserve"> CF-3, GROUND FLOOR, JYANGRA ROAD GHOSHPARA, APURVILLA, WARD NO 11,  P.S.-BAGUIATI, RAJARHA,  KOLKATA 700059</t>
  </si>
  <si>
    <t>GREEN PARK HAUZ KHAS</t>
  </si>
  <si>
    <t>S-13, SECOND FLOOR, GREEN PARK
EXTENSION, NEAR UPHAR CINEMA COMPLEX SAFDARJUNG ENCLAVE WARD, NEW DELHI 110016</t>
  </si>
  <si>
    <t>GK KITCHEN</t>
  </si>
  <si>
    <t>252/F, GROUND FLOOR, KHASRA NO 185/50/2/2, VILLAGE GARHI, BHARIA MARIA, SANT NAGAR, NEW DELHI 110065</t>
  </si>
  <si>
    <t>BELGHORIA</t>
  </si>
  <si>
    <t>NO.6, GROUND FLOOR, SUBHASH PALLY, BARA NAGAR, LP-129/2, WARD NO 14, BELGHORIA, KOLKATA 700035</t>
  </si>
  <si>
    <t>BEHALA</t>
  </si>
  <si>
    <t>291, GROUND FLOOR, BIDHU BHUSHAN SENGUPTA ROAD,WARD NO 128,  BEHALA, KOLKATA 700034</t>
  </si>
  <si>
    <t>BALLYGUNGE</t>
  </si>
  <si>
    <t>195, RASH BEHARI AVENUE,1ST FLOOR, WARD
NO. 68, KOLKATA 700019</t>
  </si>
  <si>
    <t>SUBHASH ROAD</t>
  </si>
  <si>
    <t>51 A,FIRST FLOOR, SUBBHASH ROAD DEHRADUN 248001</t>
  </si>
  <si>
    <t>DEHRADUN/ UTTARAKHAND</t>
  </si>
  <si>
    <t xml:space="preserve"> BANGALORE CENTRAL KITCHEN</t>
  </si>
  <si>
    <t>NO, 3, 2ND CROSS, N S PALYA BTM 2ND STAGE BANNERGHATTA ROAD BANGALORE 560076</t>
  </si>
  <si>
    <t>TURQOISE C G ROAD AHMEDABAD</t>
  </si>
  <si>
    <t>GF/12 AND FF/112, TURQUOISE BUILDING, NEAR PANCHVAT CIRCLE, C.G ROAD, ELLIS BRIDGE, AHMEDABAD 380006</t>
  </si>
  <si>
    <t>ANDHERI WEST</t>
  </si>
  <si>
    <t>SMGK ASSOCIATES RESIDENCY BASEMENT A WING HIIL PARK PARK COMPLEX CAPT SURESH SAMANT MARG NR AGARWAL
INDUSTRIAL ESTATE JOGESHWARI WEST MUMBAI 400102</t>
  </si>
  <si>
    <t>KARAPAKKAM</t>
  </si>
  <si>
    <t>NO. 9, GROUND FLOOR, 4TH CROSS STREET, MUTHAMZHIL NAGAR, OMR, KARAPAKKAM, ST.THOMAS MOUNT BLOCK WARD-197, KANCHEEPURAM, TAMIL NADU-600097</t>
  </si>
  <si>
    <t>KARAPAKKAM/TAMIL NADU</t>
  </si>
  <si>
    <t>GROUND FLOOR,PANCHATARA SOCIETY OPPOSITE MANIK PARK, PLOT NO 29, MANISH NAGAR, SOMALWADA, NAGPUR 440015</t>
  </si>
  <si>
    <t>MERAKI OP ROAD</t>
  </si>
  <si>
    <t>SHOP NO 8 AND 9, GROUND FLOOR, MERAKI LATITUDE,
KOTHARI CHAMBERS, NEAR NEVDEEP NAGAR, OLD PADRA ROAD, VADODARA 390020</t>
  </si>
  <si>
    <t>CHANDKHEDA</t>
  </si>
  <si>
    <t>101-102 VITTHAL EXOTICA NEAR AUDA GARDEN B/H SANGATH SILVER MOTERA, AHMEDABAD  380005</t>
  </si>
  <si>
    <t>GANDHINAGAR - PRAMUKH CYPRUS</t>
  </si>
  <si>
    <t>SHOP NO 120, PRAMUKH CYPRUS, SARGASAN, GANDHINAGAR 382421</t>
  </si>
  <si>
    <t>GANDHINAGAR/GUJARAT</t>
  </si>
  <si>
    <t>DWARKA, DELHI</t>
  </si>
  <si>
    <t>GROUND FLOOR, PLOT NO. - 13, G/F BLOCK M VISHWAS PARK UTTAM NAGAR, BEHIND PETROL PUMP,DWARKA,  NEW DELHI 110059</t>
  </si>
  <si>
    <t>SAKET</t>
  </si>
  <si>
    <t>GROUND FLOOR, F-342, G/FLOOR, VILLAGE LADO SARA,I NEW DELHI 110030</t>
  </si>
  <si>
    <t>JANAKPURI</t>
  </si>
  <si>
    <t>GROUND FLOOR SHOP NO. 3&amp;4 PROPERTY NO. 2/10 UGF, TILAK NAGAR NEW DELHI 110018</t>
  </si>
  <si>
    <t>KAROL BAGH</t>
  </si>
  <si>
    <t>GROUND FLOOR 5001 GALI NO. 5, PAYARA LAL ROAD, SANT NAGAR KAROL BAGH NEAR KHALSA BOYS SEN. SEC. SCHOOL DELHI 110005</t>
  </si>
  <si>
    <t>ROHINI</t>
  </si>
  <si>
    <t>FIRST FLOOR, HOUSE NO. 1148 KHASRA NO. 22, VILLAGE NAHARPUR, NEAR NIHANKARI SATSANG BHAWAN, NEW DELHI 110085</t>
  </si>
  <si>
    <t>SECTOR 63</t>
  </si>
  <si>
    <t>C-86, FIRST FLOOR, SECTOR 63 NOIDA 201301</t>
  </si>
  <si>
    <t>SECTOR 10</t>
  </si>
  <si>
    <t>GROUND FLOOR, D-45, SECTOR - 10, NOIDA 201301</t>
  </si>
  <si>
    <t>GAUR CITY</t>
  </si>
  <si>
    <t xml:space="preserve">KHASRA NO-105B, GROUND FIRST FLOOR,BEHIND SABJI MANDI, MAIN ROAD SHABERI,GREATER NOIDA, GAUTAMBUDDHA NAGAR , UTTAR PRADESH 201001 </t>
  </si>
  <si>
    <t>CANNOUGHT PLACE, DELHI</t>
  </si>
  <si>
    <t>1830-31 GROUND FLOOR (LEFT SIDE), LAXMI NARAIN STREET CHUNA MANDI, PAHARGANJ, CENTRAL DELHI 110055</t>
  </si>
  <si>
    <t>SECTOR 49</t>
  </si>
  <si>
    <t>SHOP NO. - 101A, 101B &amp; 103, FIRST FLOOR,
EAT AVANUE GRAND, BAROLA, SECTOR 49, NOIDA 201301</t>
  </si>
  <si>
    <t>MAYUR VIHAR</t>
  </si>
  <si>
    <t>R4, 1ST FLOOR, KHASRA NO.-585/202/, PLOT NO.-4 EAST VINOD NAGAR NEAR RELIANCE FRESH NEW DELHI, MAYUR VIHAR, EAST , DELHI-110091</t>
  </si>
  <si>
    <t>SAHAKAR MARG</t>
  </si>
  <si>
    <t>B-60, SAHAKAR MARG, LAL KOTHI, JAIPUR 302015</t>
  </si>
  <si>
    <t>MANINAGAR</t>
  </si>
  <si>
    <t>FIRST FLOOR, F. P, NO. 140/A, AMRAPALI BUILDING NEAR,MANINAGAR. CROSSROAD BESIDE BANK OF BARODA, OPP PATEL BHUVAN, AHMEDABAD 380008</t>
  </si>
  <si>
    <t>VASUNDHARA GHAZIABAD</t>
  </si>
  <si>
    <t>SHOP SECOND FLOOR, ELLEN TOWER PLOT NO. C -12,
SECTOR -15, VASUNDHARA , GHAZIABAD  201012</t>
  </si>
  <si>
    <t>GAHAZIABAD/ UTTAR PRADESH</t>
  </si>
  <si>
    <t>VASANT KUNJ KITCHEN, DELHI - CLOSED</t>
  </si>
  <si>
    <t>GROUND FLOOR, FRONT PORTION, PLOT NO 11, MASOODPUR DAIRY FARM, MASOODPUR, NEW DELHI 110070</t>
  </si>
  <si>
    <t>OH HOLD BY CO.</t>
  </si>
  <si>
    <t>RENEWED BY COMPANY</t>
  </si>
  <si>
    <t>PARAS TRINITY MALL</t>
  </si>
  <si>
    <t>HOLD BY CIPL</t>
  </si>
  <si>
    <t>GREEN PARK HAUZ KHAS-CLOSED</t>
  </si>
  <si>
    <t xml:space="preserve"> EXTENSION, NEAR UPHAR CINEMA COMPLEX, SAFDARJUNG ENCLAVE WARD, NEW DELHI EXTENSION, NEAR UPHAR CINEMA COMPLEX SAFDARJUNG ENCLAVE WARD, NEW DELHI,110016</t>
  </si>
  <si>
    <t>DONE BY CIPL</t>
  </si>
  <si>
    <t>FARIDABAD WAREHOUSE - CLOSED</t>
  </si>
  <si>
    <t>FIRST FLOOR, BUILDING 14/6, HELLA COMPOUND, MATHURA ROAD, FARIDABAD HARYANA 121003, FARIDABAD, FARIDABAD, HARYANA-121003</t>
  </si>
  <si>
    <t>BESTECH CHAMBERS, GURGAON - CLOSED</t>
  </si>
  <si>
    <t>GF-26, GROUND FLOOR, BESTECH CHAMBERS, B LOCK, SUSHANT LOK-1, SECTOR 27, GURUGRAM 122001</t>
  </si>
  <si>
    <t>FACTORY</t>
  </si>
  <si>
    <t>VELLORE</t>
  </si>
  <si>
    <t xml:space="preserve">CUREFOODS INDIA PVT LTD </t>
  </si>
  <si>
    <t>GROUND FLOOR, 49, VIT RD, NEAR KATPADI,
VELLORE 632014</t>
  </si>
  <si>
    <t>VELLORE/ TAMILNADU</t>
  </si>
  <si>
    <t>SARASOTA HOUSE</t>
  </si>
  <si>
    <t>STANZA LIVING, PLOT NO. 389/B/2, SCHEME NO.1, VILLAGE SHIVAJINAGAR, HAVELI, PUNE 411005</t>
  </si>
  <si>
    <t>LUBLIN HOUSE</t>
  </si>
  <si>
    <t>HOUSE NO 6-125/1, SY NO 657, MAISAMMAGUDA HAMLET, GUNDLAPOCHAMPALLY 500043</t>
  </si>
  <si>
    <t>AUCKLAND HOUSE</t>
  </si>
  <si>
    <t>SURVEY NOS 170 PAIKI 2,171, 172 PAIKI 2, &amp; 173 PAIKI 2, VILLAGE AMODAR, TALUKA VAGHODIA, VAGHODIA, VADODARA 390019</t>
  </si>
  <si>
    <t>AKRON HOUSE</t>
  </si>
  <si>
    <t>STANZA LIVING, PLOT NO.4, SURVEY NO 78/4+5, VILLAGE KOTHRUD, PUNE 411029</t>
  </si>
  <si>
    <t>COSENZA HOUSE</t>
  </si>
  <si>
    <t>STANZA LIVING, CTS NO.291 AND 1/3RD PORTION OF 292/B, BHAMBURDA VILLAGE, SHIVAJINAGAR, PUNE 411005</t>
  </si>
  <si>
    <t>ANDRIA HOUSE</t>
  </si>
  <si>
    <t>STANZA LIVING, CHAWL NO 81/ROOM NO 760, CHAWL NO.81, GALA/ROOM NO.759, CHAWL NO.79 GALA/ROOM NO.761, CHAWL NO 82 GALA/ROOM NO. 761, SURVEY NO. 98/1 AND 99, GOKHALENAGAR, VILLAGE SHIVAJI NAGAR, PUNE 411016</t>
  </si>
  <si>
    <t>CONWAY HOUSE</t>
  </si>
  <si>
    <t>STANZA LIVING, NO 10. GRAMA NATHAM NEW SURVEY NO.79/3B2, 79/3B3, 79/3B4, 79/3B5,79/3B6,  NO.10, NAVALUR VILLAGE, THIRUPORUR TALUK, KANCHIPURAM DISTRICT, CHENNAI 603103</t>
  </si>
  <si>
    <t>SANITARY LICENSE</t>
  </si>
  <si>
    <t>WHITEHAVEN HOUSE</t>
  </si>
  <si>
    <t>STANZA LIVING, PLOT NO 2, OLD GAT NO 1642, NEW GAT NO 1147, WAGHOLI VILLAGE, HAVELI, PUNE 412207</t>
  </si>
  <si>
    <t>PRESOV HOUSE</t>
  </si>
  <si>
    <t>STANZA LIVING, FLAT NO.101, 102, 103, 104, 201, 202, 203, 204, 301, 302, 303, 304, 401, 402, 403, SURVEY NO.232, HISSA NO.1+2, PLOT NO.21, SAKORENAGAR HOUSING SOCIETY LTD, LOHEGAON, PUNE, 411014</t>
  </si>
  <si>
    <t>MALMO HOUSE</t>
  </si>
  <si>
    <t>STANZA LIVING, S NO 232/1+2, PLOT NO 40, SAKORENAGAR, LOHEGAON, PUNE 411014</t>
  </si>
  <si>
    <t>LIVERMORE HOUSE</t>
  </si>
  <si>
    <t>STANZA LIVING, ARCHANA COOPERATIVE SOCIETY LIMITED, C WING, SURVEY NO 199, 204, 205/1,209, PLOT NO 720, LOHEGAON, VIMAN NAGAR, HAVELI, PUNE 411014</t>
  </si>
  <si>
    <t>HERAT HOUSE</t>
  </si>
  <si>
    <t>STANZA LIVING, UNIT NO 201, 202, 203, 204, 205,  206, 207, 208, 209, 301, 305, 306, 308, 309, 401, 402, 404, 405, 406,  407, 408, 409,  STUDIO APARTMENT, BUILDING A, PHASE 4, GOLDEN WINDS, SURVEY NO.298/2A, LOHEGAON VILLAGE, HAVELI, PUNE 411047</t>
  </si>
  <si>
    <t>EVANSVILLE HOUSE</t>
  </si>
  <si>
    <t>STANZA LIVING, GROUND FLOOR, SURVEY NO 231/2/1, PLOT NO 49+50+51 VIMANNAGAR, LOHGAON,  PUNE 411041</t>
  </si>
  <si>
    <t>BARNSLEY HOUSE</t>
  </si>
  <si>
    <t>STANZA LIVING, GROUND FLOOR, SURVEY NO. 300/1 D Y PATIL ROAD, MAUJE LOHGAON, HAVELI, PUNE 411047</t>
  </si>
  <si>
    <t>GIRONA HOUSE</t>
  </si>
  <si>
    <t>STANZA LIVING, PLOT NO.24 SURVEY NO. 74, HISSA NO. 1B+2/24, KATRAJ, PUNE, 411046</t>
  </si>
  <si>
    <t>UPINGTON HOUSE</t>
  </si>
  <si>
    <t>STANZA LIVING, SHRI SAI HOMES, SURVEY NO 535, SURVEY NO 11, HISSA NO 1A/2, MAHARSHI KARVENAGAR, PUNE 411052</t>
  </si>
  <si>
    <t>TOBRUK HOUSE</t>
  </si>
  <si>
    <t>STANZA LIVING, SURVEY NO 9, HISSA NO 2/2/1, HINGANE BK. (MAHARSHI KARVENAGAR), PUNE 411052</t>
  </si>
  <si>
    <t>MANSA HOUSE</t>
  </si>
  <si>
    <t>STANZA LIVING, SURVEY NO.10/3, LANE 2, SHAHU COLONY, MAHARSHI KARVENAGAR, PUNE 411052</t>
  </si>
  <si>
    <t>TYLER HOUSE</t>
  </si>
  <si>
    <t>STANZA LIVING, NO 1/364, C BLOCK, SURVEY NO 509,506/5, 507, 508, OMR ROAD, PADUR VILLAGE, CHENGALPUT TALUK, KACHEEPURAM DISTRICT, CHENNAI 603103</t>
  </si>
  <si>
    <t>VIGO HOUSE</t>
  </si>
  <si>
    <t>SURVEY NO-9, PLOT NO.15 GACHIBOWLI, HYDERABAD 500081</t>
  </si>
  <si>
    <t>VERNIER HOUSE</t>
  </si>
  <si>
    <t>PLOT 156/PART, SURVEY NO. 346 TO 355, NARSINGI VILLAGE, GANDIPET MANDAL, HYDERABAD 500089</t>
  </si>
  <si>
    <t>SUNDERLAND HOUSE</t>
  </si>
  <si>
    <t>HOUSE NO 2-25/4 AND 2-25/4/P, PLOT NO 6 AND 7, SURVEY NO 116,  INDIRA NAGAR, GACHIBOWLI, HYDERABAD 500032</t>
  </si>
  <si>
    <t>QUEENSTOWN HOUSE</t>
  </si>
  <si>
    <t>4-15/2, HIMAYAT SAGAR ROAD, AZIZNAGAR, HYDERABAD 500075</t>
  </si>
  <si>
    <t>BERMEN HOUSE</t>
  </si>
  <si>
    <t>BEARING NO 2-62/3/4, SURVEY NO 136, GACHIBOWLI VILLAGE, SERILINGAMPALLY 500032</t>
  </si>
  <si>
    <t>KUKATPALLY KITCHEN</t>
  </si>
  <si>
    <t>D,NO 15-31-XV-M-39, 15-31-XV-M-39/1, 15-31-XV-M-24, PLOT NO 39/MIG-II, 24/MIG-II,PHASE-XV, KPHB COLONY, KUKATPALLY HYDERABAD</t>
  </si>
  <si>
    <t>BELGRADE HOUSE</t>
  </si>
  <si>
    <t>HOUSE NO 7-1-282/C/1/71, UPPER FLOORS, PLOT NO 71, SURVEY NO 12, 18, 19, AND 21, BAHLOOL KHANGUDA VILLAGE, BALKAMPET, HYDERABAD 500018</t>
  </si>
  <si>
    <t>WATFORD HOUSE</t>
  </si>
  <si>
    <t>STANZA LIVING, NO. 13/2/58, SHANUBHOGANAHALLI, VILLAGE,
HALI YELAHANKA, BANGALORE, 560089</t>
  </si>
  <si>
    <t>VARDA HOUSE</t>
  </si>
  <si>
    <t>STANZA LIVING, NO., 202,3RD STAGE, CHIKKASANDRA VILLAGE,
YESHWANTHAPURA, HOBLI,, BANGALORE, 560090</t>
  </si>
  <si>
    <t>TAMALE HOUSE</t>
  </si>
  <si>
    <t>STANZA LIVING, NO.217 3RD STAGE, CHIKKASANDRA VILLAGE,
YESHWANTHAPURA, HOBLI, BANGALORE, 560107</t>
  </si>
  <si>
    <t>MANAGUA HOUSE</t>
  </si>
  <si>
    <t>STANZA LIVING,68, 3RD CROSS ROAD,, MARUTHI MANDIM
ROAD,, SOLADEVANAHALLI VILLAGE, HESARAGHTHA HOBLI,
BANGALORE, 560090</t>
  </si>
  <si>
    <t>DAVAO HOUSE</t>
  </si>
  <si>
    <t>STANZA LIVING,, PROPERTY, NO 57/57,, SOLADEVANAHALLI
VILLAGE, HESARAGHATTA HOBLI, BANGALORE, 560107</t>
  </si>
  <si>
    <t xml:space="preserve">BRATISLAVA HOUSE	</t>
  </si>
  <si>
    <t>STANZA LIVING, 3RD CROSS VENKATESWARA LAYOUT, SG PALAYA, BANGALORE 560029</t>
  </si>
  <si>
    <t>SARATOV HOUSE</t>
  </si>
  <si>
    <t>STANZA LIVING, 59, UTTARAHALLI MAIN RD. CHANNASANDRA VILLAGE, RAJARAJESHWARI NAGAR, BENGALURU, KARNATAKA 560098</t>
  </si>
  <si>
    <t>VERONA HOUSE</t>
  </si>
  <si>
    <t>VALERA HOUSE</t>
  </si>
  <si>
    <t>TUNIS HOUSE</t>
  </si>
  <si>
    <t>TRAFFORD HOUSE</t>
  </si>
  <si>
    <t>TEL AVIV HOUSE- B WING</t>
  </si>
  <si>
    <t>STANZA LIVING, B WING, FLAT NUMBER 101, 102, 201, 202, 301, 302, 501, 702, 802, 902,903, 1001, 1002, 1003, 1103, OAKWOOD CHS LIMITED, SURVEY NO 30/1, BANER SUS ROAD, PUNE 411045</t>
  </si>
  <si>
    <t>TEL AVIV HOUSE- A WING</t>
  </si>
  <si>
    <t>STANZA LIVING, A WING, FLAT NO 101, 103, 202, 302, 303, 304, 402, 404, 501, 502, 503, 504, 601, 602, 603, 702, 801, 802, 803, 804, 903, 1001, 1002, 1003, 1004, 1104,  OAKWOOD CHS LIMITED, SURVEY NO 30/1, BANER SUS ROAD, PUNE 411045</t>
  </si>
  <si>
    <t>SEMEY HOUSE</t>
  </si>
  <si>
    <t>SEGOVIA HOUSE</t>
  </si>
  <si>
    <t>SCHENGEN HOUSE</t>
  </si>
  <si>
    <t>SARNEN HOUSE</t>
  </si>
  <si>
    <t>SANTA BARBARA HOUSE</t>
  </si>
  <si>
    <t>ROTORUA HOUSE</t>
  </si>
  <si>
    <t>RIGA HOUSE</t>
  </si>
  <si>
    <t>REYNOSA HOUSE</t>
  </si>
  <si>
    <t>PRETORIA HOUSE</t>
  </si>
  <si>
    <t>PRATO HOUSE</t>
  </si>
  <si>
    <t>PASADENA HOUSE</t>
  </si>
  <si>
    <t>PASADENA HOUSE, VIJAY NAGAR</t>
  </si>
  <si>
    <t>NORMAN HOUSE</t>
  </si>
  <si>
    <t>STANZA, LIVING, D WING,, LAKE BLOOM RESIDENCY,, OPP L&amp;T, GATE NO 6, BEHIND SOLARIS INDUSTRIAL ESTATE, POWAI, MUMBAI 400072</t>
  </si>
  <si>
    <t>NEW ORLEANS HOUSE</t>
  </si>
  <si>
    <t>STANZA, LIVING, MRP BHAWAN, ATITHI BHAWAN, SARDAR PATEL MARG, PARLESWAR ROAD, VILE PARLE EAST, MUMBAI 400057</t>
  </si>
  <si>
    <t>NAZARETH HOUSE</t>
  </si>
  <si>
    <t>MONTERREY HOUSE</t>
  </si>
  <si>
    <t>STANZA, LIVING,THIRD TO, ELEVENTH FLOOR, THE TIARA, PLOT NO 46, SURVEY NO 287, GULMOHAR ROAD, JVPD SCHEME, VILE PARLE WEST, MUMBAI 400049</t>
  </si>
  <si>
    <t>MINYA HOUSE</t>
  </si>
  <si>
    <t>LUCERNE HOUSE</t>
  </si>
  <si>
    <t>KOLDING HOUSE</t>
  </si>
  <si>
    <t>KINGSTON HOUSE</t>
  </si>
  <si>
    <t>INDORE KITCHEN</t>
  </si>
  <si>
    <t>STANZA LIVING, PATWARI HALKA NO. 26, KHASRA NO 328/2/2/2,RAJASWA NIRAKSAK MANDAL, 2 GRAM PALDA, INDORE 452020</t>
  </si>
  <si>
    <t>HAIFA HOUSE</t>
  </si>
  <si>
    <t>ELISTA HOUSE</t>
  </si>
  <si>
    <t>EASTON HOUSE</t>
  </si>
  <si>
    <t>DURBAN HOUSE</t>
  </si>
  <si>
    <t>DOVER HOUSE</t>
  </si>
  <si>
    <t>CULIACAN HOUSE</t>
  </si>
  <si>
    <t>CINCINNATI HOUSE</t>
  </si>
  <si>
    <t>CAMERAN HOUSE</t>
  </si>
  <si>
    <t>CAIRO HOUSE</t>
  </si>
  <si>
    <t>CAEN HOUSE</t>
  </si>
  <si>
    <t>BOULDER HOUSE</t>
  </si>
  <si>
    <t>BODEN HOUSE</t>
  </si>
  <si>
    <t>BEIRA HOUSE</t>
  </si>
  <si>
    <t>ORIENT CEMENT LIMITED, ITAGA VILLAGE POST, MALKHED ROAD, CHITTAPUR, KALBURGI 585211, KARNATAKA</t>
  </si>
  <si>
    <t>CLRA</t>
  </si>
  <si>
    <t xml:space="preserve">AGADIR HOUSE </t>
  </si>
  <si>
    <t>DTWELVE SPACES PVT LTD</t>
  </si>
  <si>
    <t>STANZA LIVING, PLOT NO.1 &amp; 3AB, FIRST MAIN ROAD, KARAMBAKKAM VILLAGE, CHENNAI 600116</t>
  </si>
  <si>
    <t>KEMPS CORNER</t>
  </si>
  <si>
    <t>DUA'S WORLD</t>
  </si>
  <si>
    <t>SHOP NO 13, CHINOY MANSION,BOMANJI PETIT MARG, CUMBALLA HILL,KEMPS CORNER MUMBAI 400036</t>
  </si>
  <si>
    <t>VASHI SEC 17</t>
  </si>
  <si>
    <t>SHOP NO 32,33 AND 35, CHADDA CRESCENT CHSL, PLOT NO 46 AND 55, SECTOR-17, VASHI, NAVI MUMBAI 400703</t>
  </si>
  <si>
    <t>SEAWOODS</t>
  </si>
  <si>
    <t>SHOP NO 15, 16 AND 17, GR FLOOR,  DHARA COMPLEX, SECTOR-44A, PLOT NO 3 AND 4, SEAWOODS, NERUL, NAVI MUMBAI 400706</t>
  </si>
  <si>
    <t>SHOP NO 1 , 2 AND 3 , BRAHMADEV REGENCY , GR FLOOR, MIRA BHAYANDER ROAD,MIRA ROAD, THANE 401107</t>
  </si>
  <si>
    <t>SHOP NO G-10, SHIV SHANKAR PLAZA CHSL, PHASE 2, PLOT NO 1, SECTOR-7, AIROLI, NAVI MUMBAI 400708</t>
  </si>
  <si>
    <t>SHOWROOM NO 1,  GR FLOOR, HEMKUNJ CHS, PLOT NO 144/2, MUKUND NAGAR, MUNJERI, GULTEKDI, PUNE 411037</t>
  </si>
  <si>
    <t>GLOBAL CITY VIRAR</t>
  </si>
  <si>
    <t>SHOP NO 19 TO 27, GROUND FLOOR, AGARWAL LIFESTYLE AVENUE (B1), GLOBAL CITY,  VIRAR WEST 401303.</t>
  </si>
  <si>
    <t>VIRAR/MAHARASHTRA</t>
  </si>
  <si>
    <t>MIRA ROAD NEW -  DELTA GARDEN</t>
  </si>
  <si>
    <t xml:space="preserve">SHOP NO 3, GROUND FLOOR, CR-12, PLOT NO A-12 MIDC MIRE, OPP DELTA GARDEN, MIRA ROAD EAST, THANE 401107 </t>
  </si>
  <si>
    <t>PANCHPAKHADI NEW</t>
  </si>
  <si>
    <t>SHOP NO 4 AND 5, GR FLOOR, MAHAVIR CHSL, SURVEY NO 349, PANCHPAKHADI, THANE WEST 400602</t>
  </si>
  <si>
    <t>SHOP NO 44/45, FIRST FLOOR, XPERIA MALL, LODHA, PALAVA, DOMBIVALI EAST 421204</t>
  </si>
  <si>
    <t>VIVIANA MALL</t>
  </si>
  <si>
    <t>UNIT NO 33 AND 34, GR FLOOR, VIVIANA MALL, POKHRAN ROAD NO 2, NEXT TO JUPITER HOSPITAL, PANCHPAKHDI, THANE 400606</t>
  </si>
  <si>
    <t>FLAT NO 1, GROUND FLOOR, SAYALI TERRACE, 94 ANAND PARK, ITI PARK, OFF HDFC BANK, AUNDH, PUNE 411007</t>
  </si>
  <si>
    <t>SACRED HEART</t>
  </si>
  <si>
    <t>SHOP NO 3 AND 4, GR FLOOR, SACRED HEART TOWN CHSL, PLOT NO 75/2/2B, WANAWADI, PUNE 411040</t>
  </si>
  <si>
    <t>PMC VIMAN NAGAR PUNE</t>
  </si>
  <si>
    <t>UNIT NO G-06B, PHOENIX MARKET CITY PUNE, SURVEY NO 207, VIMAN NAGAR, PUNE 411014</t>
  </si>
  <si>
    <t>PIMPLE SAUDAGAR</t>
  </si>
  <si>
    <t>SHOP NO 8, GROUND FLOOR, KINGSTON AVENUE, PIMPLE SAUDAGAR,PUNE 411027</t>
  </si>
  <si>
    <t xml:space="preserve">NIBM PUNE </t>
  </si>
  <si>
    <t>UNIT NO P29 AND P30, PLAZA FLOOR, TRIBECA
HIGHSTREET, NIBM ROAD, MOHAMMEDWADI,  PUNE 411060</t>
  </si>
  <si>
    <t>MORAJ RESIDENCY, SANPADA</t>
  </si>
  <si>
    <t>SHOP NO 29, GROUND FLOOR, MORAJ RESIDENCY, KASTURI CHS LTD, PLOT NO.1, SECTOR 16, SANPADA, 400705</t>
  </si>
  <si>
    <t>KOLSHET ROAD</t>
  </si>
  <si>
    <t>UNIT NO 16, GROUND FLOOR, AMARA CLARIANT COMPOUND, KOLSHET ROAD, THANE (WEST) 400607</t>
  </si>
  <si>
    <t>KHARGHAR SECTOR 34</t>
  </si>
  <si>
    <t>SHOP NO 1, GROUND FLOOR, R.S EXOCTICA, PLOT N O 4,  SECTOR 34B, KHARGHAR, NAVI MUMBAI 410210</t>
  </si>
  <si>
    <t>KHARGHAR SEC 7</t>
  </si>
  <si>
    <t>SHOP NO 52 AND 53, GROUND FLOOR, PATEL HERITAGE, SECTOR 7, PLOT NO 15 AND 17, KHARGHAR, NAVI MUMBAI 410210</t>
  </si>
  <si>
    <t>KHARADI</t>
  </si>
  <si>
    <t>SHOP NO 4, GROUND FLOOR, BUILDING V, PRADEEP PLAZA EAST WING, GANGA PLATINO, KHARADI, PUNE 411014</t>
  </si>
  <si>
    <t>KAMANAHALLI KALYAN NAGAR</t>
  </si>
  <si>
    <t>NO 4C-434, GR FLOOR, CMR ROAD, 2ND BLOCK, HRBR LAYOUT, KALYAN NAGAR POST, BANGALORE 560043</t>
  </si>
  <si>
    <t>KALWA</t>
  </si>
  <si>
    <t>UNIT NO 9, 10, 11, 12, AND 13, GROUND FLOOR, SHREE GOPINATH SUBLIME APARTMENT, PLOT NO 195A/2195B, SECTOR 8, PARSIK NAGAR, KALWA, THANE 400605</t>
  </si>
  <si>
    <t>KADAKPADA, KALYAN</t>
  </si>
  <si>
    <t>SHOP NO 5 AND 12, GROUND FLOOR, TYCOON  SAPHIRE, GODREJ HILL ROAD, KADAKPADA, KALYAN WEST 421301</t>
  </si>
  <si>
    <t>HSR LAYOUT, SECTOR II</t>
  </si>
  <si>
    <t>BEARING NO 484, GR FLOOR, LAKSHMI ARCADE, HSR LAYOUT, SECTOR II, BANGALORE 560102</t>
  </si>
  <si>
    <t>HIRANANDANI MEADOWS</t>
  </si>
  <si>
    <t>SHOP NO 7 AND 8, GR FLOOR, BLOCK NO 1, EMERALD PLAZA CHSL, HIRANANDANI MEADOWS, THANE WEST 400607</t>
  </si>
  <si>
    <t>S-107, FIRST FLOOR, THE WALK, CASTALIA, HIRANANDANI ESTATE, THANE WEST 400607</t>
  </si>
  <si>
    <t>SHOP NO 19 TO 27, GROUND FLOOR, AGARWAL
LIFESTYLE AVENUE (B1), GLOBAL CITY, 
VIRAR WEST 401303.</t>
  </si>
  <si>
    <t>SHOP NO 3, GROUND FLOOR, V TIME SQUARE, PLOT NO 3, SECTOR 15, CBD BELAPUR, NAVI MUMBAI 400614</t>
  </si>
  <si>
    <t>BHANDARKAR ROAD</t>
  </si>
  <si>
    <t>SHOP NO 852/1, GR FLOOR, DINKAR BAUG APARTMENTS, BHANDARKAR ROAD, PUNE 411004</t>
  </si>
  <si>
    <t>BANNERGATTA ROAD</t>
  </si>
  <si>
    <t>SHOP NO 2, FIRST FLOOR, L.R TOWER, OPP. MEENAKSHI MALL, BANNERGATTA ROAD, BANGALORE 560076</t>
  </si>
  <si>
    <t>AKSHAY COMPLEX</t>
  </si>
  <si>
    <t>SHOWROOM NO 3, AKSHAY COMPLEX, PLOT NO 2 AND 3, PUSHPAK PARK, ANUDH , PUNE 411007</t>
  </si>
  <si>
    <t>8TH BLOCK KORMANGALA</t>
  </si>
  <si>
    <t>SHOP NO G-2, GR FLOOR, SITE NO 581, KORMANGALA, 8TH BLOCK, BENGALURU 560095</t>
  </si>
  <si>
    <t xml:space="preserve"> KOREGAON PARK</t>
  </si>
  <si>
    <t>FIRST FLOOR, KRSNA CHAMBERS, PLOT NO 11, GALAXY GARDENS, NORTH KOREGAON PARK MAIN ROAD, GHORPADI, PUNE 411001</t>
  </si>
  <si>
    <t xml:space="preserve"> KOPARKHAIRANE</t>
  </si>
  <si>
    <t>SHOP NO 6 AND 7, GROUND FLOOR, LOTUS, BUILDIN G, GURAO CHS, PLOT NO 16, SECTOR 14, KOPARKHAIRANE NAVI MUMBAI 400709</t>
  </si>
  <si>
    <t>CHEMBUR</t>
  </si>
  <si>
    <t>SHOP NO G-02, PEACE HEAVEN CHS, 18TH ROAD, C.T.S NO. 1021, PLOT NO 155, CHEMBUR EAST, MUMBAI 400071</t>
  </si>
  <si>
    <t xml:space="preserve">PHOENIX PALLADIUM </t>
  </si>
  <si>
    <t>UNIT NO 7, GROUND FLOOR, PALLADIUM, BLOCK NO. 34/14B, PHOENIX MILLS COMPOUND, 462, SENAPATI BAPAT MARG,
LOWER PAREL, MUMBAI 400013</t>
  </si>
  <si>
    <t>SADASHIVANAGAR</t>
  </si>
  <si>
    <t>NO 46, 8TH MAIN ROAD, RMV EXTENSION, SADASHIVANAGAR, BANGALORE 560080</t>
  </si>
  <si>
    <t>RT NAGAR</t>
  </si>
  <si>
    <t>GROUND FLOOR,, NO 572, 2ND CROSS,, 3RD MAIN ROAD,, RT NAGAR, BANGALORE, 560032</t>
  </si>
  <si>
    <t>RMZ ECOWORLD</t>
  </si>
  <si>
    <t>UNIT NO-16B, GROUND FLOOR, CAMPUS 31, ECOWORLD 30,
BHOGANAHALLI VILLAGE, BANGALORE 560103</t>
  </si>
  <si>
    <t>RBI LAYOUT</t>
  </si>
  <si>
    <t>NO 477,RBI LAYOUT, KOTHANOOR VILLAGE, UTTARAHALLI HOBLI, BANGALORE 560077</t>
  </si>
  <si>
    <t>PHOENIX CITADEL INDORE</t>
  </si>
  <si>
    <t>UNIT NO G-57, GR. FLOOR, PHOENIX CITADEL INDORE, SURVEY NO 242/4, VILLAGE KHAJRANA, INDORE 452016</t>
  </si>
  <si>
    <t>KR PURAM</t>
  </si>
  <si>
    <t>NO 15, GROUND FLOOR,, MONARCH AQUA,, OLD MADRAS ROAD,, NA, KRISHNARAJAPURAM,, BENGALURU, 560036</t>
  </si>
  <si>
    <t>NO 296, 15TH CROSS, 100 FT RING ROAD, 5TH PHASE, JP NAGAR, BANGALORE 560078</t>
  </si>
  <si>
    <t>JAYANAGAR ASHOKA PILLAR</t>
  </si>
  <si>
    <t>GROUND FLOOR, 11/1, 100 FEET ROAD, 1ST BLOCK, ASHOKA PILLAR, BANGALORE 560011</t>
  </si>
  <si>
    <t>BEARING NO 225/15, GR FLOOR, RAJALAKSHMI ARCADE, 9TH MAIN, 3RD BLOCK, JAYANAGAR, BANGALORE 560011</t>
  </si>
  <si>
    <t>HARLUR</t>
  </si>
  <si>
    <t>NO 199/ 108/2, GROUND FLOOR. HARALUR MAIN ROAD HARALUR GRAM, OPP NARAYAN OLYMPAID SCHOOL HARALUR, BENGALURU,500102, KARNATAKA</t>
  </si>
  <si>
    <t>BELLANDUR</t>
  </si>
  <si>
    <t>148, GROUND FLOOR,, GREEN GLEN LAYOUT,, OUTER RING ROAD,, BANGALORE, 560103</t>
  </si>
  <si>
    <t>AECS LAYOUT</t>
  </si>
  <si>
    <t>UNIT NO 569/576, GROUND AND FIRST FLOOR, 60 FEET ROAD, C BLOCK, AECS LAYOUT, KUNDANAHALLI, 560037 BANGALORE</t>
  </si>
  <si>
    <t>4TH BLOCK, KORMANGALA</t>
  </si>
  <si>
    <t>NO 31, 80 FT PERIPHERAL ROAD, 7TH MAIN, 4TH BLOCK, KORMANGALA, BENGALURU 560034</t>
  </si>
  <si>
    <t>100 FT ROAD  INDRA NAGAR</t>
  </si>
  <si>
    <t>GR FLOOR, M.SK. PLAZA, PLOT NO 54, DEFENSE COLONY, 100 FT ROAD, HAL II STAGE, BANGALORE 560038</t>
  </si>
  <si>
    <t>JAYANT PRABHADEVI</t>
  </si>
  <si>
    <t>SHOP/UNIT NO 16, 17, 18, C-1 &amp; C-2, GROUND FLOOR, C WING, JAYANT APARTMENT, A.M. MARG, OPP LUCAS (INDIA) LTD, PRABHADEVI,
MUMBAI 400025</t>
  </si>
  <si>
    <t>INORBIT G24</t>
  </si>
  <si>
    <t>G 24/A AND G24/B, GROUND FLOOR, INORBIT MALL, OPP ALEMBIC SCHOOL, ALEMBIC ROAD, VADODARA</t>
  </si>
  <si>
    <t>INORBIT S21</t>
  </si>
  <si>
    <t>G S21, SECOND FLOOR, INORBIT MALL, OPP ALEMBIC SCHOOL, ALEMBIC ROAD, VADODARA</t>
  </si>
  <si>
    <t>ALKAPURI VADODARA</t>
  </si>
  <si>
    <t>SHOP NO 8, GROUND FLOOR, GJ CENTRAL, OPP HOTEL EXPRESS, R.C DUTT ROAD, ALKAPURI, VADODARA, GUJARAT 390007</t>
  </si>
  <si>
    <t xml:space="preserve">SILVER SPRING </t>
  </si>
  <si>
    <t>SHOP NO 4, GROUND FLOOR, SILVER SPRING,
PLOT NO 118, LOKHANDWALA COMPLEX, CTS NO 1/4814, OSHIWARA, ANDHERI WEST, MUMBAI 400053</t>
  </si>
  <si>
    <t>ANDHERI 4 BUNGLOWS</t>
  </si>
  <si>
    <t>SHOP NO 1, 2, 3, GROUND FLOOR, ADIVASI CHS, NEAR RTO SIGNAL, ANDHERI WEST, MUMBAI 400053</t>
  </si>
  <si>
    <t>PARLA POINT</t>
  </si>
  <si>
    <t>SHOP NO. L5, L6, &amp; B5, B6, ANJANSALAKA APARTMENT, LAL BUNGLOW, ATHWALINES, SURAT 395007</t>
  </si>
  <si>
    <t>SHOP NO G 06,GROUND FLOOR, WOOD SQUARE, LP SAVANI ROAD PAL, SURAT 395009</t>
  </si>
  <si>
    <t>SHOP NO 8 AND 9, GROUND FLOOR, MERAKI LATITUDE, KOTHARI CHAMBERS, NEAR NEVDEEP NAGAR, OLD PADRA ROAD,
VADODARA 390020</t>
  </si>
  <si>
    <t>KEMPS</t>
  </si>
  <si>
    <t>SHOP NO D, GROUND FLOOR, INDIA HOUSE, NO 1, AREDESHIR B GODREJ CHOWK, 123 A.K MARG, MUMBAI 400036</t>
  </si>
  <si>
    <t>MILLENIUM PARADISE, KANDIVALI</t>
  </si>
  <si>
    <t>SHOP NO 49,50 AND 51, GROUND FLOOR,JUPITER BUILDING, EVERSHINE MILLENIUM PARADISE, KANDIVALI EAST,MUMBAI 400101,</t>
  </si>
  <si>
    <t>HAIKO POWAI</t>
  </si>
  <si>
    <t>SHOP NO HK002, GROUND FLOOR, HAIKO MALL HIRANANDANI BUSINESS PARK,POWAI, MUMBAI 400076</t>
  </si>
  <si>
    <t>GREEN RUNWALS MULUND</t>
  </si>
  <si>
    <t>SHOP NO G-27 AND G-28, RUNWAL GREEN, GOREGOAN MULUND LINK ROAD,MULUND WEST, MUMBAI 400080,</t>
  </si>
  <si>
    <t>BORIVALI SATRA PARK</t>
  </si>
  <si>
    <t>SHOP NO 33 AND 34, SATRA PARK, SHIMPOLI ROAD, KASTUR PARK, OPP. VEG TREAT HOTEL, BORIVALI WEST, MUMBAI 400092</t>
  </si>
  <si>
    <t>OFFICE NO 301 AND 302, KAMLA EXECUTIVE PARK, ANDHERI KURLA ROAD, J B NAGAR,ANDHERI EAST, MUMBAI 400059</t>
  </si>
  <si>
    <t>MANU MAHAL MATUNGA</t>
  </si>
  <si>
    <t>SHOP NO 02/03, 471/C, MANU MAHAL, OPP MAHESHWARI UDYAN, MATUNGA EAST, MUMBAI 400019</t>
  </si>
  <si>
    <t>VILEPARLE</t>
  </si>
  <si>
    <t>FIRST FLOOR, NEW SHANKAR NIWAS CO-OP HOUSING SOCIETY, BEARING NO 2, S.V ROAD, DADABHAI ROAD, IRLA, VILE PARLE WEST, MUMBAI 400058,</t>
  </si>
  <si>
    <t>SOLITAIRE</t>
  </si>
  <si>
    <t>SHOP NO 1, GROUND FLOOR, SOLITAIRE, SUNRISE PARK ROAD, GURUKUL, AHMEDABAD 380054</t>
  </si>
  <si>
    <t>KRISHAN COMPLEX</t>
  </si>
  <si>
    <t>SHOP NO 3A-4A-5-6, GROUND FLOOR, KRISHAN COMPLEX, OPP DEVASHISH BUSINESS PARK, BODAKDEV, AHMEDABAD
380054</t>
  </si>
  <si>
    <t>BODAKDEV SINDHU BHAVAN</t>
  </si>
  <si>
    <t>SHOP NO 02, GROUND FLOOR, STELLAR, SINDHU BHAVAN ROAD, OPP SHILP ARISTA, T.P.S 50, BODAKDEV, AHMEDABAD
380054</t>
  </si>
  <si>
    <t>BANDRA LINKING ROAD</t>
  </si>
  <si>
    <t>537, AMARDEEP JYOTI CHS, LINKING ROAD, KHAR WEST, MUMBAI 400052</t>
  </si>
  <si>
    <t>GREEN GLEN LAYOUT, BELLANDUR</t>
  </si>
  <si>
    <t>GROUND FLOOR,, SY NO 230/2 AND 230/5,, DOMMASANDRA, VILLAGE,, KARNATAKA, 562107</t>
  </si>
  <si>
    <t>SHOP NO. 18-19, ECO COMMERZ, G.D.GOENKA SCHOOL, CANAL ROAD, VESU, SURAT – 395007</t>
  </si>
  <si>
    <t>ULHASNAGAR-CLOSED</t>
  </si>
  <si>
    <t>SHOP NO 8, GROUND FLOOR,, REGENCY ANTILIA,
KALYAN MURBAD ROAD, NEAR CENTURY RAYON
COMPANY, SHAHAD, ULHASNAGAR 421002</t>
  </si>
  <si>
    <t>ULHASNAGAR/MAHARASHTRA</t>
  </si>
  <si>
    <t>TALOJA, NAVI MUMBAI-CLOSED</t>
  </si>
  <si>
    <t>SHOP NO 21 AND 22, AMARHARMONY, PLOT NO 22, SECTOR 4, TALOJA PHASE 1, NAVI MUMBAI 410208</t>
  </si>
  <si>
    <t>TALOJA/MAHARASHTRA</t>
  </si>
  <si>
    <t>SILVER STONE ARCADE,KATARGAM</t>
  </si>
  <si>
    <t>SHOP NO 27 A AND 27-B, GROUND FLOOR, SILVER STONE ARCADE, CAVSEWAY ROAD, TPS NO 20, SINGANPORE, KARTARGAM, SURAT 395004</t>
  </si>
  <si>
    <t>SILVER BUSINESS POINT,MOTA VARACHA</t>
  </si>
  <si>
    <t>SHOP NO G-37, AND G-38, SLIVER BUSINESS POINT, NEAR VIP CIRCLE, VTRAN, SURAT 394105</t>
  </si>
  <si>
    <t>SARGASAN GANDHINAGAR</t>
  </si>
  <si>
    <t xml:space="preserve">SHOP NO. 7, GROUND FLOOR, PRAMUKH AVENUE,  SURVEY NO.148, MOUJE SARGASAN, SARGASAN LAWARPUR ROAD, GANDHINAGAR  382421 </t>
  </si>
  <si>
    <t>INORBIT MALL VASHI CLOSED</t>
  </si>
  <si>
    <t>SHOP NO F-22, FIREST FLOOR, INORBIT MALL, SECTOR 30A, PLOT NO 39/1, 39/6,39/15, VASHI, NAVI MUMBAI 400705</t>
  </si>
  <si>
    <t>GOTRI</t>
  </si>
  <si>
    <t>SHOP NO 3, GROUND FLOOR, SEARS 2, GOTRI, SEVASI ROAD, BARODA 391101</t>
  </si>
  <si>
    <t>GHANSOLI</t>
  </si>
  <si>
    <t>SHOP NO. 6 &amp; 7, GROUND FLOOR, CALISTA CHS LTD, PLOT NO. 15, SECTOR 8, GHANSOLI, NAVI MUMBAI 400708</t>
  </si>
  <si>
    <t>EVA MALL</t>
  </si>
  <si>
    <t>SHOP NO FF-17, 18 AND 19, FIRST FLOOR, EVA THE MALL, SCHEME NO 19, NEAR SARASWATI COMPLEX, MANJALPUR, VADODARA – 390011</t>
  </si>
  <si>
    <t>AMANORA MALL-CLOSED</t>
  </si>
  <si>
    <t>UNIT NO EB-GF-37, GR FLOOR, AMANORA TOWN CENTRE, AMANORA OARK TOWNSHIP, SADESATRANALI VILLAGE, HADAPSAR, HAVELI, PUNE 411028</t>
  </si>
  <si>
    <t>GAGANGIRI COMPLEX, NEW DAHISAR</t>
  </si>
  <si>
    <t>EVERSUB INDIA PVT LTD</t>
  </si>
  <si>
    <t>UNIT NO 03, GR.FLOOR, GAGANGIRI COMPLEX, NEW DAHISAR LINK ROAD, KANDARPADA , DAHISAR WEST, MUMBAI 400068</t>
  </si>
  <si>
    <t>HEERA PANNA, HAJI ALI</t>
  </si>
  <si>
    <t>SHOP NO 14, GROUND FLOOR, HEERA PANNA SHOPPING CENTRE, BHULABHAI DESAI ROAD, OPP. HAJI ALI, MALVIYA NAGAR, TARDEO, MUMBAI 400026</t>
  </si>
  <si>
    <t>ACROPOLIS,AHMEDABAD</t>
  </si>
  <si>
    <t>UNIT NO BG- 1, GROUND FLOOR, ACROPOLIS MALL, THALTEJ CROSS ROADS, SG HIGHWAY, AHMEDABAD 380054</t>
  </si>
  <si>
    <t>HEERA PANNA</t>
  </si>
  <si>
    <t>MUMBAI</t>
  </si>
  <si>
    <t>FORTUNE CHEMICALS LTD</t>
  </si>
  <si>
    <t>OFFICE NO 91 AND 92, BAJAJ BHAWAN, NARIMAN POINT, MUMBAI 400021, GREATER MUMBAI WARD - A, GREATER MUMBAI, MAHARASHTRA-400021</t>
  </si>
  <si>
    <t>DELHI WAREHOUSE</t>
  </si>
  <si>
    <t xml:space="preserve">FRAICHEUR RETAIL PRIVATE LIMITED </t>
  </si>
  <si>
    <t xml:space="preserve"> PLOT NO 36/3, GROUND FLOOR, SECT OR 28, DWARKA, VILLAGE BAMNOLI, DELHI 110077</t>
  </si>
  <si>
    <t>PLOT NO 35, DAG NO- 822, 823, 832, 833, 834, PATTA NO 9, 113, 222 MOUZA SILA SINDURI GHOPA BRAHMAPUTRA INDUSTRIAL PARK,, GAURIPUR, KAMRUP, KAMRUP METRO, ASSAM - 781031</t>
  </si>
  <si>
    <t>VEGA CIRCLE MALL</t>
  </si>
  <si>
    <t xml:space="preserve">UNIT NO 5C, UPPER GROUND FLOOR, VEGA CIRCLE MALL, 3RD MILE, SEVOKE ROAD JALPAIGURI 734008 </t>
  </si>
  <si>
    <t>SILIGURI/ WEST BENGAL</t>
  </si>
  <si>
    <t>DENIM FACTORY</t>
  </si>
  <si>
    <t>FRAICHEUR RETAIL PRIVATE LIMITED - NEWME</t>
  </si>
  <si>
    <t>NO 265/2108, GROUND &amp; UPPER FLOOR, MOTILAL NAGAR 1, ROAD NO 1, GOREGOAN WEST, MUMBAI 400104, MAHARASHTRA</t>
  </si>
  <si>
    <t xml:space="preserve"> BHIWANDI WAREHOUSE</t>
  </si>
  <si>
    <t xml:space="preserve">SHED X 3, GALA NO 1, ARHAM PHASE II, VILLAGE BHAWALE, YEWAI NAKA, LONAD, BHIWANDI , THANE 421302
</t>
  </si>
  <si>
    <t>BHIWANDI/MAHARASHTRA</t>
  </si>
  <si>
    <t xml:space="preserve">	MUMBAI BRANCH OFFICE</t>
  </si>
  <si>
    <t>NO 67/535, GROUND TO SECOND FLOOR, , ROAD NO 1, MOTILAL NAGAR NO 1, GOREGOAN WEST, MUMBAI 400104</t>
  </si>
  <si>
    <t>OBEYA BRIO</t>
  </si>
  <si>
    <t>NO 1545, SECTOR 1, OPP BMTC BUS DIPO, HSR LAYOUT, HSR LAYOUT,BANGALORE, 560102</t>
  </si>
  <si>
    <t xml:space="preserve">VEGAS MALL </t>
  </si>
  <si>
    <t>SHOP NO S222 SECOND FLOOR VEGAS MALL PLOT NO 6 SECTOR 14, DWARKA DELHI 110078</t>
  </si>
  <si>
    <t>PACIFIC MALL</t>
  </si>
  <si>
    <t>UNIT NO SH/LGF/25 PACIFIC MALL NAJAFGARH ROAD TAGORE GARDEN DELHI 110018</t>
  </si>
  <si>
    <t>ORION GATEWAY MALL</t>
  </si>
  <si>
    <t>UNIT NO 107A, FIRST FLOOR, ORION MALL, BRIGADE
 GATEWAY, BANGALORE  560055</t>
  </si>
  <si>
    <t>ORION AVENUE</t>
  </si>
  <si>
    <t>UNIT NO 114 TO 116, FIRST FLOOR, ORION AVENUE MALL,,
BANASWADI MAIN ROAD, BANGALORE 560033</t>
  </si>
  <si>
    <t xml:space="preserve">MANTRI SQUARE MALL   </t>
  </si>
  <si>
    <t>UNIT NO F-76, 7778, FIRST
FLOOR, MANTRI SQUARE MALL,NO 1, SAMPIGE ROAD,
MALLESHWARAM, BANGALORE 560003</t>
  </si>
  <si>
    <t>FORUM SOUTH MALL</t>
  </si>
  <si>
    <t>UNIT NO 2F-237, 2ND FLOOR FORUM SOUTH, KANAKAPURA KANAKAPURA ROAD, ANJANADRI LAYOUT, BENGALURU 560062</t>
  </si>
  <si>
    <t>MUMBAI FACTORY</t>
  </si>
  <si>
    <t xml:space="preserve">NO 485, GROUND AND FIRST FLOOR, 61, ROAD NO 1, MOTILAL NAGAR NO 1, GOREGOAN WEST, MUMBAI 400104, MAHARASHTRA </t>
  </si>
  <si>
    <t>UNIT NO 219, 2ND FLOOR, INFINITI MALL MALAD, LINK
ROAD, MUMBAI, MAHARASHTRA, 460064</t>
  </si>
  <si>
    <t>SARATH CITY CAPITAL MALL</t>
  </si>
  <si>
    <t xml:space="preserve">48B, SARATH CITY CAPITAL MALL , GACHIBOWLI MIYAPUR ROAD, SERILINGAMPALLY MANDAL, KOTHAGUDA, HYDERABAD 500084 </t>
  </si>
  <si>
    <t xml:space="preserve">UNIT NO GF-48B, LOWER GROUND FLOOR, SARATH CITY CAPITAL MALL, GACHIBOWLI-MIYAPUR ROAD , KONDAPUR, HYDERABAD 500084 </t>
  </si>
  <si>
    <t>UNIT NO 114 TO 116, FIRST FLOOR, ORION AVENUE MALL,
BANASWADI MAIN ROAD, BANGALORE 560033</t>
  </si>
  <si>
    <t>PMC</t>
  </si>
  <si>
    <t>UNIT NO GP- 9 AND 10, LOWER GROUND FLOOR, PHOENIX MARKET CITY PUNE, SURVEY NO 207, VIMAN NAGAR ROAD PUNE, 411014</t>
  </si>
  <si>
    <t>UNITY ONE ELEGANTE</t>
  </si>
  <si>
    <t>FRAICHEUR RETAIL PVT LTD</t>
  </si>
  <si>
    <t>UNIT NO S-02, SECOND FLOOR, UNITY ONE ELEGANTE, NETAJI SUBHASH PLACE, MRTS STATION, OPP. WAZIRPUR DISTRICT CENTRE, PITAMPURA, DELHI 110034</t>
  </si>
  <si>
    <t>PMC PUNE</t>
  </si>
  <si>
    <t>NUPA</t>
  </si>
  <si>
    <t>G M POULTRIES</t>
  </si>
  <si>
    <t>VILLAGE MALIKPUR (LALRU), SAS NAGAR
 140501</t>
  </si>
  <si>
    <t>MOHALI/ PUNJAB</t>
  </si>
  <si>
    <t>SAI DOCTER</t>
  </si>
  <si>
    <t>GHV ADVANCED CARE PVT LTD</t>
  </si>
  <si>
    <t>CHAMBER NO.1&amp;2, NO.87, CHENNAI-THENI HWY, KADAPERI,TAMBARAM, CHENNAI-600045, KADAPERI, KADAPERI TOWN, TAMBARAM TALUK, CHENGALPATTU DISTRICT- - 600045</t>
  </si>
  <si>
    <t>REFLEKT AESTHETICS</t>
  </si>
  <si>
    <t>CHAMBER NO 1 AND 2, Z-281, 5TH AVENUE, ANNA NAGAR , NEXT TO ST LUKE'S CHURCH, CHENNAI 600040, 5TH MAIN ROAD, AMINJIKARAI TOWN, AMINJIKARAI TALUK, CHENNAI DISTRICT- - 600040</t>
  </si>
  <si>
    <t>PORUR SRUSHTI CLINIC</t>
  </si>
  <si>
    <t>CHAMBER NO.1, NO.113, MOUNT PONNAMALLEE ROAD , PORUR, CEHNNAI- 600116, POONAMALLEE HIGH ROAD, POONAMALLEE (M + OG) TOWN, POONAMALLEE TALUK, TIRUVALLUR DISTRICT- - 600116</t>
  </si>
  <si>
    <t>POORNIMA CLINIC</t>
  </si>
  <si>
    <t>CHAMBER NO 1, 210 , NSR ROAD, SAIBABA COLONY, EDAYARPALAYAM TOWN, COIMBATORE NORTH TALUK, COIMBATORE DISTRICT- - 641025</t>
  </si>
  <si>
    <t>MISHRI CLINIC</t>
  </si>
  <si>
    <t>CHAMBERNO 1&amp;2, OLD NO.7B, 1ST MAIN ROAD, DHANDEESWARAM NAGAR, VELACHERY, CHENNAI, DHANDEESWARAM 1ST MAIN ROAD, VELACHERI TOWN, VELACHERI TALUK, CHENNAI DISTRICT- - 600042</t>
  </si>
  <si>
    <t>MADRAS SCAN</t>
  </si>
  <si>
    <t>CHAMBER NO 1 AND 2, NO 237, KILPAUK GARDEN ROAD,, ASPIRAN GARDEN 1ST STREET, KILPAUK TOWN, PURSAWALKAM TALUK, CHENNAI DISTRICT- - 600010</t>
  </si>
  <si>
    <t>DR ARTHI HAIR AND SKIN CLINIC</t>
  </si>
  <si>
    <t>CHAMBER NO 1, NO 9A AND 9B, PEELAMEDU, LAL BAHADUR COLONY, COIMBATORE 641006, LAL BAHADUR COLONY,, PEELAMEDU TOWN, COIMBATORE NORTH TALUK, COIMBATORE DISTRICT- - 641006</t>
  </si>
  <si>
    <t>ADHYAR SPECIALITY CLINIC</t>
  </si>
  <si>
    <t>CHAMBER NO- 1,2&amp;3, 2ND FLOOR, DOOR NO 55/6, VRB COMMERCIAL CENTER, VENKATA RATHINAM NAGAR, ADYAR, CH, KASTURIBAI NAGAR, 3RD CROSS STREET, ADAYAR TOWN, GUINDY TALUK, CHENNAI DISTRICT- - 600020</t>
  </si>
  <si>
    <t>DLF MALL OF INDIA- PFC</t>
  </si>
  <si>
    <t>GOURMET INVESTMENTS PVT LTD (GIPL)</t>
  </si>
  <si>
    <t>PLOT NO. M-03, DLF MALL OF INDIA, SECTOR 18,
NOIDA 201301, UTTAR PRADESH</t>
  </si>
  <si>
    <t>NOIDA/UTTAR PRADESH</t>
  </si>
  <si>
    <t>BINGE CENTRAL NOIDA</t>
  </si>
  <si>
    <t>UNIT NO 6, GR. FLOOR, BINGE, TOWER 8, CANDOR TECH SPACE, PLOT NO 2, BLOCK B, SECTOR 62, NOIDA, UTTAR PRADESH 201309</t>
  </si>
  <si>
    <t xml:space="preserve">PACIFIC MALL </t>
  </si>
  <si>
    <t>UNIT NO SH/2F/10, SECOND FLOOR, PACIFIC MALL, JASOLA APOLLO METRO STATION, CPD-48, SARITA VIHAR, MATHURA ROAD, NEW DELHI 110044</t>
  </si>
  <si>
    <t>WORLDMARK, GURGAON</t>
  </si>
  <si>
    <t>SHOP NO.27, GROUND FLOOR, WORLDMARK TOWER
4, VILLAGE MAIDAWAS, SECTOR 65 , GURGAON,
GURUGRAM, HARYANA-122001</t>
  </si>
  <si>
    <t xml:space="preserve">AMBLIENCE MALL </t>
  </si>
  <si>
    <t>T-317 3RD FLOOR, AMBIENCE MALL COMPLEX, AMBIENCE ISLAND, NATIONAL HIGHWAY VILLAGE GURGAON -I, THE: GURGAON, DIST:GURUGRAM, STATE: HARYANA.</t>
  </si>
  <si>
    <t>GURGOAN/HARYANA</t>
  </si>
  <si>
    <t>LUDHIANA</t>
  </si>
  <si>
    <t>SCO 68 AND 69, GROUND FLOOR, BRS NAGAR, F BLOCK, LUDHIANA 141013</t>
  </si>
  <si>
    <t>LUDHIANA/PUNJAB</t>
  </si>
  <si>
    <t>VISHAL RAJOURI GARDEN</t>
  </si>
  <si>
    <t>UNIT NO GF-01,GROUND FLOOR, VISHAL,DISTRICT CENTRE,RAJOURI GARDEN, WEST DELHI,DELHI,WEST DELHI,DELHI-110027</t>
  </si>
  <si>
    <t xml:space="preserve">POLICE </t>
  </si>
  <si>
    <t>SEC 67, MOHALI</t>
  </si>
  <si>
    <t>SHOP NO-T-020,THIRD FLOOR,CP67,SITE NO 252, SECTOR 67, MOHALI 160062</t>
  </si>
  <si>
    <t>MOHALI/PUNJAB</t>
  </si>
  <si>
    <t>EXCISE</t>
  </si>
  <si>
    <t xml:space="preserve">PE-VASANT KUNJ </t>
  </si>
  <si>
    <t>T-303B, 3RD FLOOR,  AMBIENCE MALL, VASANT  
KUNJ NEW DELHI 110070</t>
  </si>
  <si>
    <t>LULU LUCKNOW</t>
  </si>
  <si>
    <t>UNIT NO - X - 002, 2ND FLOOR, LULU MALL, PLOT NO T-5 AND T-4A, IBB-2, SHAHEED PATH, SUSHANT GOLF CITY, SULTANPUR ROAD,LUCKNOW 226030</t>
  </si>
  <si>
    <t>INDRANAGAR, BANGALORE</t>
  </si>
  <si>
    <t>72-1-949, BBMP WARD NO 72, NEW WARD NO.112, 12TH MAIN ROAD, HAL II STAGE EXTENSION, BANGALORE 560038</t>
  </si>
  <si>
    <t>PE-SKY CITY MALL</t>
  </si>
  <si>
    <t>UNIT NO T-04, THIRD FLOOR, SKY CITY MALL,DATTAPADA ROAD, MAGATHANE, BORIVALI EAST, MUMBAI 400066</t>
  </si>
  <si>
    <t>PFC-SKY CITY MALL</t>
  </si>
  <si>
    <t>UNIT NO T-05, THIRD FLOOR, SKY CITY MALL, DATTAPADA ROAD, MAGATHANE, BORIVALI EAST, MUMBAI 400</t>
  </si>
  <si>
    <t>SIGNAGE-2</t>
  </si>
  <si>
    <t xml:space="preserve">VASANT KUNJ </t>
  </si>
  <si>
    <t>T-302B, 3RD FLOOR,  AMBIENCE MALL, VASANT 
KUNJ NEW DELHI</t>
  </si>
  <si>
    <t>PFC-AMBIENCE MALL</t>
  </si>
  <si>
    <t>T-302B, THIRD FLOOR, AMBIENCE MALL, VASANT KUNJ, PHASE II, NEW DELHI 110070</t>
  </si>
  <si>
    <t>MALL OF INDIA NOIDA</t>
  </si>
  <si>
    <t>UNIT NO B470A, THIRD FLOOR, MALL OF INDIA, PLOT NO M-03, SECTOR 18, NOIDA 201301</t>
  </si>
  <si>
    <t>BALEWADI PUNE</t>
  </si>
  <si>
    <t>UNIT NO 5B GROUND FLOOR PANCHSHIL BUSINESS PARK HIGH STREET BUILDING SURVEY NO 20 BALEWADI VILLAGE, NA, PUNE (M CORP.), PUNE CITY, PUNE</t>
  </si>
  <si>
    <t>CTO</t>
  </si>
  <si>
    <t>DELHI HO</t>
  </si>
  <si>
    <t>1 NELSON MANDELA ROAD, BHARTI CRESCENT, VASANT KUNJ PHASE 2, NEW DELHI 110070</t>
  </si>
  <si>
    <t>UNIT NO T-317, THIRD FLOOR,AMBIENCE MALL AMBIENCE ISLAND, NH-8, GURGAON 122001</t>
  </si>
  <si>
    <t>DELHI HO- IMPORTER</t>
  </si>
  <si>
    <t>BHARTI CRESCENT, 1 NELSON MANDELA ROAD,
VASANT KUNJ, PHASE II, NEW DELHI-110070</t>
  </si>
  <si>
    <t>BESTECH CHAMBERS</t>
  </si>
  <si>
    <t xml:space="preserve">SHOP NO 30, GROUND FLOOR, BESTECH CHAMBERS, B BLOCK,
SUSHANT LOK 1, GURGAON 122022
</t>
  </si>
  <si>
    <t>DONE BY GIPL</t>
  </si>
  <si>
    <t>UNIT NO GF-01,GROUND FLOOR, VISHAL,DISTRICT CENTRE,RAJOURI GARDEN, WEST DELHI, DELHI 110027</t>
  </si>
  <si>
    <t>SIGNAGE-1</t>
  </si>
  <si>
    <t xml:space="preserve">PFC-VASANT KUNJ </t>
  </si>
  <si>
    <t>T-302B, 3RD FLOOR,  AMBIENCE MALL, VASANT  KUNJ NEW DELHI</t>
  </si>
  <si>
    <t>PE-VISHAL RAJOURI GARDEN</t>
  </si>
  <si>
    <t>UNIT NO GF-01,GROUND FLOOR, VISHAL,DISTRICT CENTRE,RAJOURI GARDEN, WEST DELHI,DELHI 110027</t>
  </si>
  <si>
    <t xml:space="preserve">CYBERHUB </t>
  </si>
  <si>
    <t>UNIT NO 6 GROUND, FLOOR CYBER HUB, DLF CYBER CITY, GURUGRAM 122022, HARYANA</t>
  </si>
  <si>
    <t>BESTECH</t>
  </si>
  <si>
    <t xml:space="preserve">VASHI </t>
  </si>
  <si>
    <t>HARI OM FOOD MART</t>
  </si>
  <si>
    <t>SHOP NO 18, GR FLOOR, JALARAM WHOLESALE MARKET, PLOT NO 1A, SECTOR 19C, VASHI, NAVI MUMBAI400703</t>
  </si>
  <si>
    <t>INORBIT VASHI - CLOSED</t>
  </si>
  <si>
    <t>HEADRUSH MARKETING PVT LTD</t>
  </si>
  <si>
    <t>G-20, GR FLOOR, INORBIT  MALL, GR FLOOR, SECTOR 30A, PLOT NO 39/1, 39/6, 39/15,  VASHI 400705</t>
  </si>
  <si>
    <t>LOKHANDWALA</t>
  </si>
  <si>
    <t>HEISETASSE BEVERAGES PVT LTD</t>
  </si>
  <si>
    <t>SHOP NO 18, 101 &amp; 101A, GR FLOOR, GREENVILLE CHSL, OPP SAMARTH VAIBHAV, PLOT NO 98-A/116, LOKHANDWALA COMPLEX, ANDHERI WEST, MUMBAI 400053</t>
  </si>
  <si>
    <t>TALOJA WAREHOUSE</t>
  </si>
  <si>
    <t>PLOT NO. M-8,TALOJA MIDC AREA,PALEKHURD VILLAGE, TALOJA 410208</t>
  </si>
  <si>
    <t>9/11,MEZZANINE FLOOR,MAHOMEDHOY MANSION, N.S. PATKAR MARG,KEMPS CORNER, MUMBAI 400036</t>
  </si>
  <si>
    <t xml:space="preserve">HEAD OFFICE   </t>
  </si>
  <si>
    <t>GR FLOOR, 1ST FLOOR, 2ND FLOOR, NO 2082,
24TH MAIN, SECTOR 1, HSR LAYOUT, BANGALORE 560102</t>
  </si>
  <si>
    <t>KALYANI NAGAR PUNE</t>
  </si>
  <si>
    <t xml:space="preserve">SHOP NO 5,GR FLOOR, 10 NORTH CHS, PLOT NO D-13 &amp; D-14, FINAL PLOT NO 18, CTS 2112, KALYANI NAGAR, PUNE - 411006 </t>
  </si>
  <si>
    <t>CASABLANCA KOTHRUD</t>
  </si>
  <si>
    <t>SHOWROOM NO 1, GR FLOOR (MEZZANINE+ BASEMENT), CASABLANCA APARTMENTS CONDOMINIUM, SY NO 16, NEAR KARISHMA COMPLEX ROAD, KOTHRUD, PUNE 411029</t>
  </si>
  <si>
    <t>ONE PALACE, WANWADI</t>
  </si>
  <si>
    <t>UNIT NO 7 &amp; 8, A WING, GROUND FLOOR,ONE PLACE, NEW CTS NO 1379, 1384 &amp; 1369, WANOWIRE, NR. SALUNKE VIHAR ROAD, OXFORD VILLAGE, PUNE, 410040</t>
  </si>
  <si>
    <t xml:space="preserve">HERMES VISHAL KOREGOAN </t>
  </si>
  <si>
    <t>SHOP UNIT NO 1,2,3,4,5 &amp; 6 , GR FLOOR, HERMES VISHAL CHS, NORTH MAIN ROAD, KOREGAON PARK, PUNE 411001</t>
  </si>
  <si>
    <t>OZONE SHOPPING COMPLEX, AUNDH</t>
  </si>
  <si>
    <t>GR. FLOOR, 1ST FLOOR, OZONE SHOPPING MALL, MAIN ITI ROAD, AUNDH, PUNE 411007</t>
  </si>
  <si>
    <t>UNIT NO G-04 AND G-A6, PHOENIX MARKET CITY, SURVEY NO 207, VIMAN NAGAR, PUNE_x0002_411014</t>
  </si>
  <si>
    <t>RUNWAL GARDENS, BHANDUP</t>
  </si>
  <si>
    <t>SHOP NO 40 AND 41, GR FLOOR, R-GALLERIA, RUNWAL GREENS, MULUND GOREGAON LINK ROAD, BHANDUP WEST, MUMBAI 400078</t>
  </si>
  <si>
    <t>EMERALD BORIVALI</t>
  </si>
  <si>
    <t>SHOP NO 4 AND 5, GROUND FLOOR, EMERALD, B-WING, FINAL PLOT NO 90, ROSHAN NAGAR, BORIVALI WEST, MUMBAI 400092, GREATER MUMBAI WARD-R/C, GREATER MUMBAI, MAHARASHTRA-400092</t>
  </si>
  <si>
    <t>BALEWADI</t>
  </si>
  <si>
    <t>UNIT NO 9, GR FLOOR, PANCHSHIL BUSINESS PARK, HIGH STREET BUILDING, SURVEY NO 20, BALEWADI VILLAGE, PUNE 411045</t>
  </si>
  <si>
    <t>PUNE/ MAHARASHTRA</t>
  </si>
  <si>
    <t>BHATTAD TOWER BORIVALI</t>
  </si>
  <si>
    <t>SHOP NO 2 AND 3, GR FLOOR, BHATTAD TOWER, FINAL PLOT NO 713A, R.M. BHATTAD ROAD, BORIVALI WEST, MUMBA400092</t>
  </si>
  <si>
    <t>STAR MANSION, COLABA</t>
  </si>
  <si>
    <t>GROUND FLOOR, STAR MANSION, PLOT NO 66, WODEHOUSE ROAD,COLABA, MUMBAI 400005</t>
  </si>
  <si>
    <t>MAHAVIR NAGAR, KANDIVALI</t>
  </si>
  <si>
    <t>PREMISES NO 2C, GR FLOOR, V SOUK, SAI BABA EXTENSION ROAD, OPP. SACHIN TENDULKAR SPORTS CLUB, KANDIVALI (W), MUMBAI 400067</t>
  </si>
  <si>
    <t>SHOP NO 2 AND 3, GR FLOOR, BHATTAD TOWER, FINAL PLOT NO 713A, R.M. BHATTAD ROAD, BORIVALI WEST, MUMBAI 400092</t>
  </si>
  <si>
    <t>SHOP 6, 7 AND 8, DEVI ANNAPURNA PREMISES CHS, PLOT NO 8, SECTOR 18, VASHI TURBHE, NAVI MUMBAI 400705</t>
  </si>
  <si>
    <t>VASHI</t>
  </si>
  <si>
    <t>TURBHE/ NAVI MUMBAI</t>
  </si>
  <si>
    <t xml:space="preserve">VASHI- AMRUT PAN SHOP </t>
  </si>
  <si>
    <t>SHOP NO 10, DEVI ANNAPURNA PREMISES CHS, PLOT NO 8, SECTOR 18, VASHI-TURBHE, NAVI MUMBAI 400705</t>
  </si>
  <si>
    <t>HOTEL POORNIMA</t>
  </si>
  <si>
    <t xml:space="preserve">B/29, GR FLOOR, SHOP NO 13, SECTOR 15,
VASHI, NAVI MUMBAI-400703 </t>
  </si>
  <si>
    <t xml:space="preserve">OBEROI MALL, GOREGAON </t>
  </si>
  <si>
    <t>UNIT NO S-33, 2ND FLOOR, OBEROI MALL, OFF WESTERN EXPRESS HIGHWAY, GOREGAON EAST, MUMBAI 400063</t>
  </si>
  <si>
    <t>PAREL COTTON PRESS FACTORY</t>
  </si>
  <si>
    <t>UNIT NO 18, PAREL COTTON PRESS FACTORY COMPOUND, 9/D, ELPHINSTONE BRIDGE ROAD, J.B.MARG, PAREL EAST, MUMBAI
400012</t>
  </si>
  <si>
    <t>BANGALORE WAREHOUSE</t>
  </si>
  <si>
    <t>NO 4598/300/4B/300/6/300/5 AND 300/4A, GROUND FLOOR, KHATA NO 300/4B, BEGUR VILLAGE, BEGUR HOBLI, BANGALORE 560068</t>
  </si>
  <si>
    <t>UNIT NO FR-08,FOURTH FLOOR, PHOENIX PALLADIUM
MALL BLOCK NOS. 34/14B, 41 &amp; 47,462, SENAPATI BAPAT MARG, LOWER PAREL, MUMBAI  400013</t>
  </si>
  <si>
    <t>PALLADIUM AHMEDABAD</t>
  </si>
  <si>
    <t>UNIT NO FF-07, 4TH FLOOR, PALLADIUM AHMEDABAD, S.G HIGHWAY, THALTEJ, AHMEDABAD NEAR EKLAVYA SPORTS ACADEMY, AHMEDABAD 380054</t>
  </si>
  <si>
    <t>PHOENIX MALL OF ASIA</t>
  </si>
  <si>
    <t>UNIT NO S-0, 2ND FLOOR, PHOENIX MALL OF ASIA, BYATARAYANAPURA VILLAGE, YELAHANKA HOBLI, BANGALORE 560092</t>
  </si>
  <si>
    <t>FORUM REX WALK</t>
  </si>
  <si>
    <t>UNIT NO 109, 110 AND 111, GR FLOOR, FORUM REX WALK, NO 169, BRIGADE ROAD, BANGALORE 560001</t>
  </si>
  <si>
    <t>ORION MALL, BRIGADE GATEWAY</t>
  </si>
  <si>
    <t xml:space="preserve">UNIT NO. UG-20, UPPER GROUND FLOOR,
ORION MALL, BRIGADE GATEWAY RAJAJINAGAR EXTENSION MALLESWARAM WEST, BANGALORE 560055 </t>
  </si>
  <si>
    <t>PROPERTY ID, 74-11-P-34,  NO.P 34, LIC COLONY,
JEEVANBIMANAGAR, 6TH MAIN ROAD, BANGALORE 560075</t>
  </si>
  <si>
    <t>ECOWORLD</t>
  </si>
  <si>
    <t>UNIT NO R5, GROUND FLOOR, THE BAY,
BUILDING CAMPUS 8A, ECOWORLD ,MARATAHALLI-SARJAPUR OUTER RING ROAD, BNENGALURU 560103</t>
  </si>
  <si>
    <t>HAL II STAGE, INDIRANAGAR</t>
  </si>
  <si>
    <t>NO 607, 12TH MAIN, HAL II STAGE, INDIRANAGAR, BANGALORE</t>
  </si>
  <si>
    <t>UNIT NO R5, GROUND FLOOR, THE BAY, BUILDING CAMPUS 8A, ECOWORLD, MARATAHALLI-SARJAPUR OUTER RING ROAD, BNENGALURU 560103</t>
  </si>
  <si>
    <t xml:space="preserve">DORMANT </t>
  </si>
  <si>
    <t>CYBERABAD KNOWLEDGE CITY</t>
  </si>
  <si>
    <t>SHOP NO CD-01 AND CD-02, GROUND FLOOR, PARCEL-4, OCTAVE BLOCK, KNOWLDEGE CITY, S.NO 83/1, PHASE I OF CYBERABAD KNOWLEDGE CITY, RAIDURG, PANMAKTHA VILLAGE, HYDERABAD 500081</t>
  </si>
  <si>
    <t>HYDERABAD/TELANGANA</t>
  </si>
  <si>
    <t xml:space="preserve">GALA NO 104 AND 105, 1ST FLOOR BD-BLDG, SHREE RAJALAXMI COMPLEX KHALHER, SURVEY NO
1611/4/B, OLD MUMBAI AGEA ROAD, BHIWANDI, THANE 421302
</t>
  </si>
  <si>
    <t>APPLIED BY COMPANY</t>
  </si>
  <si>
    <t>INDRAPRASTHA ENTERPRISES</t>
  </si>
  <si>
    <t>SHOP NO SHOP NO 35/36 SHREEJI HIGHTS, PLOT NO 1A,1B,1C, SEC 46A PALM BEACH ROAD SEAWOODS NERUL NAVI MUMBAI</t>
  </si>
  <si>
    <t>SHOP NO 25, GR FLOOR, SATRA PLAZA, SECTOR 19D, PLOT NO 19/20, VASHI, NAVI MUMBAI 400705</t>
  </si>
  <si>
    <t>NOIDA</t>
  </si>
  <si>
    <t>JS AROMA VENTURE</t>
  </si>
  <si>
    <t>UNIT NO AG01, GROUND FLOOR, CENTRAL MARKET, SECTOR 120, NOIDA 201301</t>
  </si>
  <si>
    <t>INORBIT VASHI</t>
  </si>
  <si>
    <t>JUICE HAIR MARKETING PVT LTD</t>
  </si>
  <si>
    <t>G-19, GR FLOOR, INORBIT  MALL, GR FLOOR, SECTOR 30A, PLOT NO 39/1, 39/6, 39/15,  VASHI 400705</t>
  </si>
  <si>
    <t>WESTIN GARDEN, GOREGAON</t>
  </si>
  <si>
    <t>4TH FLOOR,THE WESTIN MUMBAI,GARDEN CITY,
 COMMERZ INTERNATIONAL,BUSINESS
PARK, GOREGAON EAST, MUMBAI 400063,</t>
  </si>
  <si>
    <t>UNIT NO G-67, GROUND FLOOR, PHOENIX MARKET CITY, 124/A AND 124/C TO 124/F, LBS MARG, KURLA, (WEST) MUMBAI 400070</t>
  </si>
  <si>
    <t>RUSTOMJEE PARAMOUNT</t>
  </si>
  <si>
    <t>COMMON WING C, RUSTOMJEE PARAMOUNT, 18TH ROAD, KHAR WEST, MUMBAI 400052</t>
  </si>
  <si>
    <t xml:space="preserve">GRACE CLASSIC </t>
  </si>
  <si>
    <t>SHOP NO 1 AND 2, GRACE CLASSIC, CTS NO E/223, AHIMSA MARG, KHAR WEST, MUMBAI 400052</t>
  </si>
  <si>
    <t>COLABA, MUMBAI</t>
  </si>
  <si>
    <t>SHOP NO 4B, ROYAL TERRACE, 58, NATHALAL PAREKH
MARG, COLABA, MUMBAI 400005</t>
  </si>
  <si>
    <t>4TH FLOOR,THE WESTIN MUMBAI,GARDEN CITY,  COMMERZ INTERNATIONAL,BUSINESS PARK, GOREGAON EAST, MUMBAI 400063</t>
  </si>
  <si>
    <t>KAAPI MACHINES INDIA PVT LTD</t>
  </si>
  <si>
    <t>KHAU GAR LLP</t>
  </si>
  <si>
    <t xml:space="preserve">SHOP NO 6 AND 7, GR FLOOR, RAM JANAKI BUILDING, NEXT TO SHREE GANESH MANDIR, PHADKE ROAD, DOMBIVLI EAST 421201 </t>
  </si>
  <si>
    <t>MANGO HOSPITALITY</t>
  </si>
  <si>
    <t>SHOP NO 201, SATRA PLAZA, 2ND FLOOR, PLOT NO 19, SECTOR 19D, PALM BEACH ROAD, VASHI, NAVI MUMBAI 400705, VASHI ZONE (EXCEPT APMC MARKET I, APMC MARKET II &amp; ONION, POTATO, FRUIT &amp; VEGATABLE MARKET), NAVI MUMBAI MUNICIPAL CORPORATION (THANE ZONE-3)(MAHARASHTRA) -400705</t>
  </si>
  <si>
    <t>MANOJ WINES</t>
  </si>
  <si>
    <t>SHOP NO 77,78,88 AND 89, AGARWAL TRADE CENTER, PLOT NO-62, SECTOR-11, CBD BELAPUR, NAVI MUMBAI-400614</t>
  </si>
  <si>
    <t>MASSIVE RESTAURANTS PVT LTD</t>
  </si>
  <si>
    <t>SWIGGY ACCESS KITCHEN NO. 8, 9 &amp; 10, MYTHRI
NAGAR COLONY, BLOCK-2, MADINAGUDA VILLAGE,
RANGAREDDY 500049</t>
  </si>
  <si>
    <t>KITCHEN NO 1 HOUSE NO 354, MUNDHWA, KHARADI ROAD, BEHIND HOME DECOR FURNISHING NEAR BALAJI HOSPITAL, PATHARE THUBE NAGAR,CHANDAN NAGAR, KHARADI, PUNE 411014</t>
  </si>
  <si>
    <t>HINJEWADI</t>
  </si>
  <si>
    <t>SHOP NO H-106, 1ST FLOOR, DESTINATION HINJEWADI, RAJIV
GANDHI PARK, MANE ROAD,STREETS OF EUROPE, HINJEWADI, PUNE 411057</t>
  </si>
  <si>
    <t>KITCHEN NO 1, FIRST FLOOR, OFFICE NO 2,SANKALPANA COMPLEX, SR NO 17/3/1, NEAR ERA BAKERY, BALEWADI ROAD, PUNE 411045</t>
  </si>
  <si>
    <t>KITCHEN NO 1, S. NO 94/4, VENTURE IT PARK, OFFICE NO 1, BHUSARI COLONY KOTHRUD, PUNE 411038</t>
  </si>
  <si>
    <t xml:space="preserve">CHENNAI </t>
  </si>
  <si>
    <t>SRI SAI COMPLEX, DOOR NO 284/3A AGARAM MAIN ROAD, BALAJI NAGAR, SELAIYUR, CHENNAI 600073</t>
  </si>
  <si>
    <t>BANGALORE</t>
  </si>
  <si>
    <t>SY NO.84/4, DODDATHOGUR VILLAGE, BEGUR HOBLI, BANGALORE SOUTH TALUK, BANGALORE 560100</t>
  </si>
  <si>
    <t>DONE BY MASSIVE</t>
  </si>
  <si>
    <t>MAVERIX PLATFORMS PVT LTD</t>
  </si>
  <si>
    <t>DELHI KITCHEN CENTRAL-CLOSED</t>
  </si>
  <si>
    <t>MAVERIX PLATFORMS PVT LTD - CUREFOODS INDIA PVT LTD</t>
  </si>
  <si>
    <t>WEBSITE ISSUE</t>
  </si>
  <si>
    <t xml:space="preserve">WORLI </t>
  </si>
  <si>
    <t>MESS</t>
  </si>
  <si>
    <t>SHOP NO 4 AND 5, GROUND FLOOR, KRISHNA WORLI
 SAGAR CHS, JN PALKAR MARG, WORLI, MUMBAI 400030</t>
  </si>
  <si>
    <t>PALI HILL, BANDRA</t>
  </si>
  <si>
    <t>SHOP NO 2, GROUND FLOOR,CHETAK CHS LTD, 41,
PALI HILL,BANDRA WEST MUMBAI 400050</t>
  </si>
  <si>
    <t>DONE BY MESS</t>
  </si>
  <si>
    <t>WAREHOUSE 2 NELAMANGALA</t>
  </si>
  <si>
    <t>MILA STAR RETAIL PVT LTD</t>
  </si>
  <si>
    <t>SY NO 34/1, 35,, 37/3, 37/4, VILLAGE B.MAYLANAHALLI, NELAMANGALA TALUK, KASABA HOBLI, BANGALORE RURAL, 562123</t>
  </si>
  <si>
    <t>JAYANAGAR BENGALURU</t>
  </si>
  <si>
    <t>UNIT NO 317A, 3RD FLOOR,, 9TH MAIN RD, JAYANAGAR, 5TH BLOCK,, BENGALURU KARNATAKA, 560041</t>
  </si>
  <si>
    <t>LULU KOCHIN</t>
  </si>
  <si>
    <t>NO.F 51, 1ST FLOOR,LULU INTERNATIOANL SHOPPING MALL</t>
  </si>
  <si>
    <t>KOKA JHAJJAR WAREHOUSE</t>
  </si>
  <si>
    <t>MILLET EXPRESS FOODS PVT LTD</t>
  </si>
  <si>
    <t>OLD NO 280, NEW NO 393A, SECOND FLOOR, GANESH COMPLEX ANNA SALAI, SUBBARAYAN NAGAR, TEYNAMPET, NEXT TO T NAGAR, CHENNAI 600018</t>
  </si>
  <si>
    <t xml:space="preserve"> KOTHAPATNAM VILLAGE</t>
  </si>
  <si>
    <t>NEKKANTI MEGA FOOD PARK PVT LTD</t>
  </si>
  <si>
    <t>SY NO. 698/B2,699/A1, KOTHAPATNAM VILLAGE,KOTA MANDAL, SPSR NELLORE 524411</t>
  </si>
  <si>
    <t>NELLORE/ ANDHRA PRADESH</t>
  </si>
  <si>
    <t>ETHAKOTA VILLAGE-  RAVULAPALEM</t>
  </si>
  <si>
    <t>NEKKANTI SEA FOODS LTD</t>
  </si>
  <si>
    <t>SY NO 240/1A, 4A, ETHAKOTA VILLAGE, RAVULAPALEM, EAST GODAVARI, ANDHRA PRADESH 533238</t>
  </si>
  <si>
    <t>GODAVARI/ANDHRA PRADESH</t>
  </si>
  <si>
    <t>PARADESIPALEM- CENTRAL</t>
  </si>
  <si>
    <t>SY NO.161/1,MARIKAVALASA, PARADESIPALEM, VISAKHAPATNAM, ANDHRA PRADESH-531163</t>
  </si>
  <si>
    <t>VISAKHAPATNAM/ANDHRA PRADESH</t>
  </si>
  <si>
    <t>D.NO 3-16/3, OCEAN DRIVE LAYOUT,
GUDLAVANIPALEM, VISAKHAPATNAM,
ANDHRA PRADESH 530045</t>
  </si>
  <si>
    <t xml:space="preserve">KOTHAPATNAM </t>
  </si>
  <si>
    <t>SY NO 699/A1, KOTHAPATNAM VILLAGE, NELLORE,ANDHRA PRADESH-524411</t>
  </si>
  <si>
    <t>JTP FACILITY, ANDHRA PRADESH</t>
  </si>
  <si>
    <t>SURVEY NO.248/5B, 252/5A1, J.THIMMAPURAM VILLAGE, PEDDAPURAM MANDAL, KAKINADA DISTRICT, ANDHRA PRADESH 533437</t>
  </si>
  <si>
    <t xml:space="preserve"> J.THIMMAPURAM/ ANDHRA PRADESH</t>
  </si>
  <si>
    <t>PARADESIPALEM-CANTEEN</t>
  </si>
  <si>
    <t>AJIT LAYER FARM</t>
  </si>
  <si>
    <t>M NO 136, TUPE WASII ROAD, NEAR SAKHRE PETROL PUMP, URULI KANCHAN, HAVELI, PUNE 412202</t>
  </si>
  <si>
    <t>J K POULTARY FARM</t>
  </si>
  <si>
    <t>VILLAGE JAINPUR JATTAN,(LADWA), KURUKSHETRA, HARYANA 136132</t>
  </si>
  <si>
    <t>KURUKSHETRA/HARYANA</t>
  </si>
  <si>
    <t>SANGWAN FARMS</t>
  </si>
  <si>
    <t>NEAR BUS STAND HISSAR ROAD, THOL DISTT
KURUKSHETRA HARYANA 136136</t>
  </si>
  <si>
    <t>S R FARMS</t>
  </si>
  <si>
    <t>V.P.O KHARANS, KHALLIA ROAD, NH1, SAMALKHA, PANIPAT 132103</t>
  </si>
  <si>
    <t>PANIPAT/ HARYANA</t>
  </si>
  <si>
    <t>S S POULTARY FARM</t>
  </si>
  <si>
    <t>SY NO.540, SOPHALLI ROAD, MARASURU, KASABA HOBLI, ANEKAL TQ, BANGALORE 562106, KARNATAKA</t>
  </si>
  <si>
    <t>HAVELI</t>
  </si>
  <si>
    <t>G.NO.637, MILKAT NO.918 TP 935, AS POST THEUR, TAL HAVELI, PUNE 412210</t>
  </si>
  <si>
    <t>SKY LAYER FARM</t>
  </si>
  <si>
    <t>CHAMU ROAD, NEAR RED MOON HOTEL, OPPOSITE DAFFODIL PUBLIC SCHOOL, ISMAILABAD 136129, PEHOWA, KURUKSHETRA, HARYANA-136129</t>
  </si>
  <si>
    <t>KIWI AGRO</t>
  </si>
  <si>
    <t>KHASRA NO 541/1, 558, 559, 560/1, DORAHA VILLAGE, SEHORE 466661</t>
  </si>
  <si>
    <t>SEHORE/ MADHYA PRADESH</t>
  </si>
  <si>
    <t>PLOT NO B3-B6, UPPER GROUND FLOOR, SECTOR 32, GURGAON 122003</t>
  </si>
  <si>
    <t>BHAIRAVNATH HITECH AGRO PVT LTD</t>
  </si>
  <si>
    <t>G.NO. 637, MILKAT NO. 918 TP 935, AS POSTTHEUR, TAL HAVELI, PUNE, Haveli, Pune, Maharashtra-412210</t>
  </si>
  <si>
    <t>MEDCHAL MALKAIGIRI-CLOSED</t>
  </si>
  <si>
    <t>3-13/7, SY NO 217,KANDLAKOYA VILLAGE,MEDCHAL MANDAL,MEDCHAL_x0002_MALKAJGIRI, TELANGANA 501401</t>
  </si>
  <si>
    <t>GURGAON</t>
  </si>
  <si>
    <t>SHOP NO 365, GROUND FLOOR, OPP SHANI MANDIR, SUBHASH CHOWK, SOHNA ROAD, ISLAMPUR GURUGRAM 122001</t>
  </si>
  <si>
    <t>BUDHERA WAREHOUSE</t>
  </si>
  <si>
    <t>H NO 16, CHANDU(44), BUDHERA, GURGAON, HARYANA 122505</t>
  </si>
  <si>
    <t>BHIWANDI-CLOSED</t>
  </si>
  <si>
    <t>BUILDING NO 208, UNIT NO 2 AND 3, NEAR VRL LOGISTICS, INDIAN CORPORATION, GUNDAWALI VILLAGE, BHIWANDI, THANE 421302</t>
  </si>
  <si>
    <t>BASAI WAREHOUSE</t>
  </si>
  <si>
    <t>H.NO 722, BASAI GURUGRAM 122001, HARYANA</t>
  </si>
  <si>
    <t>CHHATTISGARH</t>
  </si>
  <si>
    <t>OAM INDUSTRIES (INDIA) PVT LTD</t>
  </si>
  <si>
    <t>SHOP NO GF 36, GROUND FLOOR, MAGNETO THE MALL, MAHSRSHI WALMIKI WARD, RAIPUR 492001, CHHATTISGARH</t>
  </si>
  <si>
    <t>RAIPUR/ CHHATTISGARH</t>
  </si>
  <si>
    <t>LWF</t>
  </si>
  <si>
    <t>ANITHA FLIII LICENSE DETAILS - COMPANY DROPPED</t>
  </si>
  <si>
    <t>PEBBLE STREET HOSPITALITY PVT LTD</t>
  </si>
  <si>
    <t>UNIT NO 105,106 AND 202, FORUM REX WALK, NO 169, BRIGADE ROAD, BANGALORE 560025</t>
  </si>
  <si>
    <t>MALAD</t>
  </si>
  <si>
    <t>UNIT NO SF 219, SECOND FLOOR, INFINITI MALAD,CTS NO 1406A/3/9,LINK ROAD, MALAD WEST, MUMAI 400064</t>
  </si>
  <si>
    <t>FLXY, UINT NO. 04 &amp; 05, GROUND FLOOR OF WEST BLOCK, AMANORA TOWN CENTRE, AMANORA PARK TOWNSHIP, SADESATRANALI, HADAPSAR, PUNE 411028</t>
  </si>
  <si>
    <t>HEAD OFFICE-EDEN CREST</t>
  </si>
  <si>
    <t>G-2, FIRST FLOOR, EDEN CREST, 460, KRISHNA TEMPLE ROAD,
1ST STAGE, INDIRANAGAR, BENGALURU, 560038</t>
  </si>
  <si>
    <t xml:space="preserve">FORUM SOUTH </t>
  </si>
  <si>
    <t>UNIT NO 2F-237, 2ND FLOOR, FORUM SOUTH, KANAKAPURA ROAD, S/N, ANJANADRI LAYOUT, BENGALURU 560062</t>
  </si>
  <si>
    <t>NEXUS SHANTINIKETAN</t>
  </si>
  <si>
    <t>UINT NO.LGF014A, LOWER GROUND FLOOR, NEXUS
SHANTINIKETAN, SURVEY NO. 77/2A &amp; B, SADARAMANGALA VILLAGE, BANGALORE 560066</t>
  </si>
  <si>
    <t>M5 E CITY MALL</t>
  </si>
  <si>
    <t>FF-13, FIRST FLOOR, M5 ECITY MALL,, VEERASANDRA INDUSTRIAL AREA,, ELECTRONIC CITY,, BANGALORE, 560100,</t>
  </si>
  <si>
    <t>KHENY PLAZA-OFFICE</t>
  </si>
  <si>
    <t>SECOND FLOOR, KHENY PLAZA, SITE NO 737, CMH ROAD,
BINNAMANGALA, 2ND CROSS INDIRANAGAR, BANGALORE,
560038</t>
  </si>
  <si>
    <t>CHIKKAJALA</t>
  </si>
  <si>
    <t>UNIT NO. 8 AND 9, PLOT NO-5,6,7, CHIKKAJALA VILLAGE, JALA,
HOBLI, BANGALORE, 562157,</t>
  </si>
  <si>
    <t>DLF CYBER HUB</t>
  </si>
  <si>
    <t>POPSPACE TECHNOLOGIES PVT LTD- APOGEE CONNECT PVT LTD</t>
  </si>
  <si>
    <t>FLXY,UNIT NO UGF/A AND 1B,GROUND FLOOR,BUILDING NO
10B,DLF CYBER HUB,SECTOR 24,  GURUGRAM 122022</t>
  </si>
  <si>
    <t>ZOUK-GLOBAL MALL</t>
  </si>
  <si>
    <t>POPSPACE TECHNOLOGIES PVT LTD -SEA TURTLE PVT LTD</t>
  </si>
  <si>
    <t>ZOUK, FF 05, FIRST FLOOR, GLOBAL MALL (LULU MALL),
GOPALAPURA, BINNIPETE, BANGALORE 560023</t>
  </si>
  <si>
    <t>4TH BLOCK, JAYANAGAR</t>
  </si>
  <si>
    <t>POPSPACE TECHNOLOGIES PVT LTD-AANSWR FASHION PVT LTD</t>
  </si>
  <si>
    <t>240/27,GROUND FLOOR, RAJASHREE TOWERS, 9TH MAIN ROAD,4TH BLOCK, JAYANAGAR, BENGALURU 560011</t>
  </si>
  <si>
    <t>CROWN PALACE</t>
  </si>
  <si>
    <t>SHOP NO 3, GROUND FLOOR, CROWN PALACE CHSL, PLOT NO 57B, ROAD NO 23, BANDRA WEST, MUMBAI 400050</t>
  </si>
  <si>
    <t>SHOP NO 3,, GROUND FLOOR, CROWN PALACE CHSL, PLOT NO 57B, ROAD NO 23, BANDRA WEST, MUMBAI 400050</t>
  </si>
  <si>
    <t xml:space="preserve"> DLF CYBER CITY</t>
  </si>
  <si>
    <t>POPSPACE TECHNOLOGIES PVT LTD-APOGEE CONNECT PVT LTD</t>
  </si>
  <si>
    <t>FLXY, UNIT NO UGF/A AND 1B, GROUND FLOOR, BUILDING NO 10B, DLF CYBER HUB, SECTOR 24, GURUGRAM 122022, HARYANA</t>
  </si>
  <si>
    <t>GURUGRAM</t>
  </si>
  <si>
    <t>POPSPACE TECHNOLOGIES PVT LTD-BOXSEAT VENTURES PRIVATE LIMITED (10 CLUB)</t>
  </si>
  <si>
    <t>UNIT NO 221 (A), 2ND FLOOR, FORUM SOUTH, KANAKAPURA ROAD, S/N, ANJANADRI LAYOUT, BENGALURU 560062</t>
  </si>
  <si>
    <t>FORUM SOUTH-CLOSED</t>
  </si>
  <si>
    <t>NEWME-SARATH CITY CAPITAL MALL</t>
  </si>
  <si>
    <t>POPSPACE TECHNOLOGIES PVT LTD-FRAICHEUR RETAIL PRIVATE LIMITED</t>
  </si>
  <si>
    <t xml:space="preserve">UNIT NO GF-48B, LOWER GROUND FLOOR, SARATH CITY CAPITAL MALL, GACHIBOWLI-MIYAPUR ROAD , KONDAPUR, SERILINGAMPALLY,RANGAREDDY </t>
  </si>
  <si>
    <t>NEWME-ELANTE MALL,CHANDIGARH</t>
  </si>
  <si>
    <t>UNIT NO 246, SECOND FLOOR ELANTE MALL, 178, INDUSTRIAL AREA, PHASE 1 CHANDIGARH</t>
  </si>
  <si>
    <t>NEWME-CITADEL, INDORE</t>
  </si>
  <si>
    <t>UNIT NO G 53, GROUND FLOOR, CITADEL INDORE, SURVEY NO 248/1/1,NEXT TO MUMBAI-AGRA BYPASS, KHAJRANA VILLAGE INDORE 452016</t>
  </si>
  <si>
    <t>INDORE/ MADHA PRADESH</t>
  </si>
  <si>
    <t>STRIVE CONSULTING-NEXUS SHANTINIKETAN</t>
  </si>
  <si>
    <t>POPSPACE TECHNOLOGIES PVT -STRIVE CONSULTING</t>
  </si>
  <si>
    <t>PRATIK LUNCH HOME</t>
  </si>
  <si>
    <t>284, S.S TYPE 4, VASHINAGAR SECTOR 2 RESIDENTS ASSOCIATION, SECTOR 2, VASHI, NAVI MUMBAI 400703</t>
  </si>
  <si>
    <t>MAHAPE MIDC</t>
  </si>
  <si>
    <t>PRIME FRESH LIMITED</t>
  </si>
  <si>
    <t>PLOT NO C 109-110, TTC INDUSTRIAL AREA,
PAWNE MIDC, TURBHE 400705</t>
  </si>
  <si>
    <t>LEGAL METROLOGY</t>
  </si>
  <si>
    <t>LULU MALL COCHIN</t>
  </si>
  <si>
    <t>PUREPLAY SKIN SCIENCES (INDIA) PVT LTD</t>
  </si>
  <si>
    <t>UNIT NO G-72,GROUND FLOOR,LULU MALL 34/1000,NH 47,EDAPPALLY COCHIN 682024</t>
  </si>
  <si>
    <t>COCHIN/KERALA</t>
  </si>
  <si>
    <t>HILITE MALL, KOZHIKODE</t>
  </si>
  <si>
    <t>UNIT NO 100, GR. FLOOR, HILITE MALL, HILITE CITY, THONDAYAD BYPASS, G.A. COLLEGE, P.O KOZHIKODE 673014</t>
  </si>
  <si>
    <t>KOZHIKODE/KERALA</t>
  </si>
  <si>
    <t>UNIT NO GF-56A, GR. FLOOR, VIVIANA MALL, POKHRAN ROAD NO 2, SUBHASH NAGAR, NEXT TO JUPITER HOSPITAL, THANE 400606</t>
  </si>
  <si>
    <t>PMC CHENNAI</t>
  </si>
  <si>
    <t>UNIT NO F-42, FIRST FLOOR, PHOENIX MARKETCITY CHENNAI, DOOR NO 142, VELACHERY MAIN ROAD, VELACHERY  600042</t>
  </si>
  <si>
    <t>NEXT GALLERIA MOOSARAMBAGH-CLOSED</t>
  </si>
  <si>
    <t>UNIT NO L2-07, GR FLOOR, NEXT GALLERIA MALL, SURVEY NO TS 2,5&amp;6, BLOCK B, GADDIANNARAM (V), SAIDABAD (M), MUSARAMBAGH, HYDERABAD 500036</t>
  </si>
  <si>
    <t xml:space="preserve">1ST FLOOR LODHA I-THINK TECHNO CAMPUS A WING CHIRAK NAGARTHANE THANE 400607 </t>
  </si>
  <si>
    <t>VIJAYAWADA AIRPORT</t>
  </si>
  <si>
    <t>DD02B, VIJAYAWADA INTERNATIONAL AIRPORT,GANNAVARAM, VIJAYAWADA 521102</t>
  </si>
  <si>
    <t>NEXUS SEAWOODS</t>
  </si>
  <si>
    <t>UNIT NO UG-70, UPPER GROUND FLOOR, NEXUS SEAWOOD, PLOT NO R-1, SECTOR-40, SEAWOOD, NERUL, NAVI MUMBAI 400706</t>
  </si>
  <si>
    <t>STORAGE</t>
  </si>
  <si>
    <t>MANTRI SQUARE MALL, BANGALORE</t>
  </si>
  <si>
    <t>UNIT NO UG-15, UPPER GR. FLOOR, MANTRI SQUARE MALL, NO 1, MALLESHWARAM, SAMPIGE ROAD, BANGALORE, 560003,</t>
  </si>
  <si>
    <t>LULU PALAKKAD</t>
  </si>
  <si>
    <t>UNIT NO G-19, GROUND FLOOR, LULU MALL, PALAKKAD, KAZHCHAPARAMBU, KANNADI P.O., PALAKKAD 678701, KERALA</t>
  </si>
  <si>
    <t>PALAKKAD/KERALA</t>
  </si>
  <si>
    <t>LULU MALL, TRIVANDRUM</t>
  </si>
  <si>
    <t>SHOP NO C-16, GR FLOOR, LULU MALL, TC 91/270, AKKULAM BRIDGE, KADAKKAMPALLY, ANAYARA POST, THIRUVANANTHAPURAM 695029</t>
  </si>
  <si>
    <t>KOLKATA AIRPORT</t>
  </si>
  <si>
    <t>STORE NO FLDD-30, DOMESTIC SECURITY HOLD AREA, NETAJI SUBHASH CHANDRA BOSE INTERNATIONAL AIRPORT, JESSORE ROAD,  DUMDUM, KOLKATA  700028</t>
  </si>
  <si>
    <t>KOLKATA</t>
  </si>
  <si>
    <t>UNIT NO G-42, GROUND FLOOR, INORBIT MALL, PLOT NO R-39/1, 39/6,39/15, SECTOR-30A, VASHI, NAVI MUMBAI -400703</t>
  </si>
  <si>
    <t>CIAL DEPARTURE INTERNATIONAL</t>
  </si>
  <si>
    <t>UNIT NO 20, DEPARTURE SECURITY HOLD AREA, INTERNATIONAL TERMINAL (T3) OF COCHIN INTERNATIONAL AIRPORT, ERNAKULAM,  COCHIN 683111</t>
  </si>
  <si>
    <t>BHARTIYA MALL OF BENGALURU- CLOSED</t>
  </si>
  <si>
    <t>UNIT NO 40G,GR FLOOR, BHARTIYA MALL OF BENGALURU, KHATA NO 6/2, CHOKKANAHALLI VILLAGE, BENGALURU 560064</t>
  </si>
  <si>
    <t>R CITY MALL GHATKOPAR</t>
  </si>
  <si>
    <t>GF 13 B, R CITY MALL, CTS NO 166 1 TO 23 VILLAGE, LBS
MARG, OPP- PRESIDENTIAL TOWER, GHATKOPER WEST, MUMBAI 400086</t>
  </si>
  <si>
    <t xml:space="preserve">NEXT GALLERIA MALL PUNJAGATTA </t>
  </si>
  <si>
    <t>SHOP NO. L2-10, GROUND FLOOR. NEXT GALLERIA MALL (L&amp;T METRO RAIL HYDERABAD LIMITED), PUNJAGUTTA ROAD, HYDERABAD 500082</t>
  </si>
  <si>
    <t>GLOBAL MALL</t>
  </si>
  <si>
    <t>MUNICIPAL NO.19/2,GLOBAL MALLS, GROUND FLOOR, MINERVA MILL QUARTERS, BANGALORE 560023</t>
  </si>
  <si>
    <t>RMZ GALLERIA MALL, BANGALORE-CLOSED</t>
  </si>
  <si>
    <t>UNIT NO UG-05, UPPER GR. FLOOR, GALLERIA MALL,BANGALORE BELLARY ROAD, YELAHANKA, BANGALORE 560064</t>
  </si>
  <si>
    <t>Z SQUARE MALL KANPUR-CLOSED</t>
  </si>
  <si>
    <t>PLUM KIOSK, GR FLOOR, Z SQUARE SHOPPING MALL, 16/113, MG ROAD, KANPUR 208001</t>
  </si>
  <si>
    <t>VR MALL, SURAT-CLOSED</t>
  </si>
  <si>
    <t>85-A/ PLUM, SHOP NO. 12D, GROUND FLOOR, VR SURAT MALL, DUMAS ROAD, SURAT. 395007</t>
  </si>
  <si>
    <t>TRIPURA AIRPORT</t>
  </si>
  <si>
    <t>SHA FF 11, MEZZANINE FLOOR, SECURITY HOLD AREA, MAHARAJA BIR BIKRAM AIRPORT, AGARTALA, TRIPURA 799009</t>
  </si>
  <si>
    <t>PEBBLE DOWNTOWN, FARIDABAD</t>
  </si>
  <si>
    <t>SHOP NO 21, GROUND FLOOR, THE PEBBLES DOWNTOWN MALL, SECTOR 12, NH-1, OPP RADISON HOTEL, FARIDABAD 121001</t>
  </si>
  <si>
    <t>PAVILLION MALL, PUNE - CLOSED</t>
  </si>
  <si>
    <t>UNIT NO GFK-3, 04 AND 05, GROUND FLOOR,THE PAVILLION MALL , SENAPATI BAPAT ROAD,SHIVAJI NAGAR, PUNE 411016</t>
  </si>
  <si>
    <t>NEXUS WHITEFIELD MALL, BANGALORE</t>
  </si>
  <si>
    <t>UNIT NO GF-10, GR FLOOR, NEXUS WHITEFIELD MALL,
WHITEFIELD MAIN ROAD, WHITEFIELD, BENGALURU 560066</t>
  </si>
  <si>
    <t>NEXUS ELANTE MALL, CHANDIGARH-CLOSED</t>
  </si>
  <si>
    <t>UNIT NO 44A, GR FLOOR, NEXUS ELANTE, PLOT NO 178-178A, INDUSTRIAL AREA, PHASE 1, CHANDIGARH 160002</t>
  </si>
  <si>
    <t>NEXUS CELEBRATION MALL, UDAIPUR</t>
  </si>
  <si>
    <t>UNIT NO KK-GF-K5 AND K-6, NEXUS CELEBRATION MALL, , OPP. DEVENDRA DHAM, , BHUWANA, UDAIPUR 313004,UDAIPUR, RAJASTHAN</t>
  </si>
  <si>
    <t>UDAIPUR/ RAJASTHAN</t>
  </si>
  <si>
    <t>NEXUS AHMEDABAD ONE MALL-CLOSED</t>
  </si>
  <si>
    <t>UNIT NO GK-02, GROUND FLOOR, NEXUS AHMEDABAD ONE, PLOT NO 216, TP SCHEME 01, VASTRAPUR, AHMEDABAD 380054</t>
  </si>
  <si>
    <t>NAGPUR AIRPORT-CLOSED</t>
  </si>
  <si>
    <t xml:space="preserve">SHA 6, SECURITY HOLD AREA, DR. BABASAHEB AMBEDKAR INTERNATIONAL AIRPORT, WARDHA RD, NAGPUR 440005, MAHARASHTRA </t>
  </si>
  <si>
    <t>LULU MALL, LUCKNOW-CLOSED</t>
  </si>
  <si>
    <t>UNIT NO H-007 AND H-008, GORUND FLOOR, LULU MALL, AMAR SHAHEED PATH, PLOT NO T5, SUSHANT GOLF CITY, LUCKNOW 226030</t>
  </si>
  <si>
    <t>LAJPAT NAGAR DELHI - CLOSED</t>
  </si>
  <si>
    <t>GROUND FLOOR, SHOP NO 12 CENTRAL MARKET, LAJPAT NAGAR II, NEW DELHI 110024 LAJPAT NAGAR-II DELHI 110024</t>
  </si>
  <si>
    <t>INORBIT MALAD-CLOSED</t>
  </si>
  <si>
    <t>UNIT NO G-37, GROUND FLOOR, INORBIT MALAD, LINK ROAD, CTS NO 1406A/28A, MALAD (WEST), MUMBAI 400064</t>
  </si>
  <si>
    <t>GREEN PARK, DELHI-CLOSED</t>
  </si>
  <si>
    <t>SHOP NO S-38/1, GREEN PARK MAIN MARKET, NEW DELHI 110016</t>
  </si>
  <si>
    <t>DSL VIRTUE MALL-CLOSED</t>
  </si>
  <si>
    <t>UNIT NO UGF 20,GR FLOOR,DSL ABACUS,SY NO 581/1, IDA UPPAL KALSA VILLAGE,UPPAL MANDAL RANGAREDDY 500039</t>
  </si>
  <si>
    <t>DLF SAKET, DELHI -CLOSED</t>
  </si>
  <si>
    <t>KIOSK GFK-6, DLF AVENUE, DISTRICT CENTRE,PRESS ENCLAVE ROAD, SAKET, NEW DELHI 110017,</t>
  </si>
  <si>
    <t>DLF SAKET, DELHI - CLOSED</t>
  </si>
  <si>
    <t>DLF PROMENADE MALL, DELHI - CLOSED</t>
  </si>
  <si>
    <t>SIDE ATRIUM, DLF PROMENADE MALL, PLOT NO 3, NELSON MANDELA ROAD, VASANT KUNJ, NEW DELHI 110007</t>
  </si>
  <si>
    <t>CIAL DOMESTIC COCHIN-CLOSED</t>
  </si>
  <si>
    <t>UNIT NO 35, DEPARTURE SECURITY HOLD AREA,DOMESTIC TERMINAL (T1) OF COCHIN INTERNATIONAL AIRPORT, ERNAKULAM, COCHIN 683111</t>
  </si>
  <si>
    <t>AMANORA MALL, PUNE-CLOSED</t>
  </si>
  <si>
    <t>UNIT NO EB-GF-17, EAST BLOCK, AMANORA TOWN CENTRE, AMANORA TOWNSHIP, HADAPSAR, PUNE 411025</t>
  </si>
  <si>
    <t>TURBHE</t>
  </si>
  <si>
    <t>RASIKLAL AND COMPANY PVT LTD</t>
  </si>
  <si>
    <t>PLOT NO D-22/1, TTC INDUSTRIAL AREA, MIDC, TURBHE, NAVI MUMBAI 400705</t>
  </si>
  <si>
    <t>AMBIENCE MALL</t>
  </si>
  <si>
    <t>RIYAANA CREATIONS PVT LTD</t>
  </si>
  <si>
    <t>UNIT NO F130, FIRST FLOOR, AMBIENCE MALL, AMBIENCE ISLAND, NH-8, GURGAON 122002</t>
  </si>
  <si>
    <t>GURGOAN/HARUANA</t>
  </si>
  <si>
    <t>VASHI SEC 15</t>
  </si>
  <si>
    <t>SADIVA (PROPRIETOR: JAYESH ASAWALE) - CLOSED</t>
  </si>
  <si>
    <t>B-2/4/9, GROUND FLOOR AND FIRST FLOOR, SECTOR 15, VASHI, NAVI MUMBAI 400703, VASHI ZONE (EXCEPT APMC MARKET I, APMC MARKET II &amp; ONION, POTATO, FRUIT &amp; VEGATABLE MARKET), NAVI MUMBAI MUNICIPAL CORPORATION (THANE ZONE-3), MAHARASHTRA-400703</t>
  </si>
  <si>
    <t>TURBHE SEC19-CLOSED</t>
  </si>
  <si>
    <t>SALIM JAVED &amp; CO</t>
  </si>
  <si>
    <t>GALA NO 1014, GR FLOOR, FRUIT AND VEGETABLE MARKET, PLOT NO 3 &amp; 7, SECTOR 19, TURBHE 400705, VEGETABLE MARKET, NAVI MUMBAI MUNICIPAL CORPORATION (THANE ZONE-4), MAHARASHTRA - 400705</t>
  </si>
  <si>
    <t>TURBHE SEC19</t>
  </si>
  <si>
    <t>SANMAR HOSPITALITY</t>
  </si>
  <si>
    <t>GROUND FLOOR NO.03, MANIK MANSION, PLOT NO.122, MEHTA UDYAN, NEAR SION HOSPITAL, SION MUMBAI- 400022, GREATER MUMBAI WARD-F / N, GREATER MUMBAI (MAHARASHTRA), - 400022</t>
  </si>
  <si>
    <t>HOTEL EVEREST</t>
  </si>
  <si>
    <t>SHREE NITYA KARUNA HOSPITALITY PVT LTD</t>
  </si>
  <si>
    <t>HOTEL EVEREST RESIDENCY PLOT NO PAP-K-14/1, TTC INDUSTRIAL AREA, DIGHA MIDC, NAVI MUMBAI 400708</t>
  </si>
  <si>
    <t>MALAD WEST</t>
  </si>
  <si>
    <t>SNOWHITE BABY PRODUCTS</t>
  </si>
  <si>
    <t>SHOP NO 14, LINKWAY ESTATE PREMISES CHS LTD, NEW LINK ROAD, CTS NO 1093, MALAD WEST, MUMBA-400064., GREATER MUMBAI WARD-P / S, GREATER MUMBAI (MAHARASHTRA), - 400064</t>
  </si>
  <si>
    <t>VISAKHAPATNAM</t>
  </si>
  <si>
    <t>SRI MITRA MARINE AGENCIES</t>
  </si>
  <si>
    <t>OPP TO HP PETROL BUNK SONTYAM VILLAGE
ANANDAPURAM MANDAL VISAKHAPATNAM 531173</t>
  </si>
  <si>
    <t>VISAKHAPATNAM/  ANDHRA PRADESH</t>
  </si>
  <si>
    <t>SRI SRINIVASA DAIRY PRODUCTS PRIVATE LIMITED (CREAM STONE TUB/ SCOOPS)</t>
  </si>
  <si>
    <t>GROUND FLOOR , BUILDING C , AMAR BUSINESS PARK , SADANAND ESTATES , BANER , PUNE 411045</t>
  </si>
  <si>
    <t>GROUND FLOOR , BUILDING C , AMAR BUSINESS PARK , SADANAND
ESTATES , BANER , PUNE 411045</t>
  </si>
  <si>
    <t xml:space="preserve">KITCHEN NO 3, BOOTWALA ESTATE , SURVEY NO -56 , NEXT TO SATIN BRICK SOCIETY, APLE GHAR SOCIETY , KHARADI , PUNE 411014,
</t>
  </si>
  <si>
    <t>SHOP NO H-106, FIRST FLOOR , DESTINATION HINJEWADI , RAJIV GANDHI PARK, MANE ROAD, STREETS OF EUROPE, HINJEWADI
PUNE 411057</t>
  </si>
  <si>
    <t>SHOP NO 11, 12, HINJEWADI MAIN ROAD 13, PHASE 1 RD, NEAR R MART , MULSHI, PUNE  411045</t>
  </si>
  <si>
    <t>GALAXY MALL, NOIDA</t>
  </si>
  <si>
    <t>SUPERFRY INDIA PVT LTD</t>
  </si>
  <si>
    <t>SHOP NO FC-17, 4TH FLOOR, GALAXY BLUE SAPPHIRE PLAZA, SECTOR 4, GAUTAM BUDH NAGAR, GREATER NOIDA 201305, SECTOR-4 NOIDA, NOIDA CITY ZONE-1, GAUTAM BUDDHA NAGAR , UTTAR PRADESH - 201305</t>
  </si>
  <si>
    <t>GORAKHPUR, UP</t>
  </si>
  <si>
    <t>396/B, HOUSE OF BLESSINGS, MEDICAL ROAD, NEAR HN SINGH CROSSING, BASHARTPUR, GORAKHPUR, UTTAR PRADESH 273004, BASHARATPUR, ZONE NO-4, GORAKHPUR, UTTAR PRADESH - 273004</t>
  </si>
  <si>
    <t>JUPITER FOODS INC, VADODARA</t>
  </si>
  <si>
    <t>SHOP NO GF-1, SAMPAT SQUARE, OPP R.K PLAZA, NEAR UTKARSH SCHOOL, NEW COURT ROAD, DIWALIPURA, VADODARA, GUJARAT 390007, VADODARA H.O, VADODARA MUNICIPAL CORPORATION, VADODARA MUNICIPAL CORPORATION, GUJARAT - 390007</t>
  </si>
  <si>
    <t>SECTOR 18 NOIDA</t>
  </si>
  <si>
    <t>SHOP NO 9, GR. FLOOR, JOP PLAZA, SECTOR 18, NOIDA 201301, SECTOR-18 NOIDA, NOIDA CITY ZONE-2, GAUTAM BUDDHA NAGAR , UTTAR PRADESH - 201301</t>
  </si>
  <si>
    <t>COMMERCIAL BELT, BLOCK-E</t>
  </si>
  <si>
    <t>SHOP NO 8, PARSVNATH BIBHAB PLAZA, ALPHA-I, COMMERCIAL BELT, BLOCK-E, GREATER NOIDA, UTTAR PRADESH 201308, ALPHA-1, GAUTAMBUDH NAGAR TAHSIL-I, GAUTAM BUDDHA NAGAR , UTTAR PRADESH - 201308</t>
  </si>
  <si>
    <t>UDYOG VIHAR GURGAON - CLOSED</t>
  </si>
  <si>
    <t>BEARING NO 1, 651, UDYOG VIHAR, PHASE V, SECTOR 19, GURUGRAM, HARYANA 122001, INAYATPUR(64), GURGAON, GURUGRAM, HARYANA - 122001</t>
  </si>
  <si>
    <t>RAJOURI GARDEN DELHI - CLOSED</t>
  </si>
  <si>
    <t>BEARING NO 10, 2ND &amp; 3RD FLOOR, OPPOSITE METRO PILLAR NO 421, Z-12, NAJAFGARH ROAD, BLOCK Z, RAJORI GARDEN EXTENSION, RAJOURI GARDEN, DELHI 110027, RAJOURI GARDEN, WEST , DELHI-110027</t>
  </si>
  <si>
    <t>MALVIYA NAGAR DELHI - CLOSED</t>
  </si>
  <si>
    <t>SHOP NO 1B, GR FLOOR, BEARING NO L-71 AB, MALVIYA NAGAR, NEW DELHI 110017, BEGUMPUR, HAUZ KHAS, SOUTH , DELHI - 110017</t>
  </si>
  <si>
    <t>CANNOUGHT PLACE, DELHI-CLOSED</t>
  </si>
  <si>
    <t>A- 23, GROUND FLOOR, CONNAUGHT
PLACE ,NEW DELHI , MURADABAD PAHARI,
DELHI CANTONMENT, DELHI 110001</t>
  </si>
  <si>
    <t>TATA STARBUCKS PVT LTD-TSPL</t>
  </si>
  <si>
    <t>UNIT NO. F43, GROUND FLOOR VIVIANA MALL POKHARAN ROAD NO .02.SUBHASH NAGAR NEXT TO JUPITER HOSPITAL THANE WEST 400610</t>
  </si>
  <si>
    <t>SHOP NO. 1 &amp; 2, GROUND FLOOR, ORION MALL PANVEL, MUMBAI PUNE HIGHWAY, NEAR PANVEL BUS DEPOT, PANVEL 410206</t>
  </si>
  <si>
    <t>UNIT NO G-004, TRISHUL GOLD MINE, PLOT NO 4, SECTOR 15, CBD BELAPUR, NAVI MUMBAI 400614</t>
  </si>
  <si>
    <t>METRO MALL, KALYAN</t>
  </si>
  <si>
    <t>UNIT NO.13 B, GROUND FLOOR, METRO MALL,
NETIVALI, KALYAN SHEEL ROAD, KALYAN (W), 21306</t>
  </si>
  <si>
    <t>KORUM MALL THANE</t>
  </si>
  <si>
    <t>SHOP NO UG 10,11, UPPER GROUND FLOOR, KORUM MALL MANGAL PANDEY ROAD THANE 400606</t>
  </si>
  <si>
    <t>HIRANANDANI MEADOWS THANE</t>
  </si>
  <si>
    <t>SHOP NO.3, HIRANANDANI MEDOWS,RD NO.2, MANPADA, VARTAKNAGAR MANPADA ZONE, THANE MUNICIPAL CORPORATION (THANE ZONE-GLADYS ALWARES ROAD, OFF POKHRAN</t>
  </si>
  <si>
    <t>HIRANANDANI ESTATE THANE</t>
  </si>
  <si>
    <t>SHOP NO S-7, GROUND FLOOR, CASTALIA SHOPPING, BUILDING NO 20, PLOT K, HIRANANDANI ESTATE, KHOLSHET, GODBUNDER ROAD, THANE WEST - 400607.</t>
  </si>
  <si>
    <t>KHARGHAR</t>
  </si>
  <si>
    <t>UNIT NO 20, GROUND FLOOR, KRISHNA PARADISE, TOWER 6, PLOT NO D-69 IN SECTOR NO 12, KHARGHAR, PANVEL CITY, RAIGAD, MAHARASHTRA-410210</t>
  </si>
  <si>
    <t>ALIBAUG M2M</t>
  </si>
  <si>
    <t>2M TERMINAL, GROUND FLOOR, MANDWAJETTY ROAD, ALIBAUG 402201</t>
  </si>
  <si>
    <t>ALIBAUG/MAHARASHTRA</t>
  </si>
  <si>
    <t>UNIT NO.13 B, GROUND FLOOR, METRO MALL,
NETIVALI, KALYAN SHEEL ROAD, KALYAN (W),421306</t>
  </si>
  <si>
    <t>UNIT NO 6-11, GROUND FLOOR, ATMARAM PLAZA, NARANGI BYPASS ROAD, VIRAR (W) 401303</t>
  </si>
  <si>
    <t>VIRAR/ MAHARASHTRA</t>
  </si>
  <si>
    <t>UNIT NO.13 B, GROUND FLOOR, METRO MALL,
NETIVALI, KALYAN SHEEL ROAD, KALYAN (W),
ZONE C, KALYAN TAHASHIL (THANE ZONE-8),
MAHARASHTRA-421306</t>
  </si>
  <si>
    <t>SHOP NO UG 10,11, UPPER GROUND FLOOR, KORUM MALL MANGAL PANDEY ROAD THANE, MAHARASHTRA , VARTAKNAGAR MANPADA ZONE, THANE MUNICIPAL CORPORATION (THANE ZONE-1)(MAHARASHTRA) -400606</t>
  </si>
  <si>
    <t>SHOP NO 3, EMERALD PLAZA, HIRANANDANI MEADOWS, GLAYDS ALWARES ROAD, OFF POKHRAN ROAD NO.2, MANPADA, THANE - 400610</t>
  </si>
  <si>
    <t>DONE BY TSPL</t>
  </si>
  <si>
    <t>CAPITAL MALL</t>
  </si>
  <si>
    <t>UNIT NO GF-22, GROUND FLOOR, CAPITAL MALL, NEW LINK ROAD, 
ACHOLE VILLAGE, NALLASOPARA EAST 401209</t>
  </si>
  <si>
    <t>VASAI/ MAHARASHTRA</t>
  </si>
  <si>
    <t>TOLICHOWKI</t>
  </si>
  <si>
    <t>TECHNO SPORTSWEAR PRIVATE LIMITED,SHOP NO 7, MUNICIPAL NO 8-1-346/1/UG-7,, TOLICHOWKI, SHAIKPET,CIRCLE 7, CIRCLE 7,HYDERABAD</t>
  </si>
  <si>
    <t>TIRUPPUR</t>
  </si>
  <si>
    <t>SHOP NO 11, D. NO 268, SF NO 333, AVINASHI ROAD, TIRUPUR 614602</t>
  </si>
  <si>
    <t>TIRUPPUR/ TAMILNADU</t>
  </si>
  <si>
    <t>NO. 3/3 LRN SHOWROOM SPACE, RAMAKRISHNA ROAD, HASTHAMPATTY MAIN ROAD, SALEM 636007</t>
  </si>
  <si>
    <t>R S PURAM COIMBATORE</t>
  </si>
  <si>
    <t>SHOP NO 2, GROUND FLOOR, A.M.I MID TOWN, NO 25 A/1, DB ROAD, RS PURAM, COIMBATORE 641002</t>
  </si>
  <si>
    <t>STORE III, GROUND AND FIRST FLOOR, DOOR NO 288, SARADAMBAL THOTTAM, MAHATMA GANDHI ROAD, MUTHAIPET, PONDICHERRY 605003</t>
  </si>
  <si>
    <t>BUILDING NO 6, GROUND AND FIRST FLOOR, SECTOR 1, 27TH MAIN ROAD, PHASE 3, HSR LAYOUT, AGARA VILLAGE, BENGALURU 560102</t>
  </si>
  <si>
    <t>UNIT NO S-07, SECOND FLOOR, GLOBAL MALL, PANTHARAPALYA VILLAGE, KENGERI HOBLI, BANGALORE 560001</t>
  </si>
  <si>
    <t>ELEMENTS MALL</t>
  </si>
  <si>
    <t>UNIT NO FF-07, FIRST FLOOR, MSR REGALIAA ELEMENTS MALL, SY NO 133/1A,133/1B, 133/1, 133/2 AND 134/1, THANISANDRA MAIN ROAD,VILLAGE, BENGALURU 560077</t>
  </si>
  <si>
    <t>METTUPALAYAM</t>
  </si>
  <si>
    <t>SHOP NO. 9 AND 10, GROUND FLOOR, SF NO. 171/1,   ODANTHURAI VILLAGE, BLACK THUNDER OPP, OOTY MAIN ROAD, METTUPALAYAM COIMBATORE 641305</t>
  </si>
  <si>
    <t>COIMBATORE/ TAMILNADU</t>
  </si>
  <si>
    <t>ERODE</t>
  </si>
  <si>
    <t xml:space="preserve">NO 203, VEERAPPAMPALAYAM PIRVU, PERUNDURAI ROAD, THINDAL (KIL), ERODE 638012 </t>
  </si>
  <si>
    <t>ERODE/ TAMILNADU</t>
  </si>
  <si>
    <t>BESANT NAGAR</t>
  </si>
  <si>
    <t>NEW NO.53(OLD NO. T9/1 AND T9/2), GROUND FLOOR, BESANT NAGAR 6TH AVENUE, CHENNAI 600090</t>
  </si>
  <si>
    <t>VIJAYAWADA</t>
  </si>
  <si>
    <t xml:space="preserve">SHOP NO 3, GROUND FLOOR AND MEZZANINE FLOOR, NO. 32-15-130 VISALANDRA ROAD, MAGHALRAJAPURAM, VIJAYWADA, ANDHRA PRADESH 520010 </t>
  </si>
  <si>
    <t xml:space="preserve">SENTRUM MALL </t>
  </si>
  <si>
    <t>UNIT NO 1B(2), GROUND FLOOR, SENTRUM MALL, SHRISTI NAGAR ROAD, KANYAPUR, ASANSOL 713305</t>
  </si>
  <si>
    <t>ASANSOL/ WEST BEANGAL</t>
  </si>
  <si>
    <t>PHOENIX CITADEL</t>
  </si>
  <si>
    <t>UNIT NO G-02, GROUND FLOOR,PHOENIX CITADEL, KHAJRANA, INDORE 452016</t>
  </si>
  <si>
    <t>NEXUS, MYSORE</t>
  </si>
  <si>
    <t>UNIT NO GF01,, GROUND FLOOR, NEXUS CENTRE CITY, NO 8 (OLD) AND 5(NEW), HYDER ALI ROAD, ABBA ROAD, NAZARBAD MOHALLA, MYSORE 570019</t>
  </si>
  <si>
    <t>MYSORE/KARANATAKA</t>
  </si>
  <si>
    <t xml:space="preserve">NEXUS CENTRE CITY </t>
  </si>
  <si>
    <t>UNIT NO GF01, GROUND FLOOR, NEXUS CENTRE CITY, NO 8(OLD) NO 5(NEW) ABBA ROAD, HYDER ALI ROAD, NAZARBAD MOHALLA, MYSORE 570019</t>
  </si>
  <si>
    <t>MANI SQUARE MALL</t>
  </si>
  <si>
    <t>UNIT NO 211, SECOND FLOOR, MANI SQUARE MALL, 164/1 MANICKTALA MAIN ROAD, KOLKATA 700054</t>
  </si>
  <si>
    <t>BEARING S NO. 8/2A/1, YASHWANT NAGAR BYPASS ROAD, KHARADI, PUNE 411014</t>
  </si>
  <si>
    <t>JUNCTION MALL</t>
  </si>
  <si>
    <t>UNIT NO-120, FIRST FLOOR, JUNCTION MALL, CITY CENTRE, DURGAPUR-713216</t>
  </si>
  <si>
    <t>DURGAPUR/ WEST BENGAL</t>
  </si>
  <si>
    <t>KATRAJ</t>
  </si>
  <si>
    <t>SHOW ROOM NO  05, GROUND FLOOR, MBM ORBIT, SR NO 41, CTS NO 7, HAVELI AMBEGOAN BUDRUK PUNE 411046</t>
  </si>
  <si>
    <t>TECHNO SPORTSWEAR PRIVATE LIMITED,SHOP NO 7, MUNICIPAL NO 8-1-346/1/UG-7, TOLICHOWKI, SHAIKPET HYDERABAD</t>
  </si>
  <si>
    <t>UNIT NO 1F-94-97, FIRST FLOOR, SARATH CITY, CAPITAL MALL, GACHIBOWLI MIYAPUR ROAD, WHITEFIELDS, HITEC CITY, KONDAPUR 500084</t>
  </si>
  <si>
    <t xml:space="preserve">LAKESHORE MALL	</t>
  </si>
  <si>
    <t>UNIT NO LG-9A GROUND FLOOR, LAKESHORE Y JUNCTION MALL, SURVEY NOS. 414, 415, 416, 417, AND 418, KUKATPALLY VILLAGE, MEDCHAL MALKAJGIRI HYDERABAD 500072</t>
  </si>
  <si>
    <t>HEAD OFFICE BLR</t>
  </si>
  <si>
    <t>NO-480/B, 3RD FLOOR,, ENZYME OCTANE 18TH CROSS, 27TH
MAIN, SECTOR 2, HSR LAYOUT, BANGALORE 560102</t>
  </si>
  <si>
    <t xml:space="preserve">HEAD OFFICE  </t>
  </si>
  <si>
    <t>NO-480/B, 3RD FLOOR, ENZYME OCTANE 18TH CROSS, 27TH
MAIN, SECTOR 2, HSR LAYOUT, BANGALORE 560102</t>
  </si>
  <si>
    <t>SHANTINIKETAN</t>
  </si>
  <si>
    <t>UNIT NO LGF014A, LOWER GROUND FLOOR, NEXUS SHANTINIKETAN MALL, WHITEFIELD, BANGALURU 560048</t>
  </si>
  <si>
    <t>KUVEMPU NAGAR</t>
  </si>
  <si>
    <t>5, UDAYA RAVI, ROAD, KUVEMPU, NAGAR, MYSORE 570023</t>
  </si>
  <si>
    <t>HASSAN</t>
  </si>
  <si>
    <t>SHOP NO 1, CITY, POINT, 1874, B M ROAD, HASSAN, 573201,</t>
  </si>
  <si>
    <t>HASSAN/ KARNATAKA</t>
  </si>
  <si>
    <t>DODDABALLAPURA</t>
  </si>
  <si>
    <t>SHOP NO 2, GROUND FLOOR, PATEL COMPLEX,, NO 5/1A &amp; 10/1,
YELAHANKA- DODDABALLAPURA, MAIN ROAD
SINGANAYAKANAHALLI, BENGALURU, 560064,</t>
  </si>
  <si>
    <t>SHOP NO GF 35, 36, 42, 43, GROUND FLOOR, ELAN EPIC, SECTOR 70, VILLAGE BADSHAHPUR, GURUGRAM 122103</t>
  </si>
  <si>
    <t>BANJARA HILLS, HYDERABAD</t>
  </si>
  <si>
    <t>TEXMEX CUISINE INDIA PVT LTD</t>
  </si>
  <si>
    <t>6-3-346/1, ROAD NO.1, BANJARA HILLS, HYDERABAD, KHAIRATABAD CIRCLE NO.17 , HYDERABAD, TELANGANA-500034</t>
  </si>
  <si>
    <t>INORBIT MALL MADHAPUR</t>
  </si>
  <si>
    <t>TEXMEX CUISINE INDIA PVT. LTD - GOURMET INVESTMENTS PVT LTD</t>
  </si>
  <si>
    <t>SY.NO.64, SHOP NO.48, INORBIT MALL, TSIIC LAYOUT, PART-B, MADHAPUR, SERILINGAMPALLY, RAMCHANDRAPURAM, PATANCHERU CIRCLE NO 22, HYDERABAD, TELANGANA-500081</t>
  </si>
  <si>
    <t>CHILIS, UNIT NO.S-29, 2ND FLOOR, PHOENIX MARKET CITY, VELACHERY, CHENNAI 600042</t>
  </si>
  <si>
    <t>THE HEALING WELLNESS SPA</t>
  </si>
  <si>
    <t>FIRST FLOOR, VISHAL HOUSE, PLOT NO 33, SECTOR 19C, VASHI, NAVI MUMBAI 400705</t>
  </si>
  <si>
    <t>ROORKEE,,HARDWAR</t>
  </si>
  <si>
    <t>THE STAR PROTEIN</t>
  </si>
  <si>
    <t>KHASRA NO. 311, VILL. RAIPUR , BHAGWANPUR, ROORKEE,,HARDWAR(UTTARAKHAND), -247667</t>
  </si>
  <si>
    <t>VISHWA LUNCH HOME</t>
  </si>
  <si>
    <t>SSIV, PLOT NO 286, SECTOR 2, NEAR VASHI POLICE STATION, VASHI, NAVI MUMBAI 400703</t>
  </si>
  <si>
    <t>VASHI/ NAVI MUMBAI</t>
  </si>
  <si>
    <t>CONNAUGHT DELHI-CLOSED</t>
  </si>
  <si>
    <t>WAT-A BURGER (A UNIT OF METROPOLE SERVICE STATION)</t>
  </si>
  <si>
    <t>A- 23, GROUND FLOOR, CONNAUGHT
PLACE ,NEW DELHI , MURADABAD PAHARI,
DELHI CANTONMENT, NEW DELHI, DELHI -
110001</t>
  </si>
  <si>
    <t>CONNAUGHT DELHI</t>
  </si>
  <si>
    <t>MUM020 -INORBIT MALL, VASHI</t>
  </si>
  <si>
    <t>UNIT S-14, SECOND FLOOR FOODCOURT, PALM BEACH ROAD,INORBIT MALL, VASHI, NAVI MUMBAI 400703</t>
  </si>
  <si>
    <t>MUM060 - SION STORE WC</t>
  </si>
  <si>
    <t>SHOP NO 16A1/16AB, GROUND FLOOR, THE NEW SION COOPERATIVE HOUSING SOCIETY LTD, OPP SIES COLLEGE, SWAMI VALLABHDAS MARG, ROAD NO24, SINDHI COLONY WEST MUMBAI 400022</t>
  </si>
  <si>
    <t>MUM046 - BANDRA - RECLAMATION</t>
  </si>
  <si>
    <t>SHOP NO 1, GROUND FLOOR, PEARL HAVEN CHS LTD, 86, CHAPEL ROAD JUNCTION BANDRA WEST, MUMBAI 400050</t>
  </si>
  <si>
    <t>MUM072 - MUMBAI CENTRAL WOW MOMO</t>
  </si>
  <si>
    <t>SHOP NO 1 ,GROUND FLOOR, BUILDING NO 2, NAVJIVAN HSG SOCIETY, MUMBAI CENTRAL 400008</t>
  </si>
  <si>
    <t xml:space="preserve">GUJ006-WIDE ANGLE </t>
  </si>
  <si>
    <t>SHOP NO.1 WIDE ANGLE MULTIPLEX ISCON
CROSS ROAD SG HIGHWAY RAMDEV NAGAR
AHMEDABAD 380015</t>
  </si>
  <si>
    <t>MUM058 - PRABHADEVI</t>
  </si>
  <si>
    <t xml:space="preserve">SHOP 6, GROUND FLOOR, MAMTA-A, APP SAHEB MARATHE MARG, PRABHADEVI, MUMBAI 400025
</t>
  </si>
  <si>
    <t>MUM086 - VIVIANA MALL FC07</t>
  </si>
  <si>
    <t>FC-07, SECOND FLOOR, VIVIANA MALL,PANCHPAKHADI VILLAGE, EASTERN EXPRESS HIGHWAY, THANE (W) 400606</t>
  </si>
  <si>
    <t>MUM067 - VIVIANA MALL FC08</t>
  </si>
  <si>
    <t>UNIT FC NO 8, SECOND FLOOR, VIVIANA MALL, EASTERN EXPRESS HIGHWAY THANE 400606</t>
  </si>
  <si>
    <t>MUM063 - ORION MALL PANVEL</t>
  </si>
  <si>
    <t xml:space="preserve">UNIT NO 3, SECOND FLOOR, ORION MALL PANVEL, PLOT NO 311 NH 48, NR ST STAND, PANVEL 410206
</t>
  </si>
  <si>
    <t>MUM008 -KORUM MALL</t>
  </si>
  <si>
    <t>SHOP NO 12, 3RD FLOOR, FOODCOURT, KORUM MALL, EASTERN EXPRESS HIGHWAY, MANGAL PANDEY ROAD, THANE 400606</t>
  </si>
  <si>
    <t>MUM004- NEXUS SEAWOODS</t>
  </si>
  <si>
    <t>UNIT NO LG-122, LOWER GROUND FLOOR, NEXUS SEAWOODS, PLOT NO R1, SECTOR 40, SEAWOODS, NAVI MUMBAI 400706</t>
  </si>
  <si>
    <t>MUM003-VIVIANA MALL FC10</t>
  </si>
  <si>
    <t>UNIT NO 10, FOOD COURT, SECOND FLOOR, VIVIANA MALL EASTERN EXPRESS HIGHWAY , THANE 400606</t>
  </si>
  <si>
    <t>MUM098 - VASHI  SECTOR 29</t>
  </si>
  <si>
    <t>SHOP NO 11, GROUND FLOOR, MANEKCOMPLEX CHSL, PLOT NO 16 17 AND 18, SECTOR 29, VASHI NAVI MUMBAI 400703</t>
  </si>
  <si>
    <t>AMRAVATI</t>
  </si>
  <si>
    <t>UNIT NO D-07, SECOND FLOOR, TAPADIA CITY CENTRE, SURVEY NO 15/2 AND 15/2-A, MOUJE SATURNA, NEAR GOPAL NAGAR SQUARE, PRAGANE BADNERA, AMRAVATI 444607.</t>
  </si>
  <si>
    <t>AMRAVATI/MAHARASHTRA</t>
  </si>
  <si>
    <t>PROZONE MALL</t>
  </si>
  <si>
    <t>UNIT NO F-14-15, FIRST FLOOR, PROZONE MALL, PLOT NO P-80, CHIKALTHANA INDUSTRIAL AREA, MASANATPUR, CHHATRAPATI SAMBHAJI NAGAR, AURANGABAD 431210</t>
  </si>
  <si>
    <t>AURANGABAD/ MAHARASHTRA</t>
  </si>
  <si>
    <t xml:space="preserve">MUM029 - INFINITI MALL  MALAD </t>
  </si>
  <si>
    <t>312, FOODCOURT, THIRD FLOOR MALAD INFINITI MALL LINK ROAD, MALAD MUMBAI 400064</t>
  </si>
  <si>
    <t>PUN007 &amp; PUN008 -ELPRO WM</t>
  </si>
  <si>
    <t>UNIT NO FC08, SECOND FLOOR, ELPRO CITY SQUARE MALL, KALI MANDIR PCMC, LING ROAD, PUNE 411033</t>
  </si>
  <si>
    <t>PUN015-PMC VIMAN NAGAR PUNE</t>
  </si>
  <si>
    <t>UNIT FC NO 19, SECOND FLOOR, PHOENIX MALL, VIMAN NAGAR, PUNE, MAHARASHTRA-411014</t>
  </si>
  <si>
    <t>MUM055 - LOWER PAREL WM</t>
  </si>
  <si>
    <t>PLOT 441, B/C AMRUTWAR CHAWL, GANPATRAO KADAM MARG, LOWER PAREL, DELISLE ROAD, MUMBAI 400013</t>
  </si>
  <si>
    <t>MUM009 - INORBIT MALAD</t>
  </si>
  <si>
    <t>MKS 26, 2ND FLOOR, FOODCOURT INORBIT MALL MALAD, LINK ROAD, MALAD WEST , GREATER MUMBAI, MAHARASHTRA-400064</t>
  </si>
  <si>
    <t xml:space="preserve"> SWAGAT HOLIDAY MALL, GHANDHINAGAR</t>
  </si>
  <si>
    <t>UNIT NO 14, FOOD COURT, 3RD FLOOR, SWAGAT HOLIDAY MALL, PLOT NO. 143, SARGASAN, GANDHINAGAR 382421</t>
  </si>
  <si>
    <t>GANDHINAGAR/ GUJARAT</t>
  </si>
  <si>
    <t>MUM049 - WOWCHINA MIRA ROAD</t>
  </si>
  <si>
    <t>SHOP NO 6, GROUND FLOOR, IRAISA CHS LTD, NX POLICE STATION, MIRA ROAD 401107</t>
  </si>
  <si>
    <t>MUM048 - WOWMOMO MIRA ROAD</t>
  </si>
  <si>
    <t>SHOP NO 7, GROUND FLOOR, IRAISA CHS LTD, NEXT TO KANAKIA POLICE STATION BEVERLY PARK MIRA ROAD EAST 401107</t>
  </si>
  <si>
    <t>GUJ007-GODASAR</t>
  </si>
  <si>
    <t>SHOP NO 8, GROUND FLOOR, EMPIRE HEIGHTS, OPP SAHYADRI BUNGLOWS, MANGALESHWAR MAHADEV ROAD, GODASAR,
AHMEDABAD 380043</t>
  </si>
  <si>
    <t>MUM070 - THE CAPITAL MALL TF4- CLOSED</t>
  </si>
  <si>
    <t>UNIT NO TF 4, THIRD FLOOR, FOODCOURT, THE CAPITAL MALL, NSP LINK ROAD, NALASOPARA EAST 401209</t>
  </si>
  <si>
    <t xml:space="preserve"> MUM071 - THE CAPITAL MALL TF13</t>
  </si>
  <si>
    <t>UNIT NO TF 13, FOOD COURT, THIRD FLOOR, THE CAPITAL MALL, NSP LINK ROAD, NALASOPARA EAST 401209</t>
  </si>
  <si>
    <t>NALASOPARA/MAHARASHTRA</t>
  </si>
  <si>
    <t>MUM064 - THE CAPITAL MALL TF 12</t>
  </si>
  <si>
    <t xml:space="preserve">UNIT NO TF-12, FOODCOURT, THIRD FLOOR, THE CAPITAL MALL, NSP LINK ROAD NALASOPARA EAST 401209
</t>
  </si>
  <si>
    <t>VASAI/MAHARASHTRA</t>
  </si>
  <si>
    <t>MUM044-S.V. ROAD ANDHERI WEST</t>
  </si>
  <si>
    <t>SHOP NO 1, GROUND FLOOR,REPORTERS BUNGLOW BESIDE BARISTA, OPP ICICI BANK,S.V. ROAD ANDHERI WEST, MUMBAI 400058</t>
  </si>
  <si>
    <t>PROZONE MALL, AURANGABAD - WOW KULFI</t>
  </si>
  <si>
    <t>FIRST FLOOR, PROZONE MALL, PLOT NO P-80, API COMPOUND, MIDC, CHIKALTHANA, CHHATRAPATI SAMBHAJI NAGAR 431210</t>
  </si>
  <si>
    <t>AURANGABAD/MAHARASHTRA</t>
  </si>
  <si>
    <t>AMANORA WM</t>
  </si>
  <si>
    <t>UNIT NO EB-SF-FC 08, SECOND FLOOR, AMANORA TWON CENTRE, AMANORA PARK TOWNSHIP, VILLAGE SADESATRANALI, HADAPSAR, PUNE 411028, HADAPSAR, PUNE, MAHARASHTRA, 411028</t>
  </si>
  <si>
    <t>AMANORA WC</t>
  </si>
  <si>
    <t xml:space="preserve">UNIT NO EB-SF-FC-13, SECOND FLOOR, AMANORA TOWN CENTRE, AMANORA PARK TOWNSHIP, VILLAGE SADESATRANALI , HADAPSAR, PUNE 411028,
</t>
  </si>
  <si>
    <t>PUN013-KHARADHI</t>
  </si>
  <si>
    <t>SHOP NO 001, C WING , GROUND FLOOR, GLOBAL BUSINESS HUB OPP TO EON I T PARK HUB , PUNE NAGAR ROAD &amp; SANGAMWADI 411014</t>
  </si>
  <si>
    <t>PUN014-WESTEND  MALL WOW CHINA</t>
  </si>
  <si>
    <t>F C 9, FOOD COURT,SECOND FLOOR WESTEND MALL NEXT TO RELIANCE MART, PARIHAR  CHOWK, AUNDH, PUNE PMC,  MAHARASHTRA-411007</t>
  </si>
  <si>
    <t>PUN005-WESTEND MALL</t>
  </si>
  <si>
    <t>F C 8, FOOD COURT,SECOND FLOOR WESTEND MALL NEXT TO RELIANCE MART, PARIHAR  CHOWK, AUNDH, PUNE PMC,  MAHARASHTRA-411007</t>
  </si>
  <si>
    <t>WOW KULFI, PROZONE MALL, AURANGABAD</t>
  </si>
  <si>
    <t>MUM014 - CHEMBUR EAST</t>
  </si>
  <si>
    <t>SHOP NO 2, GR FLOOR, SUSWAGATAM CHS, NR NATURAL ICE CREAM, CENTRAL AVENUE ROAD CHEMBUR EAST, MUMBAI 400071</t>
  </si>
  <si>
    <t>FIFTH FLOOR, RAHEJA WOODS,BUILDING NO 4, RIVER SIDE 25A,WEST AVENUE,KALYANI NAGAR,PUNE 411006</t>
  </si>
  <si>
    <t>AMAR TECH</t>
  </si>
  <si>
    <t>AMAR TECH PARK, BALEWADI, PUNE,411045</t>
  </si>
  <si>
    <t>PUN025-HAPPINESS STEET WMWC</t>
  </si>
  <si>
    <t>SHOP NO 14,VJ HAPPINESS STREET,HINJWADI,
MULSHI, PUNE, MAHARASHTRA-411057</t>
  </si>
  <si>
    <t>PUNE WAREHOUSE - COLD STORAGE</t>
  </si>
  <si>
    <t>CHANDRABHAGA HEIGHTS,PLOT NO 724,BHIVARI,TALUKA PURANDER ,PURANDHAR,PUNE,MAHARASHTRA-412301</t>
  </si>
  <si>
    <t>UNIT NO 12, THIRD FLOOR, XPERIA MALL,VILLAGE NILJE, DOMBIVALI 421204,</t>
  </si>
  <si>
    <t>GUJ003-PALLADIUM AHMEDABAD-CHINA DINER</t>
  </si>
  <si>
    <t>UNIT NO FC-04, FOURTH FLOOR, PALLADIUM AHMEDABAD, PLOT NO (1+2)/1, THALTEJ, GHATLODIA, AHMEDABAD 380054</t>
  </si>
  <si>
    <t>PUN004-KOTHRUD WOW MOMO</t>
  </si>
  <si>
    <t xml:space="preserve">OP ROAD </t>
  </si>
  <si>
    <t>SHOP NO GF 02, GROUND FLOOR, OLIVE, PLOT NO 65, HARIBHAKTI EXTENSION, VADODRA 390007</t>
  </si>
  <si>
    <t>PUN023-GRAND HIGH STREET WMWC</t>
  </si>
  <si>
    <t>UNIT NO TF 08,THIRD FLOOR,GRAND HIGH STREET MALL,PHASE 1, HINJEWADI, MULSHI, PUNE,411057</t>
  </si>
  <si>
    <t>MUM026 - 7 BUNGALOWS VERSOVA</t>
  </si>
  <si>
    <t>SHOP NO 03, GROUND FLOOR, ATLANTIS CHS, J.P ROAD, 7 BUNGALOWS, ANDHERI WEST, GREATER MUMBAI 400061</t>
  </si>
  <si>
    <t>MUM050 - WOWMOMO J B NAGAR</t>
  </si>
  <si>
    <t>SHOP NO 2 GROUND FLOOR, BHARAT PLAZA,
ANDHERI- KURLA ROAD, NEAR J B METRO STATION, MUMBAI 400059</t>
  </si>
  <si>
    <t>MUM022 - PMC KURLA SF4</t>
  </si>
  <si>
    <t>UNIT NO SFC 4, SECOND FLOOR,FOODCOURT,PHOENIX MALL, L.B.S.ROAD, KURLA (WEST), MUMBAI 400070</t>
  </si>
  <si>
    <t>MUM047 - MALAD - GOVIND NAGAR</t>
  </si>
  <si>
    <t>SHOP NO 6, GROUND FLOOR, DHANLAXMI CHS, UPPER GOVIND NAGAR, MALAD EAST, GREATER MUMBAI, MAHARASHTRA-400097</t>
  </si>
  <si>
    <t>MUM051 - KHARGHAR - CLOSED</t>
  </si>
  <si>
    <t>SHOP NO 19, GROUND FLOOR BHOOMI TOWERS, PLT NO 28, SECTOR 4 KHARGAHR , RAIGAD, MAHARASHTRA-410210</t>
  </si>
  <si>
    <t>MUM054 - OBEROI MALL</t>
  </si>
  <si>
    <t>UNIT NO FC- 18, THIRD FLOOR, OBEROI MALL, OFF WESTERN EXPRESS HIGHWAY, GOREGAON EAST, MUMBAI 400063</t>
  </si>
  <si>
    <t>MUM052 - BREACH CANDY WM - CLOSED</t>
  </si>
  <si>
    <t>SHOP NO 63, BHULABHAI DESAI MARG, BREACH CANDY, GREATER MUMBAI, MAHARASHTRA-400026</t>
  </si>
  <si>
    <t>GUJ002-PALLADIUM AHMEDABAD-WOW MOMO</t>
  </si>
  <si>
    <t>UNIT NO FC-10, FIFTH FLOOR, PALLADIUM AHMEDABAD, PLOT NO (1+2)/1, THALTEJ, GHATLODIA, AHMEDABAD 380054</t>
  </si>
  <si>
    <t>GUJ001-PALLADIUM AHMEDABAD-CHINA BELLY</t>
  </si>
  <si>
    <t>UNIT NO FC-05, FOURTH FLOOR, PALLADIUMAHMEDABAD, PLOT NO (1+2)/1, THALTEJ, GHATLODIA, AHMEDABAD 380054</t>
  </si>
  <si>
    <t>MUM062 - CBD BELAPUR WOW CHINA</t>
  </si>
  <si>
    <t>SHOP NO 1 &amp; 2, SHIVDARSHAN, PLOT NO 1, SECTOR 15, CBD,  NAVI MUMBAI 400614</t>
  </si>
  <si>
    <t>UNIT FC NO 19, SECOND FLOOR, PHEONIX MALL, VIMAN NAGAR, PUNE, MAHARASHTRA-411014</t>
  </si>
  <si>
    <t>MUM065 - AIROLI WM</t>
  </si>
  <si>
    <t>SHOP NO 3, GROUND FLOOR, DYNASTY CHS, SECTOR 6, AIROLI, AIROLI ZONE, NAVI MUMBAI MUNICIPAL CORPORATION (THANE ZONE-2), MAHARASHTRA-400708</t>
  </si>
  <si>
    <t xml:space="preserve">MUM061 - CBD BELAPUR WOW MOMO </t>
  </si>
  <si>
    <t>SHOP NO 14, GR FLR, SHIVDARSHAN PLT NO 1, SECTOR NO 15, CBD BELAPUR, BELAPUR ZONE, NAVI MUMBAI 400614</t>
  </si>
  <si>
    <t>MUM056 &amp; MUM057 - MUMBAI AIRPORT WM-T2</t>
  </si>
  <si>
    <t>WOW MOMO &amp; WOW CHINA TERMINAL 2 ARRIVALS, 
FOODCOURT, CHHATARPATI SHIVAJI MAHARAJ 
INTERNATIONAL AIRPORT , GREATER MUMBAI WARD_x0002_K/E, GREATER MUMBAI, MAHARASHTRA-40009</t>
  </si>
  <si>
    <t>MUM068 - METRO MALL WMWC</t>
  </si>
  <si>
    <t>KS-04 , SECOND FLOOR, FOODCOURT, METRO JUNCTION MALL, KALYAN SHILPATA ROAD, NETIVALLI KALYAN 421306</t>
  </si>
  <si>
    <t>MUM074 - KHARGHAR WC</t>
  </si>
  <si>
    <t>SHOP NO 14, GROUND FLOOR, BHOOMI TOWER, PLOT NO 28, SECTOR 4, KHARGHAR, PANVEL CITY, RAIGAD, MAHARASHTRA-410210</t>
  </si>
  <si>
    <t>MUM081 - PALLADIUM PHOENIXS15</t>
  </si>
  <si>
    <t>UNIT NO S 15, PALLADIUM PHOENIX, SENAPATI BAPAT MARG, SECOND FLOOR, LOWER PAREL, MUMBAI 400013</t>
  </si>
  <si>
    <t>PUN016-ELPRO MALL WOW CHICKEN</t>
  </si>
  <si>
    <t>UNIT NO FC02, SECOND FLOOR, ELPRO CITY SQUARE MALL, KALI MANDIR PCMC, LING ROAD, PUNE 411033</t>
  </si>
  <si>
    <t>MUM080 - TAKSHILA ANDHERI WM</t>
  </si>
  <si>
    <t>SHOP NO 10, BUILDING NO 8, GROUND FLOOR, TAKSHILA CHS, OFF MAHAKALI CAVES ROAD, ANDHERI EAST , GREATER MUMBAI WARD_x0002_K/E, GREATER MUMBAI, MAHARASHTRA-400093</t>
  </si>
  <si>
    <t>MUM078 - COLABA WM</t>
  </si>
  <si>
    <t>24-A, GROUND FLOOR, 33, CAUSEWAY HOUSE,NAVROJI FARDOONJI STREET, OPP LEOPOLD HOUSE, BEHIND TAJ HOTEL COLABA, GREATER MUMBAI WARD - A, GREATER MUMBAI, MAHARASHTRA-400001</t>
  </si>
  <si>
    <t>PUN021-CHIKHALI WM</t>
  </si>
  <si>
    <t>SHOP NO 3,GROUND FLOOR,KUNDAN JUNCTION,SECTOR 17,PLOT NO1/1,PCNTDA ,HURGUDE VASTI ,CHIKALI , PUNE
PCMC WARD NO-7, PUNE -412114.</t>
  </si>
  <si>
    <t>MUM075 - HIRANANDANI MEADOWS</t>
  </si>
  <si>
    <t xml:space="preserve">UNIT NO 5, GRD FLR, CELAO BLDG, HIRANANDANI MEADOWS POKHRAN ROAD NO 2, THANE 400610
</t>
  </si>
  <si>
    <t>MUM085 - PAREL WM</t>
  </si>
  <si>
    <t xml:space="preserve">SHOP NO 5 , CRYSTAL TOWER , PLOT NO 20/26 , GROUND FLOOR , DR BABASAHEB AMBEDKAR ROAD , NEAR PETRULPUMP PAREL BRIDGE , PAREL , MUMBAI NO 400012 </t>
  </si>
  <si>
    <t>MUM069 - METRO MALL WOW CHICKEN</t>
  </si>
  <si>
    <t>KS-06 , SECOND FLOOR , FOOD COURT , METRO JUNCTION MALL , KALYAN (WEST) 421306</t>
  </si>
  <si>
    <t>MUM084 - LODHA AMARA , KOLSHET ROAD</t>
  </si>
  <si>
    <t>SHOP NO 6 ,LODHA AMARA , KOLSHET ROAD , SANDOZ BAUG , BESIDE DOMINOS , THANE (WEST) 400615</t>
  </si>
  <si>
    <t>PUN022-PEBBLES MALL WMWC</t>
  </si>
  <si>
    <t>K-10,SECOND FLOOR,AEROMALL,S.NO-225,LOHEGOAN, PUNE NAGAR ROAD &amp; SANGAMWADISSSSS, PUNE, MAHARASHTRA-411032</t>
  </si>
  <si>
    <t>MUM088 - COSMOS SQUARE G53- CLOSED</t>
  </si>
  <si>
    <t>SHOP NO G-53, COSMOS SQUARE, CHIKHAL DONGRI ROAD, GLOBAL CITY, VIRAR WEST 401303</t>
  </si>
  <si>
    <t xml:space="preserve">MUM087 - COSMOS SQUARE G39 </t>
  </si>
  <si>
    <t>SHOP NO G-39, COSMOS SQUARE, CHIKHAL DONGRI ROAD, GLOBAL CITY, VIRAR WEST 401303</t>
  </si>
  <si>
    <t>WAREHOUSE- TURBHE</t>
  </si>
  <si>
    <t>GROUND FLOOR, PLOT NO D 22/1, TTC INDUSTRIAL AREA MIDC, TURBHE NAVI MUMBAI 400705</t>
  </si>
  <si>
    <t>DONE BY WOW MOMO</t>
  </si>
  <si>
    <t>STADIUM METRO STATION, MOTERA,</t>
  </si>
  <si>
    <t>SHOP NO 4, GROUND FLOOR, NEXT TO KFC OPP. STADIUM METRO STATION, MOTERA, CHANDKHEDA, AHMEDABAD 382424</t>
  </si>
  <si>
    <t>SEASON MALL - WOW KULFI</t>
  </si>
  <si>
    <t>KT-2A, THIRD FLOOR, SEASON MALL, MAGARPATTA CITY, HADAPSAR, PUNE 411013</t>
  </si>
  <si>
    <t>RELIANCE VISION FLORA PUNE</t>
  </si>
  <si>
    <t>UNIT NO 1, GROUND FLOOR, TGC1, VISION FLORA,  SY NO 83, 84,   OPPO PCMC PLAYGROUND, ROSELAND RESIDENCY RD, PIMPLE SAUDAGAR, PIMPRI-CHINCHWAD, PUNE, 411027 MAHARASHTRA</t>
  </si>
  <si>
    <t>RELIANCE PMC KURLA (SIS)</t>
  </si>
  <si>
    <t>UNIT NO 1, 6220,G28/29, GROUND FLOOR , PHOENIX MARKET CITY , L.B.S MARG , KURLA , MUMBAI 400070</t>
  </si>
  <si>
    <t>PUN018-MALL OF MILLENIUM WOW MOMO</t>
  </si>
  <si>
    <t>UNIT NO T-33,THIRD FLOOR,PHOENIX MALL
OF MILLLENNIUM ,BEHIND SAYAJI HOTEL
WAKAD, PUNE PCMC WARD NO-002, PUNE,
MAHARASHTRA-411057</t>
  </si>
  <si>
    <t>UNIT NO T-33,THIRD FLOOR,PHOENIX MALL OF MILLLENNIUM ,BEHIND SAYAJI HOTEL WAKAD, PUNE 411057</t>
  </si>
  <si>
    <t>PUN017-MALL OF MILLENIUM WOW CHINA</t>
  </si>
  <si>
    <t>UNIT NO T-36,THIRD FLOOR,PHOENIX MILENNIUM ,BEHIND SAYAJI HOTEL,WAKAD, PUNE PCMC WARD NO-002, PUNE, MAHARASHTRA-411057</t>
  </si>
  <si>
    <t>UNIT NO T-36,THIRD FLOOR,PHOENIX MILENNIUM ,BEHIND SAYAJI HOTEL,WAKAD, PUNE  411057</t>
  </si>
  <si>
    <t>PUN012-BANER - CLOSED</t>
  </si>
  <si>
    <t>PUN011-GRIME HEIGHTS </t>
  </si>
  <si>
    <t>SHOP C-08,GROUND FLOOR,GRIME HEIGHTS,WANAWADI,SALUNKE VIHAR ROAD , WANWADI RAMTEKDI, PUNE, MAHARASHTRA-411040</t>
  </si>
  <si>
    <t>PUN010-EAST STREET MG ROAD -CLOSED</t>
  </si>
  <si>
    <t>SHOP 
NO 20, GROUND FLOOR, KUMAR PAVILLION, EAST STREET, PUNE PMC 
(MAHARASHTRA) - 411001</t>
  </si>
  <si>
    <t>PUN009-93 AVENUE</t>
  </si>
  <si>
    <t xml:space="preserve">UNIT NO 313 FOODCOURT THIRD FLOOR, 93 AVENUE, KALUBAI CHOWK NR FATIMA NAGAR JUNCTION WANWORIE OPP CROMA, PUNE 411022 </t>
  </si>
  <si>
    <t xml:space="preserve">UNIT NO 313 FOODCOURT THIRD FLOOR, 93 AVENUE, KALUBAI CHOWK NR FATIMA NAGAR JUNCTION WANWORIE OPP CROMA, PUNE  411022 </t>
  </si>
  <si>
    <t>PUN006-KOTHRUD WOW CHINA</t>
  </si>
  <si>
    <t>SHOP NO 32 GROUND FLOOR, 
KARISHMA SOCIETY, KARVE ROAD
KOTHRUD , PUNE PMC, MAHARASHTRA-411038</t>
  </si>
  <si>
    <t>SHOP NO 32 GROUND FLOOR,  KARISHMA SOCIETY, KARVE ROAD KOTHRUD , PUNE  411038</t>
  </si>
  <si>
    <t>PUN003-KOREGAON PARK - CLOSED</t>
  </si>
  <si>
    <t>SHOP NO 10, VRINDAVAN APARTMENT, LANE NO 6, 
OFF NORTH MAIN ROAD, KOREGAON , PUNE PMC, 
MAHARASHTRA-411001</t>
  </si>
  <si>
    <t>MUM100 RELIANCE KANDIVALI(SIS)</t>
  </si>
  <si>
    <t>TOII, T W GARDEN WADHWA, SURVEY NO
38, THAKUR VILLAGE , KANDIVALI EAST,
MUMBAI 400101, SAMTA NAGAR, GREATER
MUMBAI WARD-R/S, GREATER MUMBAI,
MAHARASHTRA - 400101</t>
  </si>
  <si>
    <t>TOII, T W GARDEN WADHWA, SURVEY NO 38, THAKUR VILLAGE , KANDIVALI EAST, MUMBAI 4001011</t>
  </si>
  <si>
    <t>MUM099-JOSHI MALL - EXPRESS FOOD PARK</t>
  </si>
  <si>
    <t>PREMISES BEARING NO 29, GROUND FLOOR,EXPRESS FOOD PARK, VILLAGE THANENHAVE, TALUKA KHALAPUR, RAIGAD 210203, KHALAPUR, RAIGAD, MAHARASHTRA-410203</t>
  </si>
  <si>
    <t>RAIGAD/MAHARASHTRA</t>
  </si>
  <si>
    <t>PREMISES BEARING NO 29, GROUND FLOOR,EXPRESS FOOD PARK, VILLAGE THANENHAVE, TALUKA KHALAPUR, RAIGAD 210203</t>
  </si>
  <si>
    <t>MUM089 - PMC KURLA S24</t>
  </si>
  <si>
    <t>UNIT NO S-24 ,2ND FLOOR , PHOENIX MARKET CITY MALL , L B S MARG , KURLA WEST , MUMBAI NO 400070</t>
  </si>
  <si>
    <t>MUM083 - MARATHON FUTUREX WM - CLOSED</t>
  </si>
  <si>
    <t>UNIT NO 6 , FOOD COURT , MARATHON FUTUREX , MAFATLAL MILLS COMPOUND , N M JOSHI MARG , LOWER PAREL ,MUMBAI NO 400013, GREATER MUMBAI WARD-G/S, GREATER MUMBAI, MAHARASHTRA-400013</t>
  </si>
  <si>
    <t>MUM082 - ULHASNAGAR WMWC - CLOSED</t>
  </si>
  <si>
    <t>SHOP NO 1 , ULHASNAGAR MUNICIPAL CORPORATION ROAD , NEXT TO PRIYA APARTMENT , SIDHI VINAYAK NAGAR , ULHASNAGAR ,MAHARASHTRA 421003., CAMP 5, ULHASNAGAR &amp; AMBARNATH TAHASHIL (THANE ZONE-9), MAHARASHTRA-421003</t>
  </si>
  <si>
    <t>MUM079 - KARANJADE, PANVEL - CLOSED</t>
  </si>
  <si>
    <t>SHOP NO 1 AND 2, GROUND FLOOR, KVK XENIA, PLOT NO 53, SECTOR 4, KARANJADE, PANVEL 410206</t>
  </si>
  <si>
    <t>MUM073 - I C COLONY EXTENSION, BORIVALI - CLOSED</t>
  </si>
  <si>
    <t xml:space="preserve">SHOP NO 1 , BUILDING NO 2, NAVJIVAN HSG SOCIETY, MUMBAI CENTRAL, MUMBAI  400011
</t>
  </si>
  <si>
    <t>MUM061 - CBD BELAPUR WOW MOMO - CLOSED</t>
  </si>
  <si>
    <t>MUM035 - CCD - GOREGAON - CLOSED</t>
  </si>
  <si>
    <t>15, SUB-FI-D BLDG NO 2, K WING, SATELLITE GARDEN D, GREATER MUMBAI, MAHARASHTRA-400063</t>
  </si>
  <si>
    <t>MUM032 - CHEMBUR WOW CHINA-CLOSED</t>
  </si>
  <si>
    <t>SHOP NO. 15, GROUND FLOOR, SRI SUNDER CHS LTD, OPP DIAMOND GARDEN, SION TROMBAY ROAD, CHEMBUR. , GREATER MUMBAI WARD-M/W, GREATER MUMBAI, MAHARASHTRA-400071</t>
  </si>
  <si>
    <t>MUM031 - HIRANANDANI GARDEN, POWAI</t>
  </si>
  <si>
    <t>SHOP NO 7, GROUND FLOOR, DAFFODILS SOCIETY, CENTRAL AVENUE ROAD, HIRANANDANI GARDEN, POWAI 400076</t>
  </si>
  <si>
    <t>MUM030 -CHANDIVALI FARM ROAD, POWAI - CLOSED</t>
  </si>
  <si>
    <t>SHOP NO 7. LOWER GROUND FLOOR C WING , LAKE PRIMROSE ABC C.H.S LTD CHANDIVALI FARM ROAD, POWAI, MUMBAI 400072</t>
  </si>
  <si>
    <t>MUM024 - GROWEL MALL</t>
  </si>
  <si>
    <t xml:space="preserve"> UNIT FC 5, THIRD FLOOR, 101 GROWEL MALL, AKRULI ROAD, KANDIVALI (EAST), MUMBAI 4000101</t>
  </si>
  <si>
    <t xml:space="preserve"> UNIT FC 5, GROUND FLOOR, 101 GROWEL MALL, AKRULI ROAD, KANDIVALI (EAST), MUMBAI 4000101</t>
  </si>
  <si>
    <t>MUM017 -  CAPITAL BUILDING - BKC- CLOSED</t>
  </si>
  <si>
    <t>UNIT NO 218, SECOND FLOOR, C-70, CAPITAL BUILDING, BANDRA - KURLA COMPLEX, BANDRA EAST, GREATER MUMBAI 400051.</t>
  </si>
  <si>
    <t>MUM006 -R CITY MALL FC 14</t>
  </si>
  <si>
    <t>FCC14,3RD FLR, R CITY MALL, LBS MARG, GHATKOPAR WEST, MUMBAI 400086</t>
  </si>
  <si>
    <t>MUM005 -PMC KURLA SF -06</t>
  </si>
  <si>
    <t>UNIT SFC NO 6, SECOND FLOOR, FOODCOURT, PHOENIX MALL, LBS ROAD KAMANI KURLA, MUMBAI 400070</t>
  </si>
  <si>
    <t>MUM002 - CR2 - CLOSED</t>
  </si>
  <si>
    <t>KIOSKS 3 &amp; KIOSKS 4, GR FLOOR CR2 MALL, BEHIND OBEROI HOTEL. INOX THEATRE, NARIMAN POINT , GREATER MUMBAI, MAHARASHTRA-400021</t>
  </si>
  <si>
    <t>MALAD WEST, METRO STATION-CLOSED</t>
  </si>
  <si>
    <t>PM-KM-1D, MALAD WEST, METRO STATION, LINE 2A, NEWLINK ROAD, MUMBAI 400064</t>
  </si>
  <si>
    <t>SHOP NO 32 GROUND FLOOR,  KARISHMA SOCIETY, KARVE ROAD KOTHRUD , PUNE 411038</t>
  </si>
  <si>
    <t>GUJ010-EVA MALL</t>
  </si>
  <si>
    <t>SHOP NO TF 04, THIRD FLOOR, EVA MALL, RAMESH PATEL ESTATE, NEAR SARASWATI COMPLEX, MANJALPUR 390011</t>
  </si>
  <si>
    <t>GUJ009-NIKOL SHOP NO 20</t>
  </si>
  <si>
    <t>SHOP NO 20, HILL TOWN PLAZA, NIKOL RING CROSS ROAD, NEAR AMAR JAWAN CIRCLE, NIKOL AHMEDABAD 382350</t>
  </si>
  <si>
    <t>GUJ009 NIKOL SHOP NO 21</t>
  </si>
  <si>
    <t>SHOP NO 21, HILL TOWN PLAZA, NIKOL RING CROSS ROAD, NEAR AMAR JAWAN CIRCLE, NIKOL AHMEDABAD 382350</t>
  </si>
  <si>
    <t>GUJ008-NEXUS AHMEDABAD ONE - WOW MOMO AND CHINA</t>
  </si>
  <si>
    <t>UNIT NO TFS 01, THIRD FLOOR, NEXUS AHMEDABAD ONE, FINAL PLOT NO 216, TP SCHEME 1, NEAR VASTRAPUR LAKE, AHMEDABAD GUJARAT 380054, AHMEDABAD
MUNICIPAL CORPORATION, AHMEDABAD,
GUJARAT, 380054</t>
  </si>
  <si>
    <t>UNIT NO TFS 01, THIRD FLOOR, NEXUS AHMEDABAD ONE, FINAL PLOT NO 216, TP SCHEME 1, NEAR VASTRAPUR LAKE, AHMEDABAD GUJARAT 380054</t>
  </si>
  <si>
    <t>GUJ004 &amp; GUJ005-AHMEDABAD AIRPORT TERMINAL T1</t>
  </si>
  <si>
    <t>TERMINAL 1, OUTSIDE DEPARTURE
CONTAINER, SARDAR VALLABH BHAI PATEL
AIRPORT, HANSOL OTHERS, AHMEDABAD</t>
  </si>
  <si>
    <t>T1, OUTSIDE DEPARTURE CONTAINER, SARDAR VALLABH BHAI PATEL AIRPORT, AHMEDABAD 380003</t>
  </si>
  <si>
    <t>UNIT NO FC-10, FIFTH FLOOR, PALLADIUM AHMEDABAD, PLOT NO (1+2)/1, THALTEJ,
GHATLODIA, AHMEDABAD 380054</t>
  </si>
  <si>
    <t>ON HOLD</t>
  </si>
  <si>
    <t>BASE KITCHEN</t>
  </si>
  <si>
    <t>GALA NO 15 &amp; 16 UDYOG MANDIR INDUSTRIAL ESTATE, NR SAINT JUDE CHURCH, KAJUPADA , GREATER MUMBAI, MAHARASHTRA-400072</t>
  </si>
  <si>
    <t xml:space="preserve"> MUM076 - LAKE CITY MALL - CLOSED</t>
  </si>
  <si>
    <t>SHOP NO G9, GR FLOOR, LAKE CITY MALL, KAPURBAWDI JUNCTION, THANE WEST 400607</t>
  </si>
  <si>
    <t xml:space="preserve"> MUM023 - CARTER ROAD (WOW! CHINA)- CLOSED</t>
  </si>
  <si>
    <t>SHOP NO 6 B WING GROUND FLOOR, GAGANGIRI PREMISES CO-OP SOCIETY LTD, OFF CARTER ROAD, GREATER MUMBAI (MAHARASHTRA) - 400052</t>
  </si>
  <si>
    <t xml:space="preserve"> MUM023 - CARTER ROAD (WOW! CHINA)</t>
  </si>
  <si>
    <t xml:space="preserve"> MUM007 - CARTER ROAD</t>
  </si>
  <si>
    <t>SHOP NO 8 A WING GAGANGIRI PREMISES SOCIETY LTD, OFF CARTER ROAD OPP AJANTA ELLORA BUILDING KHAR WEST , GREATER MUMBAI, MAHARASHTRA-400052</t>
  </si>
  <si>
    <t>NERUL, NAVI MUMBAI - CLOSED</t>
  </si>
  <si>
    <t>YOGESH WINES</t>
  </si>
  <si>
    <t>SHOP NO 4, DATTA KRUPA APARTMENT,PLOT NO 43, SECTOR-6, NERUL, NAVI MUMBAI 400706, NERUL ZONE (WEST), NAVI MUMBAI MUNICIPAL CORPORATION (THANE ZONE-4), MAHARASHTRA-400706</t>
  </si>
  <si>
    <t>PRABHADEVI</t>
  </si>
  <si>
    <t>YUM PLUM PVT LTD</t>
  </si>
  <si>
    <t>UNIT OFFICE NO- 35-44 GROOND FLOOR, MODERN MILL COMPOOND, PLOT NO- 54/62, JAGANNA THRAO BHATANKAR MARG, PAREL ST DEPOT PRABHADEVI- 400025</t>
  </si>
  <si>
    <t>UNIT OFFICE NO- 35-44 GROOND FLOOR, MODERN MILL COMPOOND, PLOT NO- 54/62, JAGANNA THRAO BHATANKAR MARG, PAREL ST DEPOT PRABHADEVI- 400025, GREATER MUMBAI WARD-G/S, GREATER MUMBAI, MAHARASHTRA-400025</t>
  </si>
  <si>
    <t>C.G ROAD, AHMEDABAD</t>
  </si>
  <si>
    <t>GF/12 AND FF/12, TURQUOIS BUILDING, NEAR PANCHVAT CIRCLE, C.G ROAD, ELLIS BRIDGE AHMEDABAD 380006</t>
  </si>
  <si>
    <t>A-01/7, GROUND FLOOR ,CONCEPT POINT, VIBHUTI KHAND, GOMTINAGAR, , NAGAR NIGAM FOOD SAFETY ZONE-4, LUCKNOW, UTTAR PRADESH, 226010</t>
  </si>
  <si>
    <t>SHOP NO 4, FIRST FLOOR, HOUSE NO 394/1, BLOCK NO 111, NR. NAVRANG SOCIETY, LODHA PARADISE SERVICE ROAD, MAJIWADA, THANE (WEST) 400601</t>
  </si>
  <si>
    <t>COFFEE DAY GLOBAL LTD-VENDING</t>
  </si>
  <si>
    <t>CUREFOODS INDIA  LTD</t>
  </si>
  <si>
    <t>JIMIS BURGER LLPJUICE HAIR MARKETING PVT LTD</t>
  </si>
  <si>
    <t>MESS (JUICE SALON)</t>
  </si>
  <si>
    <t>JUICE MARKETING PVT LTD</t>
  </si>
  <si>
    <t>OAM INDUSTRIES INDIA PVT LTD</t>
  </si>
  <si>
    <t>PEEBLE STREET HOSPITALITY PVT LTD</t>
  </si>
  <si>
    <t>POPSPACE TECHNOLOGIES PVT LTD - SEA TURTLE</t>
  </si>
  <si>
    <t>POPSPACE TECHNOLOGIES PVT LTD-BOXSEAT VENTURES PVT LTD (10 CLUB)</t>
  </si>
  <si>
    <t>POPSPACE TECHNOLOGIES PVT LTD-FRAICHEUR RETAIL PVT LTD</t>
  </si>
  <si>
    <t>POPSPACE TECHNOLOGIES PVT LTD -STRIVE CONSULTING</t>
  </si>
  <si>
    <t>PRIME FRESH LTD</t>
  </si>
  <si>
    <t>RASIKLAL AND COMPANY PVT LTD, SALIM JAVED &amp; CO</t>
  </si>
  <si>
    <t>SIDDHARTH HOSPITALITY</t>
  </si>
  <si>
    <t>MILLET EXPRESS FOODS PRIVATE LIMITED</t>
  </si>
  <si>
    <t xml:space="preserve">THE HEALING WELLNESS SPA </t>
  </si>
  <si>
    <t xml:space="preserve">RIYAANA CREATIONS PVT LTD </t>
  </si>
  <si>
    <t>SKY LAYER FARM (NUPA)</t>
  </si>
  <si>
    <t>BHAGWATI STATIONERY AND XEROX</t>
  </si>
  <si>
    <t>SUTRAHAUSPROJECT LLP</t>
  </si>
  <si>
    <t>SIGNAGE RENEWAL</t>
  </si>
  <si>
    <t>PANCHAYAT NOC</t>
  </si>
  <si>
    <t>PROFESSIONAL TAX REG</t>
  </si>
  <si>
    <t>EXCISE RENEWAL</t>
  </si>
  <si>
    <t>STORAGE RENEWAL</t>
  </si>
  <si>
    <t>SWM CHARGES</t>
  </si>
  <si>
    <t>PCC RENEWAL</t>
  </si>
  <si>
    <t>SURRENDER APP</t>
  </si>
  <si>
    <t>FSSAI AMENDMENT</t>
  </si>
  <si>
    <t>PEC/PRC/SHOPS</t>
  </si>
  <si>
    <t>FSSAI INSPECTION CLARIFICATION</t>
  </si>
  <si>
    <t>FLC SURRENDER</t>
  </si>
  <si>
    <t>GST APP</t>
  </si>
  <si>
    <t>LEGAL METROLOGY APP</t>
  </si>
  <si>
    <t>LEGAL METROLOGY AMENDMENT</t>
  </si>
  <si>
    <t>LEGAL METROLOGY NOTICE</t>
  </si>
  <si>
    <t>PPL APP</t>
  </si>
  <si>
    <t>PPL RENEWAL</t>
  </si>
  <si>
    <t>PEC/SHOPS</t>
  </si>
  <si>
    <t>LWF REG</t>
  </si>
  <si>
    <t>PACKAGING EXTENSION</t>
  </si>
  <si>
    <t>PRC PAYMENT</t>
  </si>
  <si>
    <t>TP RE-ISSUE</t>
  </si>
  <si>
    <t>POLLUTION APP</t>
  </si>
  <si>
    <t>TLC SURRENDER</t>
  </si>
  <si>
    <t>PT PAYMENT</t>
  </si>
  <si>
    <t>MEDICAL FITNESS</t>
  </si>
  <si>
    <t>EXCISE FEE PAYMENT</t>
  </si>
  <si>
    <t>SIGNAGE SURRENDER APP</t>
  </si>
  <si>
    <t>ARCHITECT PLAN SIGNATURE</t>
  </si>
  <si>
    <t>SIGNAGE SUMMON NOTICE</t>
  </si>
  <si>
    <t>PTRC REG</t>
  </si>
  <si>
    <t>PT EMPLOYER</t>
  </si>
  <si>
    <t>TLC &amp; SWM FEES</t>
  </si>
  <si>
    <t>PROVISIONAL FIRE NOC</t>
  </si>
  <si>
    <t>CLRA APP</t>
  </si>
  <si>
    <t>SANITARY NOC</t>
  </si>
  <si>
    <t>PEC/PRC SURRENDER</t>
  </si>
  <si>
    <t>HLC SURRENDER</t>
  </si>
  <si>
    <t>GST MODIFICATION</t>
  </si>
  <si>
    <t>INDEMNITY AND AFFIDAVIT</t>
  </si>
  <si>
    <t>TLC NAME CHANGE</t>
  </si>
  <si>
    <t>EMPLOYER REG</t>
  </si>
  <si>
    <t>PRC APP</t>
  </si>
  <si>
    <t>SHEPORTAL POSH</t>
  </si>
  <si>
    <t>POSH REG</t>
  </si>
  <si>
    <t>SIGNAGE DIFFERENCE FEES</t>
  </si>
  <si>
    <t>SIGNAGE AFFIDAVIT</t>
  </si>
  <si>
    <t>FORM B</t>
  </si>
  <si>
    <t>RENEWED SANITARY NOC</t>
  </si>
  <si>
    <t>PEC PAYMENT</t>
  </si>
  <si>
    <t>ELECTRIC FITTING CERT</t>
  </si>
  <si>
    <t>STATUS</t>
  </si>
  <si>
    <t>OBTAINED</t>
  </si>
  <si>
    <t>REVERT BACK</t>
  </si>
  <si>
    <t>Green</t>
  </si>
  <si>
    <t>Yellow</t>
  </si>
  <si>
    <t>Red</t>
  </si>
  <si>
    <t>Black</t>
  </si>
  <si>
    <t>Pink</t>
  </si>
  <si>
    <t>BLUE</t>
  </si>
  <si>
    <t>colour</t>
  </si>
  <si>
    <t>Empl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</si>
</sst>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1"/>
      <color theme="1"/>
      <name val="Calibri"/>
      <family val="2"/>
      <scheme val="minor"/>
    </font>
    <font>
      <sz val="11"/>
      <color theme="1"/>
      <name val="Times New Roman"/>
      <family val="1"/>
    </font>
    <font>
      <u/>
      <sz val="11"/>
      <color theme="10"/>
      <name val="Calibri"/>
      <family val="2"/>
      <scheme val="minor"/>
    </font>
    <font>
      <u/>
      <sz val="11"/>
      <color theme="10"/>
      <name val="Times New Roman"/>
      <family val="1"/>
    </font>
    <font>
      <sz val="14"/>
      <color theme="1"/>
      <name val="Times New Roman"/>
      <family val="1"/>
    </font>
    <font>
      <b/>
      <sz val="10"/>
      <color theme="1"/>
      <name val="Times New Roman"/>
      <family val="1"/>
    </font>
    <font>
      <b/>
      <sz val="8"/>
      <color theme="1"/>
      <name val="Times New Roman"/>
      <family val="1"/>
    </font>
    <font>
      <sz val="8"/>
      <color theme="1"/>
      <name val="Times New Roman"/>
      <family val="1"/>
    </font>
    <font>
      <sz val="8"/>
      <color rgb="FF202122"/>
      <name val="Times New Roman"/>
      <family val="1"/>
    </font>
    <font>
      <b/>
      <sz val="11"/>
      <color theme="1"/>
      <name val="Times New Roman"/>
      <family val="1"/>
    </font>
    <font>
      <sz val="9"/>
      <color theme="1"/>
      <name val="Times New Roman"/>
      <family val="1"/>
    </font>
    <font>
      <b/>
      <sz val="9"/>
      <color indexed="81"/>
      <name val="Tahoma"/>
      <family val="2"/>
    </font>
    <font>
      <sz val="9"/>
      <color indexed="81"/>
      <name val="Tahoma"/>
      <family val="2"/>
    </font>
    <font>
      <strike/>
      <sz val="9"/>
      <color theme="1"/>
      <name val="Times New Roman"/>
      <family val="1"/>
    </font>
    <font>
      <sz val="9"/>
      <color theme="1"/>
      <name val="Times New Roman"/>
    </font>
    <font>
      <strike/>
      <sz val="11"/>
      <color theme="1"/>
      <name val="Calibri"/>
      <family val="2"/>
      <scheme val="minor"/>
    </font>
    <font>
      <sz val="10"/>
      <color theme="1"/>
      <name val="Times New Roman"/>
    </font>
    <font>
      <b/>
      <sz val="9"/>
      <color theme="1"/>
      <name val="Times New Roman"/>
      <family val="1"/>
    </font>
    <font>
      <sz val="10"/>
      <color theme="1"/>
      <name val="Times New Roman"/>
      <family val="1"/>
    </font>
    <font>
      <sz val="11"/>
      <name val="Calibri"/>
      <family val="2"/>
      <scheme val="minor"/>
    </font>
    <font>
      <sz val="9"/>
      <color rgb="FFFF0000"/>
      <name val="Times New Roman"/>
      <family val="1"/>
    </font>
    <font>
      <sz val="8"/>
      <color rgb="FF000000"/>
      <name val="Times New Roman"/>
      <family val="1"/>
    </font>
    <font>
      <sz val="10"/>
      <color indexed="81"/>
      <name val="Times New Roman"/>
      <family val="1"/>
    </font>
    <font>
      <b/>
      <sz val="14"/>
      <color indexed="81"/>
      <name val="Tahoma"/>
      <family val="2"/>
    </font>
    <font>
      <sz val="14"/>
      <color indexed="81"/>
      <name val="Tahoma"/>
      <family val="2"/>
    </font>
    <font>
      <sz val="8"/>
      <color rgb="FFFF0000"/>
      <name val="Times New Roman"/>
      <family val="1"/>
    </font>
  </fonts>
  <fills count="13">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rgb="FFFFFFFF"/>
        <bgColor indexed="64"/>
      </patternFill>
    </fill>
    <fill>
      <patternFill patternType="solid">
        <fgColor rgb="FF00B050"/>
        <bgColor indexed="64"/>
      </patternFill>
    </fill>
    <fill>
      <patternFill patternType="solid">
        <fgColor theme="7" tint="-0.249977111117893"/>
        <bgColor indexed="64"/>
      </patternFill>
    </fill>
    <fill>
      <patternFill patternType="solid">
        <fgColor theme="0"/>
        <bgColor rgb="FFDDF2F0"/>
      </patternFill>
    </fill>
    <fill>
      <patternFill patternType="solid">
        <fgColor theme="0"/>
        <bgColor theme="0"/>
      </patternFill>
    </fill>
    <fill>
      <patternFill patternType="solid">
        <fgColor theme="0"/>
        <bgColor rgb="FFFFFFFF"/>
      </patternFill>
    </fill>
    <fill>
      <patternFill patternType="solid">
        <fgColor theme="0" tint="-0.499984740745262"/>
        <bgColor indexed="64"/>
      </patternFill>
    </fill>
    <fill>
      <patternFill patternType="solid">
        <fgColor rgb="FF32F32D"/>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right/>
      <top style="thin">
        <color indexed="64"/>
      </top>
      <bottom/>
      <diagonal/>
    </border>
    <border>
      <left/>
      <right/>
      <top/>
      <bottom style="thin">
        <color indexed="64"/>
      </bottom>
      <diagonal/>
    </border>
  </borders>
  <cellStyleXfs count="5">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1" fillId="0" borderId="0"/>
    <xf numFmtId="0" fontId="20" fillId="0" borderId="0"/>
  </cellStyleXfs>
  <cellXfs count="133">
    <xf numFmtId="0" fontId="0" fillId="0" borderId="0" xfId="0"/>
    <xf numFmtId="0" fontId="2" fillId="0" borderId="1" xfId="0" applyFont="1" applyBorder="1" applyAlignment="1">
      <alignment horizontal="center" vertical="center" wrapText="1"/>
    </xf>
    <xf numFmtId="0" fontId="3" fillId="0" borderId="1" xfId="2" applyBorder="1" applyAlignment="1">
      <alignment horizontal="center" vertical="center" wrapText="1"/>
    </xf>
    <xf numFmtId="0" fontId="4" fillId="0" borderId="1" xfId="2"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11" fillId="0" borderId="5" xfId="0" applyFont="1" applyBorder="1" applyAlignment="1">
      <alignment horizontal="center" vertical="center" wrapText="1"/>
    </xf>
    <xf numFmtId="14" fontId="11" fillId="0" borderId="1" xfId="0" applyNumberFormat="1" applyFont="1" applyBorder="1" applyAlignment="1">
      <alignment horizontal="center" vertical="center" wrapText="1"/>
    </xf>
    <xf numFmtId="0" fontId="0" fillId="0" borderId="0" xfId="0"/>
    <xf numFmtId="0" fontId="2" fillId="0" borderId="1" xfId="0" applyFont="1" applyBorder="1" applyAlignment="1">
      <alignment horizontal="center" vertical="center" wrapText="1"/>
    </xf>
    <xf numFmtId="0" fontId="3" fillId="0" borderId="1" xfId="2" applyBorder="1" applyAlignment="1">
      <alignment horizontal="center" vertical="center" wrapText="1"/>
    </xf>
    <xf numFmtId="0" fontId="4" fillId="0" borderId="1" xfId="2" applyFont="1" applyBorder="1" applyAlignment="1">
      <alignment horizontal="center" vertical="center" wrapText="1"/>
    </xf>
    <xf numFmtId="0" fontId="6" fillId="2" borderId="1" xfId="0" applyFont="1" applyFill="1" applyBorder="1" applyAlignment="1">
      <alignment horizontal="center" vertical="center" wrapText="1"/>
    </xf>
    <xf numFmtId="0" fontId="8" fillId="0" borderId="0" xfId="0" applyFont="1" applyAlignment="1">
      <alignment horizontal="center" vertical="center" wrapText="1"/>
    </xf>
    <xf numFmtId="0" fontId="8"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2" applyFont="1" applyBorder="1" applyAlignment="1">
      <alignment horizontal="center" vertical="center" wrapText="1"/>
    </xf>
    <xf numFmtId="0" fontId="9" fillId="0" borderId="1" xfId="0" applyFont="1" applyBorder="1" applyAlignment="1">
      <alignment horizontal="center" vertical="center" wrapText="1"/>
    </xf>
    <xf numFmtId="0" fontId="9" fillId="0" borderId="0" xfId="0" applyFont="1"/>
    <xf numFmtId="0" fontId="10" fillId="2" borderId="1" xfId="0" applyFont="1" applyFill="1" applyBorder="1" applyAlignment="1">
      <alignment horizontal="center" vertical="center" wrapText="1"/>
    </xf>
    <xf numFmtId="0" fontId="4" fillId="0" borderId="2" xfId="2"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Fill="1" applyBorder="1" applyAlignment="1">
      <alignment horizontal="center" vertical="center" wrapText="1"/>
    </xf>
    <xf numFmtId="0" fontId="11" fillId="0" borderId="6" xfId="0" applyFont="1" applyBorder="1" applyAlignment="1">
      <alignment horizontal="center" vertical="center" wrapText="1"/>
    </xf>
    <xf numFmtId="0" fontId="14" fillId="0" borderId="5" xfId="0" applyFont="1" applyBorder="1" applyAlignment="1">
      <alignment horizontal="center" vertical="center" wrapText="1"/>
    </xf>
    <xf numFmtId="14" fontId="14" fillId="0" borderId="1" xfId="0" applyNumberFormat="1" applyFont="1" applyBorder="1" applyAlignment="1">
      <alignment horizontal="center" vertical="center" wrapText="1"/>
    </xf>
    <xf numFmtId="0" fontId="15" fillId="0" borderId="1" xfId="0" applyFont="1" applyBorder="1" applyAlignment="1">
      <alignment horizontal="center" vertical="center" wrapText="1"/>
    </xf>
    <xf numFmtId="0" fontId="14" fillId="0" borderId="1" xfId="0" applyFont="1" applyFill="1" applyBorder="1" applyAlignment="1">
      <alignment horizontal="center" vertical="center" wrapText="1"/>
    </xf>
    <xf numFmtId="0" fontId="14" fillId="0" borderId="1" xfId="0" applyFont="1" applyBorder="1" applyAlignment="1">
      <alignment horizontal="center" vertical="center" wrapText="1"/>
    </xf>
    <xf numFmtId="14" fontId="11" fillId="0" borderId="7" xfId="0" applyNumberFormat="1" applyFont="1" applyBorder="1" applyAlignment="1">
      <alignment horizontal="center" vertical="center" wrapText="1"/>
    </xf>
    <xf numFmtId="14" fontId="14" fillId="0" borderId="5" xfId="0" applyNumberFormat="1" applyFont="1" applyBorder="1" applyAlignment="1">
      <alignment horizontal="center" vertical="center" wrapText="1"/>
    </xf>
    <xf numFmtId="14" fontId="11" fillId="0" borderId="5" xfId="0" applyNumberFormat="1" applyFont="1" applyBorder="1" applyAlignment="1">
      <alignment horizontal="center" vertical="center" wrapText="1"/>
    </xf>
    <xf numFmtId="14" fontId="11" fillId="0" borderId="8" xfId="0" applyNumberFormat="1" applyFont="1" applyBorder="1" applyAlignment="1">
      <alignment horizontal="center" vertical="center" wrapText="1"/>
    </xf>
    <xf numFmtId="14" fontId="14" fillId="0" borderId="9" xfId="0" applyNumberFormat="1" applyFont="1" applyBorder="1" applyAlignment="1">
      <alignment horizontal="center" vertical="center" wrapText="1"/>
    </xf>
    <xf numFmtId="14" fontId="14" fillId="0" borderId="8" xfId="0" applyNumberFormat="1" applyFont="1" applyBorder="1" applyAlignment="1">
      <alignment horizontal="center" vertical="center" wrapText="1"/>
    </xf>
    <xf numFmtId="14" fontId="11" fillId="0" borderId="9" xfId="0" applyNumberFormat="1" applyFont="1" applyBorder="1" applyAlignment="1">
      <alignment horizontal="center" vertical="center" wrapText="1"/>
    </xf>
    <xf numFmtId="0" fontId="11" fillId="0" borderId="2" xfId="0" applyFont="1" applyBorder="1" applyAlignment="1">
      <alignment horizontal="center" vertical="center" wrapText="1"/>
    </xf>
    <xf numFmtId="14" fontId="11" fillId="0" borderId="2" xfId="0" applyNumberFormat="1" applyFont="1" applyBorder="1" applyAlignment="1">
      <alignment horizontal="center" vertical="center" wrapText="1"/>
    </xf>
    <xf numFmtId="0" fontId="15" fillId="0" borderId="6" xfId="0" applyFont="1" applyBorder="1" applyAlignment="1">
      <alignment horizontal="center" vertical="center" wrapText="1"/>
    </xf>
    <xf numFmtId="0" fontId="11" fillId="0" borderId="2" xfId="0" applyFont="1" applyFill="1" applyBorder="1" applyAlignment="1">
      <alignment horizontal="center" vertical="center" wrapText="1"/>
    </xf>
    <xf numFmtId="9" fontId="11" fillId="0" borderId="1" xfId="1" applyFont="1" applyFill="1" applyBorder="1" applyAlignment="1">
      <alignment horizontal="center" vertical="center" wrapText="1"/>
    </xf>
    <xf numFmtId="14" fontId="11" fillId="0" borderId="3" xfId="0" applyNumberFormat="1" applyFont="1" applyBorder="1" applyAlignment="1">
      <alignment horizontal="center" vertical="center" wrapText="1"/>
    </xf>
    <xf numFmtId="14" fontId="14" fillId="0" borderId="2" xfId="0" applyNumberFormat="1" applyFont="1" applyBorder="1" applyAlignment="1">
      <alignment horizontal="center" vertical="center" wrapText="1"/>
    </xf>
    <xf numFmtId="9" fontId="14" fillId="0" borderId="1" xfId="1" applyFont="1" applyFill="1" applyBorder="1" applyAlignment="1">
      <alignment horizontal="center" vertical="center" wrapText="1"/>
    </xf>
    <xf numFmtId="0" fontId="14" fillId="0" borderId="2" xfId="0" applyFont="1" applyBorder="1" applyAlignment="1">
      <alignment horizontal="center" vertical="center" wrapText="1"/>
    </xf>
    <xf numFmtId="14" fontId="11" fillId="0" borderId="10" xfId="0" applyNumberFormat="1" applyFont="1" applyBorder="1" applyAlignment="1">
      <alignment horizontal="center" vertical="center" wrapText="1"/>
    </xf>
    <xf numFmtId="0" fontId="14" fillId="0" borderId="2" xfId="0" applyFont="1" applyFill="1" applyBorder="1" applyAlignment="1">
      <alignment horizontal="center" vertical="center" wrapText="1"/>
    </xf>
    <xf numFmtId="0" fontId="14" fillId="0" borderId="9" xfId="0" applyFont="1" applyBorder="1" applyAlignment="1">
      <alignment horizontal="center" vertical="center" wrapText="1"/>
    </xf>
    <xf numFmtId="0" fontId="11" fillId="0" borderId="9" xfId="0" applyFont="1" applyBorder="1" applyAlignment="1">
      <alignment horizontal="center" vertical="center" wrapText="1"/>
    </xf>
    <xf numFmtId="0" fontId="16" fillId="0" borderId="9" xfId="0" applyFont="1" applyBorder="1" applyAlignment="1">
      <alignment horizontal="center" vertical="center" wrapText="1"/>
    </xf>
    <xf numFmtId="14" fontId="16" fillId="0" borderId="1" xfId="0" applyNumberFormat="1" applyFont="1" applyBorder="1" applyAlignment="1">
      <alignment horizontal="center" vertical="center" wrapText="1"/>
    </xf>
    <xf numFmtId="0" fontId="16" fillId="0" borderId="1" xfId="0" applyFont="1" applyBorder="1" applyAlignment="1">
      <alignment horizontal="center" vertical="center" wrapText="1"/>
    </xf>
    <xf numFmtId="0" fontId="16" fillId="0" borderId="1" xfId="0" applyFont="1" applyFill="1" applyBorder="1" applyAlignment="1">
      <alignment horizontal="center" vertical="center" wrapText="1"/>
    </xf>
    <xf numFmtId="0" fontId="14" fillId="0" borderId="0"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5" xfId="0" applyFont="1" applyFill="1" applyBorder="1" applyAlignment="1">
      <alignment horizontal="center" vertical="center" wrapText="1"/>
    </xf>
    <xf numFmtId="0" fontId="11" fillId="0" borderId="12" xfId="0" applyFont="1" applyBorder="1" applyAlignment="1">
      <alignment horizontal="center" vertical="center" wrapText="1"/>
    </xf>
    <xf numFmtId="0" fontId="11" fillId="0" borderId="9" xfId="0" applyFont="1" applyFill="1" applyBorder="1" applyAlignment="1">
      <alignment horizontal="center" vertical="center" wrapText="1"/>
    </xf>
    <xf numFmtId="14" fontId="11" fillId="0" borderId="2" xfId="0" applyNumberFormat="1" applyFont="1" applyFill="1" applyBorder="1" applyAlignment="1">
      <alignment horizontal="center" vertical="center" wrapText="1"/>
    </xf>
    <xf numFmtId="14" fontId="11" fillId="0" borderId="1" xfId="0" applyNumberFormat="1" applyFont="1" applyFill="1" applyBorder="1" applyAlignment="1">
      <alignment horizontal="center" vertical="center" wrapText="1"/>
    </xf>
    <xf numFmtId="14" fontId="15" fillId="0" borderId="1" xfId="0" applyNumberFormat="1" applyFont="1" applyBorder="1" applyAlignment="1">
      <alignment horizontal="center" vertical="center" wrapText="1"/>
    </xf>
    <xf numFmtId="0" fontId="15" fillId="0" borderId="1" xfId="0" applyFont="1" applyFill="1" applyBorder="1" applyAlignment="1">
      <alignment horizontal="center" vertical="center" wrapText="1"/>
    </xf>
    <xf numFmtId="0" fontId="17" fillId="0" borderId="12" xfId="0" applyFont="1" applyBorder="1" applyAlignment="1">
      <alignment horizontal="center" vertical="center" wrapText="1"/>
    </xf>
    <xf numFmtId="14" fontId="15" fillId="0" borderId="1" xfId="0" applyNumberFormat="1" applyFont="1" applyFill="1" applyBorder="1" applyAlignment="1">
      <alignment horizontal="center" vertical="center" wrapText="1"/>
    </xf>
    <xf numFmtId="0" fontId="15" fillId="0" borderId="5" xfId="0" applyFont="1" applyBorder="1" applyAlignment="1">
      <alignment horizontal="center" vertical="center" wrapText="1"/>
    </xf>
    <xf numFmtId="0" fontId="11" fillId="0" borderId="1" xfId="0" applyFont="1" applyBorder="1" applyAlignment="1">
      <alignment horizontal="center" vertical="center"/>
    </xf>
    <xf numFmtId="0" fontId="18" fillId="0" borderId="1" xfId="0" applyFont="1" applyBorder="1" applyAlignment="1">
      <alignment horizontal="center" vertical="center" wrapText="1"/>
    </xf>
    <xf numFmtId="0" fontId="18" fillId="0" borderId="1" xfId="0" applyFont="1" applyFill="1" applyBorder="1" applyAlignment="1">
      <alignment horizontal="center" vertical="center" wrapText="1"/>
    </xf>
    <xf numFmtId="0" fontId="11" fillId="3" borderId="1" xfId="0" applyFont="1" applyFill="1" applyBorder="1" applyAlignment="1">
      <alignment horizontal="center" vertical="center"/>
    </xf>
    <xf numFmtId="14" fontId="11" fillId="3" borderId="1" xfId="0" applyNumberFormat="1" applyFont="1" applyFill="1" applyBorder="1" applyAlignment="1">
      <alignment horizontal="center" vertical="center"/>
    </xf>
    <xf numFmtId="0" fontId="19" fillId="3" borderId="1" xfId="0" applyFont="1" applyFill="1" applyBorder="1" applyAlignment="1">
      <alignment horizontal="center" vertical="center"/>
    </xf>
    <xf numFmtId="0" fontId="0" fillId="0" borderId="1" xfId="0" applyBorder="1"/>
    <xf numFmtId="0" fontId="11" fillId="3" borderId="1" xfId="0" applyFont="1" applyFill="1" applyBorder="1" applyAlignment="1" applyProtection="1">
      <alignment horizontal="center" vertical="center"/>
      <protection hidden="1"/>
    </xf>
    <xf numFmtId="0" fontId="11" fillId="0" borderId="1" xfId="0" applyNumberFormat="1" applyFont="1" applyFill="1" applyBorder="1" applyAlignment="1">
      <alignment horizontal="center" vertical="center"/>
    </xf>
    <xf numFmtId="0" fontId="11" fillId="4" borderId="1" xfId="0" applyFont="1" applyFill="1" applyBorder="1" applyAlignment="1">
      <alignment horizontal="center" vertical="center"/>
    </xf>
    <xf numFmtId="0" fontId="21" fillId="2" borderId="1" xfId="0" applyFont="1" applyFill="1" applyBorder="1" applyAlignment="1">
      <alignment horizontal="center" vertical="center"/>
    </xf>
    <xf numFmtId="0" fontId="11" fillId="6" borderId="1" xfId="0" applyFont="1" applyFill="1" applyBorder="1" applyAlignment="1">
      <alignment horizontal="center" vertical="center"/>
    </xf>
    <xf numFmtId="0" fontId="11" fillId="7" borderId="1" xfId="0" applyFont="1" applyFill="1" applyBorder="1" applyAlignment="1">
      <alignment horizontal="center" vertical="center"/>
    </xf>
    <xf numFmtId="0" fontId="11" fillId="11" borderId="1" xfId="0" applyFont="1" applyFill="1" applyBorder="1" applyAlignment="1">
      <alignment horizontal="center" vertical="center"/>
    </xf>
    <xf numFmtId="0" fontId="22" fillId="3" borderId="1" xfId="0" applyFont="1" applyFill="1" applyBorder="1" applyAlignment="1">
      <alignment horizontal="center" vertical="center"/>
    </xf>
    <xf numFmtId="0" fontId="22" fillId="5" borderId="1" xfId="0" applyFont="1" applyFill="1" applyBorder="1" applyAlignment="1">
      <alignment horizontal="center" vertical="center"/>
    </xf>
    <xf numFmtId="0" fontId="11" fillId="3" borderId="1" xfId="0" applyNumberFormat="1" applyFont="1" applyFill="1" applyBorder="1" applyAlignment="1">
      <alignment horizontal="center" vertical="center"/>
    </xf>
    <xf numFmtId="0" fontId="7" fillId="3" borderId="1" xfId="0" applyFont="1" applyFill="1" applyBorder="1" applyAlignment="1">
      <alignment horizontal="center" vertical="center"/>
    </xf>
    <xf numFmtId="0" fontId="8" fillId="3" borderId="1" xfId="0" applyFont="1" applyFill="1" applyBorder="1" applyAlignment="1">
      <alignment horizontal="center" vertical="center"/>
    </xf>
    <xf numFmtId="14" fontId="8" fillId="3" borderId="1" xfId="0" applyNumberFormat="1" applyFont="1" applyFill="1" applyBorder="1" applyAlignment="1">
      <alignment horizontal="center" vertical="center"/>
    </xf>
    <xf numFmtId="14" fontId="8" fillId="3" borderId="1" xfId="0" applyNumberFormat="1" applyFont="1" applyFill="1" applyBorder="1" applyAlignment="1" applyProtection="1">
      <alignment horizontal="center" vertical="center"/>
      <protection hidden="1"/>
    </xf>
    <xf numFmtId="0" fontId="8" fillId="3" borderId="1" xfId="0" applyFont="1" applyFill="1" applyBorder="1" applyAlignment="1" applyProtection="1">
      <alignment horizontal="center" vertical="center"/>
      <protection locked="0"/>
    </xf>
    <xf numFmtId="14" fontId="8" fillId="3" borderId="1" xfId="3" applyNumberFormat="1" applyFont="1" applyFill="1" applyBorder="1" applyAlignment="1">
      <alignment horizontal="center" vertical="center"/>
    </xf>
    <xf numFmtId="1" fontId="8" fillId="3" borderId="1" xfId="0" applyNumberFormat="1" applyFont="1" applyFill="1" applyBorder="1" applyAlignment="1">
      <alignment horizontal="center" vertical="center"/>
    </xf>
    <xf numFmtId="0" fontId="8" fillId="3" borderId="1" xfId="4" applyFont="1" applyFill="1" applyBorder="1" applyAlignment="1">
      <alignment horizontal="center" vertical="center"/>
    </xf>
    <xf numFmtId="0" fontId="8" fillId="0" borderId="1" xfId="0" applyNumberFormat="1" applyFont="1" applyFill="1" applyBorder="1" applyAlignment="1">
      <alignment horizontal="center" vertical="center"/>
    </xf>
    <xf numFmtId="0" fontId="8" fillId="4" borderId="1" xfId="0" applyFont="1" applyFill="1" applyBorder="1" applyAlignment="1">
      <alignment horizontal="center" vertical="center"/>
    </xf>
    <xf numFmtId="14" fontId="8" fillId="4" borderId="1" xfId="0" applyNumberFormat="1" applyFont="1" applyFill="1" applyBorder="1" applyAlignment="1">
      <alignment horizontal="center" vertical="center"/>
    </xf>
    <xf numFmtId="0" fontId="8" fillId="3" borderId="1" xfId="3" applyFont="1" applyFill="1" applyBorder="1" applyAlignment="1">
      <alignment horizontal="center" vertical="center"/>
    </xf>
    <xf numFmtId="0" fontId="26" fillId="3" borderId="1" xfId="0" applyFont="1" applyFill="1" applyBorder="1" applyAlignment="1">
      <alignment horizontal="center" vertical="center"/>
    </xf>
    <xf numFmtId="0" fontId="26" fillId="2" borderId="1" xfId="0" applyFont="1" applyFill="1" applyBorder="1" applyAlignment="1">
      <alignment horizontal="center" vertical="center"/>
    </xf>
    <xf numFmtId="0" fontId="26" fillId="2" borderId="1" xfId="3" applyFont="1" applyFill="1" applyBorder="1" applyAlignment="1">
      <alignment horizontal="center" vertical="center"/>
    </xf>
    <xf numFmtId="14" fontId="26" fillId="2" borderId="1" xfId="0" applyNumberFormat="1" applyFont="1" applyFill="1" applyBorder="1" applyAlignment="1">
      <alignment horizontal="center" vertical="center"/>
    </xf>
    <xf numFmtId="0" fontId="8" fillId="4" borderId="1" xfId="3" applyFont="1" applyFill="1" applyBorder="1" applyAlignment="1">
      <alignment horizontal="center" vertical="center"/>
    </xf>
    <xf numFmtId="0" fontId="8" fillId="0" borderId="1" xfId="0" applyFont="1" applyFill="1" applyBorder="1" applyAlignment="1">
      <alignment horizontal="center" vertical="center"/>
    </xf>
    <xf numFmtId="14" fontId="8" fillId="0" borderId="1" xfId="0" applyNumberFormat="1" applyFont="1" applyFill="1" applyBorder="1" applyAlignment="1">
      <alignment horizontal="center" vertical="center"/>
    </xf>
    <xf numFmtId="0" fontId="8" fillId="6" borderId="1" xfId="0" applyFont="1" applyFill="1" applyBorder="1" applyAlignment="1">
      <alignment horizontal="center" vertical="center"/>
    </xf>
    <xf numFmtId="14" fontId="8" fillId="6" borderId="1" xfId="0" applyNumberFormat="1" applyFont="1" applyFill="1" applyBorder="1" applyAlignment="1">
      <alignment horizontal="center" vertical="center"/>
    </xf>
    <xf numFmtId="0" fontId="8" fillId="0" borderId="1" xfId="0" applyFont="1" applyBorder="1" applyAlignment="1">
      <alignment horizontal="center" vertical="center"/>
    </xf>
    <xf numFmtId="14" fontId="8" fillId="0" borderId="1" xfId="0" applyNumberFormat="1" applyFont="1" applyBorder="1" applyAlignment="1">
      <alignment horizontal="center" vertical="center"/>
    </xf>
    <xf numFmtId="0" fontId="8" fillId="7" borderId="1" xfId="0" applyFont="1" applyFill="1" applyBorder="1" applyAlignment="1">
      <alignment horizontal="center" vertical="center"/>
    </xf>
    <xf numFmtId="14" fontId="8" fillId="7" borderId="1" xfId="0" applyNumberFormat="1" applyFont="1" applyFill="1" applyBorder="1" applyAlignment="1">
      <alignment horizontal="center" vertical="center"/>
    </xf>
    <xf numFmtId="0" fontId="8" fillId="4" borderId="1" xfId="0" applyFont="1" applyFill="1" applyBorder="1" applyAlignment="1" applyProtection="1">
      <alignment horizontal="center" vertical="center"/>
      <protection locked="0"/>
    </xf>
    <xf numFmtId="0" fontId="8" fillId="7" borderId="1" xfId="0" applyFont="1" applyFill="1" applyBorder="1" applyAlignment="1" applyProtection="1">
      <alignment horizontal="center" vertical="center"/>
      <protection locked="0"/>
    </xf>
    <xf numFmtId="0" fontId="8" fillId="8" borderId="1" xfId="0" applyFont="1" applyFill="1" applyBorder="1" applyAlignment="1">
      <alignment horizontal="center" vertical="center"/>
    </xf>
    <xf numFmtId="0" fontId="8" fillId="10" borderId="1" xfId="0" applyFont="1" applyFill="1" applyBorder="1" applyAlignment="1">
      <alignment horizontal="center" vertical="center"/>
    </xf>
    <xf numFmtId="14" fontId="22" fillId="0" borderId="1" xfId="0" applyNumberFormat="1" applyFont="1" applyBorder="1" applyAlignment="1">
      <alignment horizontal="center" vertical="center"/>
    </xf>
    <xf numFmtId="0" fontId="8" fillId="11" borderId="1" xfId="0" applyFont="1" applyFill="1" applyBorder="1" applyAlignment="1">
      <alignment horizontal="center" vertical="center"/>
    </xf>
    <xf numFmtId="14" fontId="8" fillId="11" borderId="1" xfId="0" applyNumberFormat="1" applyFont="1" applyFill="1" applyBorder="1" applyAlignment="1">
      <alignment horizontal="center" vertical="center"/>
    </xf>
    <xf numFmtId="0" fontId="8" fillId="3" borderId="1" xfId="0" applyFont="1" applyFill="1" applyBorder="1" applyAlignment="1">
      <alignment horizontal="left" vertical="center" wrapText="1"/>
    </xf>
    <xf numFmtId="0" fontId="8" fillId="3" borderId="1" xfId="0" applyFont="1" applyFill="1" applyBorder="1" applyAlignment="1" applyProtection="1">
      <alignment horizontal="left" vertical="center" wrapText="1"/>
      <protection locked="0"/>
    </xf>
    <xf numFmtId="0" fontId="22" fillId="3" borderId="1" xfId="0" applyFont="1" applyFill="1" applyBorder="1" applyAlignment="1">
      <alignment horizontal="left" vertical="center" wrapText="1"/>
    </xf>
    <xf numFmtId="1" fontId="8" fillId="3" borderId="1" xfId="0" applyNumberFormat="1" applyFont="1" applyFill="1" applyBorder="1" applyAlignment="1">
      <alignment horizontal="left" vertical="center" wrapText="1"/>
    </xf>
    <xf numFmtId="0" fontId="8" fillId="4" borderId="1" xfId="0" applyFont="1" applyFill="1" applyBorder="1" applyAlignment="1">
      <alignment horizontal="left" vertical="center" wrapText="1"/>
    </xf>
    <xf numFmtId="0" fontId="26" fillId="2" borderId="1" xfId="0" applyFont="1" applyFill="1" applyBorder="1" applyAlignment="1">
      <alignment horizontal="left" vertical="center" wrapText="1"/>
    </xf>
    <xf numFmtId="0" fontId="8" fillId="0" borderId="1" xfId="0" applyFont="1" applyFill="1" applyBorder="1" applyAlignment="1">
      <alignment horizontal="left" vertical="center" wrapText="1"/>
    </xf>
    <xf numFmtId="0" fontId="22" fillId="5" borderId="1" xfId="0" applyFont="1" applyFill="1" applyBorder="1" applyAlignment="1">
      <alignment horizontal="left" vertical="center" wrapText="1"/>
    </xf>
    <xf numFmtId="0" fontId="8" fillId="3" borderId="1" xfId="0" applyFont="1" applyFill="1" applyBorder="1" applyAlignment="1">
      <alignment horizontal="left" wrapText="1"/>
    </xf>
    <xf numFmtId="0" fontId="8" fillId="7" borderId="1" xfId="0" applyFont="1" applyFill="1" applyBorder="1" applyAlignment="1">
      <alignment horizontal="left" vertical="center" wrapText="1"/>
    </xf>
    <xf numFmtId="0" fontId="8" fillId="9" borderId="1" xfId="0" applyFont="1" applyFill="1" applyBorder="1" applyAlignment="1">
      <alignment horizontal="left" vertical="center" wrapText="1"/>
    </xf>
    <xf numFmtId="0" fontId="8" fillId="11" borderId="1" xfId="0" applyFont="1" applyFill="1" applyBorder="1" applyAlignment="1">
      <alignment horizontal="left" vertical="center" wrapText="1"/>
    </xf>
    <xf numFmtId="0" fontId="8" fillId="3" borderId="1" xfId="3" applyFont="1" applyFill="1" applyBorder="1" applyAlignment="1">
      <alignment horizontal="left" vertical="center" wrapText="1"/>
    </xf>
    <xf numFmtId="0" fontId="0" fillId="0" borderId="1" xfId="0" applyBorder="1" applyAlignment="1">
      <alignment horizontal="left" wrapText="1"/>
    </xf>
    <xf numFmtId="0" fontId="19" fillId="0" borderId="13" xfId="0" applyFont="1" applyBorder="1" applyAlignment="1">
      <alignment vertical="center"/>
    </xf>
    <xf numFmtId="0" fontId="19" fillId="0" borderId="4" xfId="0" applyFont="1" applyBorder="1" applyAlignment="1">
      <alignment vertical="center"/>
    </xf>
    <xf numFmtId="0" fontId="19" fillId="0" borderId="12" xfId="0" applyFont="1" applyBorder="1" applyAlignment="1">
      <alignment vertical="center"/>
    </xf>
    <xf numFmtId="0" fontId="0" fillId="12" borderId="0" xfId="0" applyFill="1"/>
  </cellXfs>
  <cellStyles count="5">
    <cellStyle name="Hyperlink" xfId="2" builtinId="8"/>
    <cellStyle name="Normal" xfId="0" builtinId="0"/>
    <cellStyle name="Normal 2" xfId="4" xr:uid="{33DB87EC-8B44-4AB4-A5A4-E68BE21474D4}"/>
    <cellStyle name="Normal 2 2" xfId="3" xr:uid="{57C11424-70B2-4506-A585-2CEF6CCF376C}"/>
    <cellStyle name="Percent" xfId="1" builtinId="5"/>
  </cellStyles>
  <dxfs count="28">
    <dxf>
      <font>
        <color rgb="FF9C0006"/>
      </font>
      <fill>
        <patternFill>
          <bgColor rgb="FFFFC7CE"/>
        </patternFill>
      </fill>
    </dxf>
    <dxf>
      <font>
        <color rgb="FF9C0006"/>
      </font>
      <fill>
        <patternFill>
          <bgColor rgb="FFFFC7CE"/>
        </patternFill>
      </fill>
    </dxf>
    <dxf>
      <font>
        <strike val="0"/>
        <outline val="0"/>
        <shadow val="0"/>
        <u val="none"/>
        <vertAlign val="baseline"/>
        <sz val="10"/>
        <color theme="1"/>
        <name val="Times New Roman"/>
        <scheme val="none"/>
      </font>
      <alignment horizontal="general" vertical="center" textRotation="0" wrapText="0" indent="0" justifyLastLine="0" shrinkToFit="0" readingOrder="0"/>
    </dxf>
    <dxf>
      <font>
        <strike val="0"/>
        <outline val="0"/>
        <shadow val="0"/>
        <u val="none"/>
        <vertAlign val="baseline"/>
        <sz val="10"/>
        <color theme="1"/>
        <name val="Times New Roman"/>
        <scheme val="none"/>
      </font>
      <alignment horizontal="general"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theme="1"/>
        <name val="Times New Roman"/>
        <scheme val="none"/>
      </font>
      <alignment horizontal="general" vertical="center" textRotation="0" wrapText="0" indent="0" justifyLastLine="0" shrinkToFit="0" readingOrder="0"/>
      <border diagonalUp="0" diagonalDown="0" outline="0">
        <left/>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theme="1"/>
        <name val="Times New Roman"/>
        <scheme val="none"/>
      </font>
      <alignment horizontal="general" vertical="center" textRotation="0" wrapText="0" indent="0" justifyLastLine="0" shrinkToFit="0" readingOrder="0"/>
    </dxf>
    <dxf>
      <font>
        <strike val="0"/>
        <outline val="0"/>
        <shadow val="0"/>
        <u val="none"/>
        <vertAlign val="baseline"/>
        <sz val="10"/>
        <color theme="1"/>
        <name val="Times New Roman"/>
        <scheme val="none"/>
      </font>
      <alignment horizontal="general"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theme="1"/>
        <name val="Times New Roman"/>
        <scheme val="none"/>
      </font>
      <alignment horizontal="general" vertical="center" textRotation="0" wrapText="0" indent="0" justifyLastLine="0" shrinkToFit="0" readingOrder="0"/>
      <border diagonalUp="0" diagonalDown="0" outline="0">
        <left/>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8"/>
        <color theme="1"/>
        <name val="Times New Roman"/>
        <family val="1"/>
        <scheme val="none"/>
      </font>
      <fill>
        <patternFill patternType="none">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Times New Roman"/>
        <family val="1"/>
        <scheme val="none"/>
      </font>
      <numFmt numFmtId="19" formatCode="dd/mm/yyyy"/>
      <fill>
        <patternFill patternType="none">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Times New Roman"/>
        <family val="1"/>
        <scheme val="none"/>
      </font>
      <fill>
        <patternFill patternType="none">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Times New Roman"/>
        <family val="1"/>
        <scheme val="none"/>
      </font>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8"/>
        <color theme="1"/>
        <name val="Times New Roman"/>
        <family val="1"/>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Times New Roman"/>
        <family val="1"/>
        <scheme val="none"/>
      </font>
      <fill>
        <patternFill patternType="solid">
          <fgColor indexed="64"/>
          <bgColor theme="0"/>
        </patternFill>
      </fill>
      <alignment horizontal="center" vertical="center" textRotation="0" wrapText="0" indent="0" justifyLastLine="0" shrinkToFit="0" readingOrder="0"/>
    </dxf>
    <dxf>
      <font>
        <strike val="0"/>
        <outline val="0"/>
        <shadow val="0"/>
        <u val="none"/>
        <vertAlign val="baseline"/>
        <sz val="8"/>
        <color theme="1"/>
        <name val="Times New Roman"/>
        <family val="1"/>
        <scheme val="none"/>
      </font>
      <fill>
        <patternFill patternType="none">
          <bgColor theme="0"/>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Times New Roman"/>
        <family val="1"/>
        <scheme val="none"/>
      </font>
      <fill>
        <patternFill patternType="none">
          <fgColor theme="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8"/>
        <color theme="1"/>
        <name val="Times New Roman"/>
        <family val="1"/>
        <scheme val="none"/>
      </font>
      <fill>
        <patternFill patternType="none">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Times New Roman"/>
        <family val="1"/>
        <scheme val="none"/>
      </font>
      <numFmt numFmtId="19" formatCode="dd/mm/yyyy"/>
      <fill>
        <patternFill patternType="none">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Times New Roman"/>
        <family val="1"/>
        <scheme val="none"/>
      </font>
      <numFmt numFmtId="19" formatCode="dd/mm/yyyy"/>
      <fill>
        <patternFill patternType="none">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Times New Roman"/>
        <family val="1"/>
        <scheme val="none"/>
      </font>
      <fill>
        <patternFill patternType="none">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theme="1"/>
        <name val="Times New Roman"/>
        <family val="1"/>
        <scheme val="none"/>
      </font>
      <fill>
        <patternFill patternType="none">
          <bgColor theme="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bottom style="thin">
          <color indexed="64"/>
        </bottom>
      </border>
    </dxf>
  </dxfs>
  <tableStyles count="0" defaultTableStyle="TableStyleMedium2" defaultPivotStyle="PivotStyleLight16"/>
  <colors>
    <mruColors>
      <color rgb="FF32F32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er\d\SERVER\FILES%20STATUS\NEW%20STATU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 1"/>
      <sheetName val="SHEET 2"/>
      <sheetName val="SHEET 3"/>
      <sheetName val="Sheet1"/>
    </sheetNames>
    <sheetDataSet>
      <sheetData sheetId="0"/>
      <sheetData sheetId="1"/>
      <sheetData sheetId="2"/>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061860-DB97-4CA6-9ADC-E3E693BEE45A}" name="Table7" displayName="Table7" ref="B1:I2002" totalsRowShown="0" headerRowDxfId="21" dataDxfId="20">
  <autoFilter ref="B1:I2002" xr:uid="{B172E3AE-BE5D-42BE-BC84-C2EAFF323D43}"/>
  <sortState ref="B2:J2002">
    <sortCondition ref="C9:C2010"/>
  </sortState>
  <tableColumns count="8">
    <tableColumn id="1" xr3:uid="{52E01F7E-D44C-4B67-B401-52E4BD9C3D53}" name="CODE" dataDxfId="26"/>
    <tableColumn id="2" xr3:uid="{2145A118-5962-440E-AA45-1BCA776ABFEF}" name="COMPANY" dataDxfId="16"/>
    <tableColumn id="3" xr3:uid="{601DA3E8-02A1-4068-A624-EB23BED6B0C4}" name="ADDRESS" dataDxfId="14"/>
    <tableColumn id="8" xr3:uid="{178D5A2C-C492-45AA-9D5D-A4C68BAAC1D0}" name="CITY/STATE" dataDxfId="15"/>
    <tableColumn id="4" xr3:uid="{562AFDEC-3ECA-42AA-AB10-4E49CD737230}" name="EXPIRY DATE" dataDxfId="25"/>
    <tableColumn id="6" xr3:uid="{FE570BE3-B075-405A-80E4-0A291334303D}" name="MONTH" dataDxfId="24"/>
    <tableColumn id="7" xr3:uid="{11EAD00F-D30F-41AD-B1DF-DC029D61B98B}" name="YEAR" dataDxfId="23">
      <calculatedColumnFormula>TEXT(Table7[[#This Row],[EXPIRY DATE]],"YYY")</calculatedColumnFormula>
    </tableColumn>
    <tableColumn id="5" xr3:uid="{BEAAB685-DA56-4BC3-A8C4-A73FE8AA34B1}" name="LICENSE TYPE" dataDxfId="22"/>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22ADBC-3A34-45BE-9DB0-239BE226A1D2}" name="Table1" displayName="Table1" ref="A1:A2002" totalsRowShown="0" headerRowDxfId="18" dataDxfId="17" tableBorderDxfId="27">
  <autoFilter ref="A1:A2002" xr:uid="{6774A524-B031-4191-AE45-732FB4733361}"/>
  <tableColumns count="1">
    <tableColumn id="1" xr3:uid="{B028E67B-78E2-47B9-A196-BDC80A071FB0}" name="SR.NO" dataDxfId="19"/>
  </tableColumns>
  <tableStyleInfo name="TableStyleLight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20593B2-AD95-4C64-8CAE-A06670364955}" name="Table5" displayName="Table5" ref="A1:A77" totalsRowShown="0" headerRowDxfId="9" dataDxfId="8" headerRowBorderDxfId="12" tableBorderDxfId="13" totalsRowBorderDxfId="11">
  <autoFilter ref="A1:A77" xr:uid="{0E8B92E5-BDA8-4EEC-A42A-8B2563769332}"/>
  <tableColumns count="1">
    <tableColumn id="1" xr3:uid="{121578C8-0AA6-46A6-ACBA-A40E29381E56}" name="COMPANY" dataDxfId="10"/>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B27545B-0977-4539-B6EB-66A96D3EAEEA}" name="Table3" displayName="Table3" ref="D1:D91" totalsRowShown="0" headerRowDxfId="3" dataDxfId="2" headerRowBorderDxfId="6" tableBorderDxfId="7" totalsRowBorderDxfId="5">
  <autoFilter ref="D1:D91" xr:uid="{EB4BF725-5DCF-4224-B499-D33774A6F85B}"/>
  <tableColumns count="1">
    <tableColumn id="1" xr3:uid="{8E8103E6-D30C-4B82-B47B-51490534E9F1}" name="APP TYPE" dataDxfId="4"/>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4373003-4CEF-40AC-BDA1-C396B739FE17}" name="Table6" displayName="Table6" ref="F1:G8" totalsRowShown="0">
  <autoFilter ref="F1:G8" xr:uid="{6BE452F1-B139-4FE2-89EA-5CAB2AE1B5E7}"/>
  <tableColumns count="2">
    <tableColumn id="1" xr3:uid="{23596EE8-F415-4596-BB60-8B07F8C954E2}" name="STATUS"/>
    <tableColumn id="2" xr3:uid="{49B092A6-D641-4DA2-95E5-421E95295848}" name="colour"/>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oaonline.gov.in/Public/Login?_d=LEM&amp;_s=LEM3701" TargetMode="External"/><Relationship Id="rId13" Type="http://schemas.openxmlformats.org/officeDocument/2006/relationships/hyperlink" Target="https://serviceonline.gov.in/viewServiceApplicationForm.do?serviceId=5280001&amp;tempId=1583&amp;templStatus=243&amp;state=10&amp;backButtonUrl=&amp;OWASP_CSRFTOKEN=0H3H-DE0Y-7O94-35J7-NZ85-05DF-G9GZ-4P2J" TargetMode="External"/><Relationship Id="rId18" Type="http://schemas.openxmlformats.org/officeDocument/2006/relationships/hyperlink" Target="https://niveshmitra.up.nic.in/" TargetMode="External"/><Relationship Id="rId26" Type="http://schemas.openxmlformats.org/officeDocument/2006/relationships/hyperlink" Target="https://labourcommissioner.assam.gov.in/" TargetMode="External"/><Relationship Id="rId3" Type="http://schemas.openxmlformats.org/officeDocument/2006/relationships/hyperlink" Target="http://164.100.133.176/ekarmika/Static/Home.aspx" TargetMode="External"/><Relationship Id="rId21" Type="http://schemas.openxmlformats.org/officeDocument/2006/relationships/hyperlink" Target="https://ldms.rajasthan.gov.in/LDMS/RegistrationAmendment/AddShopAndCommercialReg.aspx?id=1" TargetMode="External"/><Relationship Id="rId7" Type="http://schemas.openxmlformats.org/officeDocument/2006/relationships/hyperlink" Target="mailto:Vashi@703" TargetMode="External"/><Relationship Id="rId12" Type="http://schemas.openxmlformats.org/officeDocument/2006/relationships/hyperlink" Target="https://loe.py.gov.in/sinjsp.do" TargetMode="External"/><Relationship Id="rId17" Type="http://schemas.openxmlformats.org/officeDocument/2006/relationships/hyperlink" Target="https://onlineap.meeseva.gov.in/CitizenPortal/UserInterface/Citizen/CitizenHome.aspx" TargetMode="External"/><Relationship Id="rId25" Type="http://schemas.openxmlformats.org/officeDocument/2006/relationships/hyperlink" Target="https://shramsuvidha.tripura.gov.in/Labour/User/frmAddPersonal.aspx" TargetMode="External"/><Relationship Id="rId2" Type="http://schemas.openxmlformats.org/officeDocument/2006/relationships/hyperlink" Target="https://maitri.mahaonline.gov.in/Login/Login" TargetMode="External"/><Relationship Id="rId16" Type="http://schemas.openxmlformats.org/officeDocument/2006/relationships/hyperlink" Target="https://goaonline.gov.in/Public/Login?_d=LEM&amp;_s=LEM3701" TargetMode="External"/><Relationship Id="rId20" Type="http://schemas.openxmlformats.org/officeDocument/2006/relationships/hyperlink" Target="https://wbshopsonline.gov.in/" TargetMode="External"/><Relationship Id="rId1" Type="http://schemas.openxmlformats.org/officeDocument/2006/relationships/hyperlink" Target="https://portal.mcgm.gov.in/irj/portal/anonymous/qlsaeoService" TargetMode="External"/><Relationship Id="rId6" Type="http://schemas.openxmlformats.org/officeDocument/2006/relationships/hyperlink" Target="mailto:Vashi@703" TargetMode="External"/><Relationship Id="rId11" Type="http://schemas.openxmlformats.org/officeDocument/2006/relationships/hyperlink" Target="http://andssw1.and.nic.in/labour/registration/registration.php" TargetMode="External"/><Relationship Id="rId24" Type="http://schemas.openxmlformats.org/officeDocument/2006/relationships/hyperlink" Target="http://www.labour.sikkim.gov.in/ActsDetails?&amp;menuid=5" TargetMode="External"/><Relationship Id="rId5" Type="http://schemas.openxmlformats.org/officeDocument/2006/relationships/hyperlink" Target="mailto:CLAINTCOMPLIANCEII@GMAIL.COM" TargetMode="External"/><Relationship Id="rId15" Type="http://schemas.openxmlformats.org/officeDocument/2006/relationships/hyperlink" Target="https://eodbmizoram.gov.in/labour-skill-development-and-entreprenuership/online-services" TargetMode="External"/><Relationship Id="rId23" Type="http://schemas.openxmlformats.org/officeDocument/2006/relationships/hyperlink" Target="https://pareshram-labour.odisha.gov.in/pareshram/login" TargetMode="External"/><Relationship Id="rId10" Type="http://schemas.openxmlformats.org/officeDocument/2006/relationships/hyperlink" Target="https://loe.py.gov.in/sinjsp.do" TargetMode="External"/><Relationship Id="rId19" Type="http://schemas.openxmlformats.org/officeDocument/2006/relationships/hyperlink" Target="https://uklabouracts.in/" TargetMode="External"/><Relationship Id="rId4" Type="http://schemas.openxmlformats.org/officeDocument/2006/relationships/hyperlink" Target="http://www.rmc.gov.in/rmcwebsite/frm_shop_registration.aspx" TargetMode="External"/><Relationship Id="rId9" Type="http://schemas.openxmlformats.org/officeDocument/2006/relationships/hyperlink" Target="https://cglabour.nic.in/ShramAyukt/EODSERVICES.aspx?ID=10" TargetMode="External"/><Relationship Id="rId14" Type="http://schemas.openxmlformats.org/officeDocument/2006/relationships/hyperlink" Target="https://www.shopandlabour.com/form/shop-act-shop-licence-registraion" TargetMode="External"/><Relationship Id="rId22" Type="http://schemas.openxmlformats.org/officeDocument/2006/relationships/hyperlink" Target="http://labour.hp.gov.in/Default.aspx"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suratmunicipal.gov.in/" TargetMode="External"/><Relationship Id="rId13" Type="http://schemas.openxmlformats.org/officeDocument/2006/relationships/hyperlink" Target="https://pdymun.in/" TargetMode="External"/><Relationship Id="rId18" Type="http://schemas.openxmlformats.org/officeDocument/2006/relationships/hyperlink" Target="https://e-nagarsewaup.gov.in/ulbappsmain/home" TargetMode="External"/><Relationship Id="rId26" Type="http://schemas.openxmlformats.org/officeDocument/2006/relationships/hyperlink" Target="https://amcservices.agartalasmartcityservices.in/amc/" TargetMode="External"/><Relationship Id="rId3" Type="http://schemas.openxmlformats.org/officeDocument/2006/relationships/hyperlink" Target="https://www.mbmc.gov.in/" TargetMode="External"/><Relationship Id="rId21" Type="http://schemas.openxmlformats.org/officeDocument/2006/relationships/hyperlink" Target="https://www.kmcgov.in/KMCPortal/jsp/KMCPortalHome1.jsp" TargetMode="External"/><Relationship Id="rId7" Type="http://schemas.openxmlformats.org/officeDocument/2006/relationships/hyperlink" Target="https://gmc.assam.gov.in/" TargetMode="External"/><Relationship Id="rId12" Type="http://schemas.openxmlformats.org/officeDocument/2006/relationships/hyperlink" Target="https://ahmedabadcity.gov.in/" TargetMode="External"/><Relationship Id="rId17" Type="http://schemas.openxmlformats.org/officeDocument/2006/relationships/hyperlink" Target="https://www.ghmc.gov.in/" TargetMode="External"/><Relationship Id="rId25" Type="http://schemas.openxmlformats.org/officeDocument/2006/relationships/hyperlink" Target="https://mysurucitycorporation.co.in/WebSiteMysuru/PropertySearch.aspx" TargetMode="External"/><Relationship Id="rId2" Type="http://schemas.openxmlformats.org/officeDocument/2006/relationships/hyperlink" Target="https://kdmc.gov.in/kdmc/CitizenHome.html" TargetMode="External"/><Relationship Id="rId16" Type="http://schemas.openxmlformats.org/officeDocument/2006/relationships/hyperlink" Target="https://ksmart.lsgkerala.gov.in/ui/web-portal" TargetMode="External"/><Relationship Id="rId20" Type="http://schemas.openxmlformats.org/officeDocument/2006/relationships/hyperlink" Target="https://mczirakpur.org/" TargetMode="External"/><Relationship Id="rId1" Type="http://schemas.openxmlformats.org/officeDocument/2006/relationships/hyperlink" Target="https://thanecity.gov.in/tmc/CitizenHome.html" TargetMode="External"/><Relationship Id="rId6" Type="http://schemas.openxmlformats.org/officeDocument/2006/relationships/hyperlink" Target="https://umc.gov.in/" TargetMode="External"/><Relationship Id="rId11" Type="http://schemas.openxmlformats.org/officeDocument/2006/relationships/hyperlink" Target="https://www.nmmc.gov.in/" TargetMode="External"/><Relationship Id="rId24" Type="http://schemas.openxmlformats.org/officeDocument/2006/relationships/hyperlink" Target="https://mcdonline.nic.in/portal" TargetMode="External"/><Relationship Id="rId5" Type="http://schemas.openxmlformats.org/officeDocument/2006/relationships/hyperlink" Target="https://www.panvelcorporation.com/" TargetMode="External"/><Relationship Id="rId15" Type="http://schemas.openxmlformats.org/officeDocument/2006/relationships/hyperlink" Target="https://www.mpenagarpalika.gov.in/irj/portal/anonymous" TargetMode="External"/><Relationship Id="rId23" Type="http://schemas.openxmlformats.org/officeDocument/2006/relationships/hyperlink" Target="https://www.ranchimunicipal.com/" TargetMode="External"/><Relationship Id="rId10" Type="http://schemas.openxmlformats.org/officeDocument/2006/relationships/hyperlink" Target="https://vmc.gov.in/" TargetMode="External"/><Relationship Id="rId19" Type="http://schemas.openxmlformats.org/officeDocument/2006/relationships/hyperlink" Target="https://mcludhiana.gov.in/Services.aspx?Id=5Uyn39EsyvIMvRPHlKP4Fg%3d%3d" TargetMode="External"/><Relationship Id="rId4" Type="http://schemas.openxmlformats.org/officeDocument/2006/relationships/hyperlink" Target="https://vvcmc.in/" TargetMode="External"/><Relationship Id="rId9" Type="http://schemas.openxmlformats.org/officeDocument/2006/relationships/hyperlink" Target="https://gandhinagarmunicipal.com/" TargetMode="External"/><Relationship Id="rId14" Type="http://schemas.openxmlformats.org/officeDocument/2006/relationships/hyperlink" Target="https://bbmp.gov.in/home" TargetMode="External"/><Relationship Id="rId22" Type="http://schemas.openxmlformats.org/officeDocument/2006/relationships/hyperlink" Target="https://www.bhubaneswar.me/" TargetMode="External"/><Relationship Id="rId27" Type="http://schemas.openxmlformats.org/officeDocument/2006/relationships/hyperlink" Target="https://edistrict.wb.gov.in/portal/home"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5" Type="http://schemas.openxmlformats.org/officeDocument/2006/relationships/comments" Target="../comments2.xml"/><Relationship Id="rId4"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8D0D3-1304-4975-8F06-B5B429E11C8D}">
  <dimension ref="A1:F44"/>
  <sheetViews>
    <sheetView workbookViewId="0">
      <selection activeCell="H4" sqref="H4"/>
    </sheetView>
  </sheetViews>
  <sheetFormatPr defaultRowHeight="14.4" x14ac:dyDescent="0.3"/>
  <cols>
    <col min="1" max="1" width="6.88671875" bestFit="1" customWidth="1"/>
  </cols>
  <sheetData>
    <row r="1" spans="1:6" ht="18" x14ac:dyDescent="0.3">
      <c r="A1" s="4"/>
      <c r="B1" s="5"/>
      <c r="C1" s="5"/>
      <c r="D1" s="5"/>
      <c r="E1" s="5"/>
      <c r="F1" s="6"/>
    </row>
    <row r="3" spans="1:6" ht="27.6" x14ac:dyDescent="0.3">
      <c r="A3" s="1" t="s">
        <v>0</v>
      </c>
      <c r="B3" s="1" t="s">
        <v>1</v>
      </c>
      <c r="C3" s="1" t="s">
        <v>2</v>
      </c>
      <c r="D3" s="1" t="s">
        <v>3</v>
      </c>
      <c r="E3" s="1" t="s">
        <v>4</v>
      </c>
      <c r="F3" s="1" t="s">
        <v>5</v>
      </c>
    </row>
    <row r="4" spans="1:6" ht="96.6" x14ac:dyDescent="0.3">
      <c r="A4" s="1">
        <v>1</v>
      </c>
      <c r="B4" s="1" t="s">
        <v>6</v>
      </c>
      <c r="C4" s="3" t="s">
        <v>7</v>
      </c>
      <c r="D4" s="1" t="s">
        <v>8</v>
      </c>
      <c r="E4" s="1"/>
      <c r="F4" s="1"/>
    </row>
    <row r="5" spans="1:6" ht="110.4" x14ac:dyDescent="0.3">
      <c r="A5" s="1"/>
      <c r="B5" s="1" t="s">
        <v>9</v>
      </c>
      <c r="C5" s="3" t="s">
        <v>10</v>
      </c>
      <c r="D5" s="1" t="s">
        <v>11</v>
      </c>
      <c r="E5" s="1"/>
      <c r="F5" s="1"/>
    </row>
    <row r="6" spans="1:6" ht="82.8" x14ac:dyDescent="0.3">
      <c r="A6" s="1">
        <v>2</v>
      </c>
      <c r="B6" s="1" t="s">
        <v>12</v>
      </c>
      <c r="C6" s="3" t="s">
        <v>13</v>
      </c>
      <c r="D6" s="1"/>
      <c r="E6" s="1"/>
      <c r="F6" s="1"/>
    </row>
    <row r="7" spans="1:6" ht="41.4" x14ac:dyDescent="0.3">
      <c r="A7" s="1">
        <v>3</v>
      </c>
      <c r="B7" s="1" t="s">
        <v>14</v>
      </c>
      <c r="C7" s="1" t="s">
        <v>15</v>
      </c>
      <c r="D7" s="1"/>
      <c r="E7" s="1"/>
      <c r="F7" s="1"/>
    </row>
    <row r="8" spans="1:6" ht="110.4" x14ac:dyDescent="0.3">
      <c r="A8" s="1">
        <v>4</v>
      </c>
      <c r="B8" s="1" t="s">
        <v>16</v>
      </c>
      <c r="C8" s="1" t="s">
        <v>17</v>
      </c>
      <c r="D8" s="1"/>
      <c r="E8" s="1"/>
      <c r="F8" s="1"/>
    </row>
    <row r="9" spans="1:6" ht="144" x14ac:dyDescent="0.3">
      <c r="A9" s="1">
        <v>5</v>
      </c>
      <c r="B9" s="1" t="s">
        <v>18</v>
      </c>
      <c r="C9" s="2" t="s">
        <v>19</v>
      </c>
      <c r="D9" s="1"/>
      <c r="E9" s="1"/>
      <c r="F9" s="1"/>
    </row>
    <row r="10" spans="1:6" ht="57.6" x14ac:dyDescent="0.3">
      <c r="A10" s="1">
        <v>6</v>
      </c>
      <c r="B10" s="1" t="s">
        <v>20</v>
      </c>
      <c r="C10" s="2" t="s">
        <v>21</v>
      </c>
      <c r="D10" s="1"/>
      <c r="E10" s="1"/>
      <c r="F10" s="1"/>
    </row>
    <row r="11" spans="1:6" ht="110.4" x14ac:dyDescent="0.3">
      <c r="A11" s="1">
        <v>7</v>
      </c>
      <c r="B11" s="1" t="s">
        <v>22</v>
      </c>
      <c r="C11" s="1" t="s">
        <v>23</v>
      </c>
      <c r="D11" s="1" t="s">
        <v>24</v>
      </c>
      <c r="E11" s="1"/>
      <c r="F11" s="1"/>
    </row>
    <row r="12" spans="1:6" ht="69" x14ac:dyDescent="0.3">
      <c r="A12" s="1">
        <v>8</v>
      </c>
      <c r="B12" s="1" t="s">
        <v>25</v>
      </c>
      <c r="C12" s="1" t="s">
        <v>26</v>
      </c>
      <c r="D12" s="1" t="s">
        <v>24</v>
      </c>
      <c r="E12" s="1"/>
      <c r="F12" s="1"/>
    </row>
    <row r="13" spans="1:6" ht="27.6" x14ac:dyDescent="0.3">
      <c r="A13" s="1">
        <v>9</v>
      </c>
      <c r="B13" s="1" t="s">
        <v>27</v>
      </c>
      <c r="C13" s="1" t="s">
        <v>28</v>
      </c>
      <c r="D13" s="1" t="s">
        <v>29</v>
      </c>
      <c r="E13" s="1"/>
      <c r="F13" s="1"/>
    </row>
    <row r="14" spans="1:6" ht="27.6" x14ac:dyDescent="0.3">
      <c r="A14" s="1"/>
      <c r="B14" s="1" t="s">
        <v>30</v>
      </c>
      <c r="C14" s="1" t="s">
        <v>28</v>
      </c>
      <c r="D14" s="1" t="s">
        <v>29</v>
      </c>
      <c r="E14" s="1"/>
      <c r="F14" s="1"/>
    </row>
    <row r="15" spans="1:6" ht="110.4" x14ac:dyDescent="0.3">
      <c r="A15" s="1"/>
      <c r="B15" s="1" t="s">
        <v>31</v>
      </c>
      <c r="C15" s="1" t="s">
        <v>32</v>
      </c>
      <c r="D15" s="1" t="s">
        <v>29</v>
      </c>
      <c r="E15" s="1"/>
      <c r="F15" s="1"/>
    </row>
    <row r="16" spans="1:6" ht="27.6" x14ac:dyDescent="0.3">
      <c r="A16" s="1"/>
      <c r="B16" s="1" t="s">
        <v>33</v>
      </c>
      <c r="C16" s="1" t="s">
        <v>28</v>
      </c>
      <c r="D16" s="1" t="s">
        <v>29</v>
      </c>
      <c r="E16" s="1"/>
      <c r="F16" s="1"/>
    </row>
    <row r="17" spans="1:6" ht="96.6" x14ac:dyDescent="0.3">
      <c r="A17" s="1"/>
      <c r="B17" s="1" t="s">
        <v>34</v>
      </c>
      <c r="C17" s="3" t="s">
        <v>35</v>
      </c>
      <c r="D17" s="1" t="s">
        <v>29</v>
      </c>
      <c r="E17" s="1"/>
      <c r="F17" s="1"/>
    </row>
    <row r="18" spans="1:6" ht="172.8" x14ac:dyDescent="0.3">
      <c r="A18" s="1">
        <v>10</v>
      </c>
      <c r="B18" s="1" t="s">
        <v>36</v>
      </c>
      <c r="C18" s="2" t="s">
        <v>37</v>
      </c>
      <c r="D18" s="1" t="s">
        <v>38</v>
      </c>
      <c r="E18" s="2" t="s">
        <v>39</v>
      </c>
      <c r="F18" s="2" t="s">
        <v>40</v>
      </c>
    </row>
    <row r="19" spans="1:6" ht="151.80000000000001" x14ac:dyDescent="0.3">
      <c r="A19" s="1">
        <v>11</v>
      </c>
      <c r="B19" s="1" t="s">
        <v>41</v>
      </c>
      <c r="C19" s="1" t="s">
        <v>37</v>
      </c>
      <c r="D19" s="1"/>
      <c r="E19" s="1"/>
      <c r="F19" s="1"/>
    </row>
    <row r="20" spans="1:6" ht="57.6" x14ac:dyDescent="0.3">
      <c r="A20" s="1">
        <v>12</v>
      </c>
      <c r="B20" s="1" t="s">
        <v>42</v>
      </c>
      <c r="C20" s="2" t="s">
        <v>43</v>
      </c>
      <c r="D20" s="1"/>
      <c r="E20" s="1"/>
      <c r="F20" s="1"/>
    </row>
    <row r="21" spans="1:6" ht="69" x14ac:dyDescent="0.3">
      <c r="A21" s="1">
        <v>13</v>
      </c>
      <c r="B21" s="1" t="s">
        <v>44</v>
      </c>
      <c r="C21" s="1" t="s">
        <v>45</v>
      </c>
      <c r="D21" s="1"/>
      <c r="E21" s="1"/>
      <c r="F21" s="1"/>
    </row>
    <row r="22" spans="1:6" ht="41.4" x14ac:dyDescent="0.3">
      <c r="A22" s="1">
        <v>14</v>
      </c>
      <c r="B22" s="1" t="s">
        <v>46</v>
      </c>
      <c r="C22" s="1" t="s">
        <v>47</v>
      </c>
      <c r="D22" s="1"/>
      <c r="E22" s="1"/>
      <c r="F22" s="1"/>
    </row>
    <row r="23" spans="1:6" ht="57.6" x14ac:dyDescent="0.3">
      <c r="A23" s="1">
        <v>15</v>
      </c>
      <c r="B23" s="1" t="s">
        <v>48</v>
      </c>
      <c r="C23" s="2" t="s">
        <v>49</v>
      </c>
      <c r="D23" s="1"/>
      <c r="E23" s="1">
        <v>8657075171</v>
      </c>
      <c r="F23" s="2" t="s">
        <v>40</v>
      </c>
    </row>
    <row r="24" spans="1:6" ht="69" x14ac:dyDescent="0.3">
      <c r="A24" s="1">
        <v>16</v>
      </c>
      <c r="B24" s="1" t="s">
        <v>50</v>
      </c>
      <c r="C24" s="1" t="s">
        <v>51</v>
      </c>
      <c r="D24" s="1"/>
      <c r="E24" s="1"/>
      <c r="F24" s="1"/>
    </row>
    <row r="25" spans="1:6" ht="374.4" x14ac:dyDescent="0.3">
      <c r="A25" s="1">
        <v>17</v>
      </c>
      <c r="B25" s="1" t="s">
        <v>52</v>
      </c>
      <c r="C25" s="2" t="s">
        <v>53</v>
      </c>
      <c r="D25" s="1"/>
      <c r="E25" s="1"/>
      <c r="F25" s="1"/>
    </row>
    <row r="26" spans="1:6" ht="129.6" x14ac:dyDescent="0.3">
      <c r="A26" s="1">
        <v>18</v>
      </c>
      <c r="B26" s="1" t="s">
        <v>54</v>
      </c>
      <c r="C26" s="2" t="s">
        <v>55</v>
      </c>
      <c r="D26" s="1"/>
      <c r="E26" s="1"/>
      <c r="F26" s="1"/>
    </row>
    <row r="27" spans="1:6" ht="138" x14ac:dyDescent="0.3">
      <c r="A27" s="1">
        <v>19</v>
      </c>
      <c r="B27" s="1" t="s">
        <v>56</v>
      </c>
      <c r="C27" s="2" t="s">
        <v>57</v>
      </c>
      <c r="D27" s="1" t="s">
        <v>58</v>
      </c>
      <c r="E27" s="1"/>
      <c r="F27" s="1"/>
    </row>
    <row r="28" spans="1:6" ht="100.8" x14ac:dyDescent="0.3">
      <c r="A28" s="1">
        <v>20</v>
      </c>
      <c r="B28" s="1" t="s">
        <v>59</v>
      </c>
      <c r="C28" s="2" t="s">
        <v>60</v>
      </c>
      <c r="D28" s="1"/>
      <c r="E28" s="1"/>
      <c r="F28" s="1"/>
    </row>
    <row r="29" spans="1:6" ht="100.8" x14ac:dyDescent="0.3">
      <c r="A29" s="1">
        <v>21</v>
      </c>
      <c r="B29" s="1" t="s">
        <v>61</v>
      </c>
      <c r="C29" s="2" t="s">
        <v>62</v>
      </c>
      <c r="D29" s="1"/>
      <c r="E29" s="1"/>
      <c r="F29" s="1"/>
    </row>
    <row r="30" spans="1:6" ht="69" x14ac:dyDescent="0.3">
      <c r="A30" s="1">
        <v>22</v>
      </c>
      <c r="B30" s="1" t="s">
        <v>63</v>
      </c>
      <c r="C30" s="1" t="s">
        <v>64</v>
      </c>
      <c r="D30" s="1"/>
      <c r="E30" s="1"/>
      <c r="F30" s="1"/>
    </row>
    <row r="31" spans="1:6" ht="100.8" x14ac:dyDescent="0.3">
      <c r="A31" s="1">
        <v>2</v>
      </c>
      <c r="B31" s="1" t="s">
        <v>65</v>
      </c>
      <c r="C31" s="2" t="s">
        <v>66</v>
      </c>
      <c r="D31" s="1"/>
      <c r="E31" s="1"/>
      <c r="F31" s="1"/>
    </row>
    <row r="32" spans="1:6" ht="165.6" x14ac:dyDescent="0.3">
      <c r="A32" s="1">
        <v>24</v>
      </c>
      <c r="B32" s="1" t="s">
        <v>67</v>
      </c>
      <c r="C32" s="1" t="s">
        <v>68</v>
      </c>
      <c r="D32" s="1" t="s">
        <v>69</v>
      </c>
      <c r="E32" s="1"/>
      <c r="F32" s="1"/>
    </row>
    <row r="33" spans="1:6" ht="55.2" x14ac:dyDescent="0.3">
      <c r="A33" s="1">
        <v>25</v>
      </c>
      <c r="B33" s="1" t="s">
        <v>70</v>
      </c>
      <c r="C33" s="1" t="s">
        <v>71</v>
      </c>
      <c r="D33" s="1"/>
      <c r="E33" s="1"/>
      <c r="F33" s="1"/>
    </row>
    <row r="34" spans="1:6" ht="158.4" x14ac:dyDescent="0.3">
      <c r="A34" s="1">
        <v>26</v>
      </c>
      <c r="B34" s="1" t="s">
        <v>72</v>
      </c>
      <c r="C34" s="2" t="s">
        <v>73</v>
      </c>
      <c r="D34" s="1"/>
      <c r="E34" s="1"/>
      <c r="F34" s="1"/>
    </row>
    <row r="35" spans="1:6" ht="27.6" x14ac:dyDescent="0.3">
      <c r="A35" s="1">
        <v>27</v>
      </c>
      <c r="B35" s="1" t="s">
        <v>74</v>
      </c>
      <c r="C35" s="1" t="s">
        <v>28</v>
      </c>
      <c r="D35" s="1"/>
      <c r="E35" s="1"/>
      <c r="F35" s="1"/>
    </row>
    <row r="36" spans="1:6" ht="86.4" x14ac:dyDescent="0.3">
      <c r="A36" s="1">
        <v>28</v>
      </c>
      <c r="B36" s="1" t="s">
        <v>75</v>
      </c>
      <c r="C36" s="2" t="s">
        <v>76</v>
      </c>
      <c r="D36" s="1"/>
      <c r="E36" s="1"/>
      <c r="F36" s="1"/>
    </row>
    <row r="37" spans="1:6" ht="100.8" x14ac:dyDescent="0.3">
      <c r="A37" s="1">
        <v>29</v>
      </c>
      <c r="B37" s="1" t="s">
        <v>77</v>
      </c>
      <c r="C37" s="2" t="s">
        <v>78</v>
      </c>
      <c r="D37" s="1"/>
      <c r="E37" s="1"/>
      <c r="F37" s="1"/>
    </row>
    <row r="38" spans="1:6" ht="115.2" x14ac:dyDescent="0.3">
      <c r="A38" s="1">
        <v>30</v>
      </c>
      <c r="B38" s="1" t="s">
        <v>79</v>
      </c>
      <c r="C38" s="2" t="s">
        <v>80</v>
      </c>
      <c r="D38" s="1" t="s">
        <v>81</v>
      </c>
      <c r="E38" s="1"/>
      <c r="F38" s="1"/>
    </row>
    <row r="39" spans="1:6" ht="100.8" x14ac:dyDescent="0.3">
      <c r="A39" s="1">
        <v>31</v>
      </c>
      <c r="B39" s="1" t="s">
        <v>82</v>
      </c>
      <c r="C39" s="2" t="s">
        <v>83</v>
      </c>
      <c r="D39" s="1"/>
      <c r="E39" s="1"/>
      <c r="F39" s="1"/>
    </row>
    <row r="40" spans="1:6" ht="41.4" x14ac:dyDescent="0.3">
      <c r="A40" s="1">
        <v>32</v>
      </c>
      <c r="B40" s="1" t="s">
        <v>84</v>
      </c>
      <c r="C40" s="1" t="s">
        <v>28</v>
      </c>
      <c r="D40" s="1"/>
      <c r="E40" s="1"/>
      <c r="F40" s="1"/>
    </row>
    <row r="41" spans="1:6" ht="27.6" x14ac:dyDescent="0.3">
      <c r="A41" s="1">
        <v>33</v>
      </c>
      <c r="B41" s="1" t="s">
        <v>85</v>
      </c>
      <c r="C41" s="2" t="s">
        <v>81</v>
      </c>
      <c r="D41" s="1"/>
      <c r="E41" s="1"/>
      <c r="F41" s="1"/>
    </row>
    <row r="42" spans="1:6" ht="57.6" x14ac:dyDescent="0.3">
      <c r="A42" s="1">
        <v>34</v>
      </c>
      <c r="B42" s="1" t="s">
        <v>86</v>
      </c>
      <c r="C42" s="2" t="s">
        <v>87</v>
      </c>
      <c r="D42" s="1"/>
      <c r="E42" s="1"/>
      <c r="F42" s="1"/>
    </row>
    <row r="43" spans="1:6" ht="72" x14ac:dyDescent="0.3">
      <c r="A43" s="1">
        <v>35</v>
      </c>
      <c r="B43" s="1" t="s">
        <v>88</v>
      </c>
      <c r="C43" s="2" t="s">
        <v>89</v>
      </c>
      <c r="D43" s="1"/>
      <c r="E43" s="1"/>
      <c r="F43" s="1"/>
    </row>
    <row r="44" spans="1:6" ht="100.8" x14ac:dyDescent="0.3">
      <c r="A44" s="1">
        <v>36</v>
      </c>
      <c r="B44" s="1" t="s">
        <v>90</v>
      </c>
      <c r="C44" s="2" t="s">
        <v>60</v>
      </c>
      <c r="D44" s="1"/>
      <c r="E44" s="1"/>
      <c r="F44" s="1"/>
    </row>
  </sheetData>
  <hyperlinks>
    <hyperlink ref="C4" r:id="rId1" xr:uid="{00000000-0004-0000-0000-000000000000}"/>
    <hyperlink ref="C5" r:id="rId2" xr:uid="{00000000-0004-0000-0000-000001000000}"/>
    <hyperlink ref="C6" r:id="rId3" xr:uid="{00000000-0004-0000-0000-000002000000}"/>
    <hyperlink ref="C17" r:id="rId4" xr:uid="{00000000-0004-0000-0000-000003000000}"/>
    <hyperlink ref="E18" r:id="rId5" display="CLAINTCOMPLIANCEII@GMAIL.COM" xr:uid="{00000000-0004-0000-0000-000004000000}"/>
    <hyperlink ref="F18" r:id="rId6" xr:uid="{00000000-0004-0000-0000-000005000000}"/>
    <hyperlink ref="F23" r:id="rId7" xr:uid="{00000000-0004-0000-0000-000006000000}"/>
    <hyperlink ref="C28" r:id="rId8" xr:uid="{00000000-0004-0000-0000-000007000000}"/>
    <hyperlink ref="C29" r:id="rId9" xr:uid="{00000000-0004-0000-0000-000008000000}"/>
    <hyperlink ref="C41" r:id="rId10" display="https://loe.py.gov.in/sinjsp.do" xr:uid="{00000000-0004-0000-0000-000009000000}"/>
    <hyperlink ref="C39" r:id="rId11" xr:uid="{00000000-0004-0000-0000-00000A000000}"/>
    <hyperlink ref="C42" r:id="rId12" xr:uid="{00000000-0004-0000-0000-00000B000000}"/>
    <hyperlink ref="C25" r:id="rId13" xr:uid="{00000000-0004-0000-0000-00000C000000}"/>
    <hyperlink ref="C26" r:id="rId14" xr:uid="{00000000-0004-0000-0000-00000D000000}"/>
    <hyperlink ref="C34" r:id="rId15" xr:uid="{00000000-0004-0000-0000-00000E000000}"/>
    <hyperlink ref="C44" r:id="rId16" xr:uid="{00000000-0004-0000-0000-00000F000000}"/>
    <hyperlink ref="C9" r:id="rId17" xr:uid="{00000000-0004-0000-0000-000010000000}"/>
    <hyperlink ref="C20" r:id="rId18" xr:uid="{00000000-0004-0000-0000-000011000000}"/>
    <hyperlink ref="C27" r:id="rId19" xr:uid="{00000000-0004-0000-0000-000012000000}"/>
    <hyperlink ref="C10" r:id="rId20" xr:uid="{00000000-0004-0000-0000-000014000000}"/>
    <hyperlink ref="C18" r:id="rId21" xr:uid="{00000000-0004-0000-0000-000015000000}"/>
    <hyperlink ref="C23" r:id="rId22" xr:uid="{00000000-0004-0000-0000-000016000000}"/>
    <hyperlink ref="C36" r:id="rId23" xr:uid="{00000000-0004-0000-0000-000017000000}"/>
    <hyperlink ref="C37" r:id="rId24" xr:uid="{00000000-0004-0000-0000-000018000000}"/>
    <hyperlink ref="C38" r:id="rId25" xr:uid="{00000000-0004-0000-0000-000019000000}"/>
    <hyperlink ref="C43" r:id="rId26" xr:uid="{00000000-0004-0000-0000-00001A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7076-F9B5-489B-969C-89839373C33F}">
  <dimension ref="A1:D51"/>
  <sheetViews>
    <sheetView workbookViewId="0">
      <selection activeCell="G2" sqref="G2"/>
    </sheetView>
  </sheetViews>
  <sheetFormatPr defaultRowHeight="14.4" x14ac:dyDescent="0.3"/>
  <cols>
    <col min="2" max="2" width="6.6640625" bestFit="1" customWidth="1"/>
  </cols>
  <sheetData>
    <row r="1" spans="1:4" ht="52.8" x14ac:dyDescent="0.3">
      <c r="A1" s="13" t="s">
        <v>0</v>
      </c>
      <c r="B1" s="13" t="s">
        <v>1</v>
      </c>
      <c r="C1" s="13" t="s">
        <v>91</v>
      </c>
      <c r="D1" s="20" t="s">
        <v>92</v>
      </c>
    </row>
    <row r="2" spans="1:4" ht="51" x14ac:dyDescent="0.3">
      <c r="A2" s="15">
        <v>1</v>
      </c>
      <c r="B2" s="16"/>
      <c r="C2" s="15" t="s">
        <v>93</v>
      </c>
      <c r="D2" s="12" t="s">
        <v>94</v>
      </c>
    </row>
    <row r="3" spans="1:4" ht="69" x14ac:dyDescent="0.3">
      <c r="A3" s="15">
        <v>2</v>
      </c>
      <c r="B3" s="15"/>
      <c r="C3" s="15" t="s">
        <v>95</v>
      </c>
      <c r="D3" s="12" t="s">
        <v>96</v>
      </c>
    </row>
    <row r="4" spans="1:4" ht="69" x14ac:dyDescent="0.3">
      <c r="A4" s="15">
        <v>3</v>
      </c>
      <c r="B4" s="15"/>
      <c r="C4" s="15" t="s">
        <v>97</v>
      </c>
      <c r="D4" s="12" t="s">
        <v>98</v>
      </c>
    </row>
    <row r="5" spans="1:4" ht="61.2" x14ac:dyDescent="0.3">
      <c r="A5" s="15">
        <v>4</v>
      </c>
      <c r="B5" s="15"/>
      <c r="C5" s="15" t="s">
        <v>99</v>
      </c>
      <c r="D5" s="12" t="s">
        <v>100</v>
      </c>
    </row>
    <row r="6" spans="1:4" ht="51" x14ac:dyDescent="0.3">
      <c r="A6" s="15">
        <v>5</v>
      </c>
      <c r="B6" s="15"/>
      <c r="C6" s="15" t="s">
        <v>101</v>
      </c>
      <c r="D6" s="12" t="s">
        <v>102</v>
      </c>
    </row>
    <row r="7" spans="1:4" ht="55.2" x14ac:dyDescent="0.3">
      <c r="A7" s="15">
        <v>6</v>
      </c>
      <c r="B7" s="15"/>
      <c r="C7" s="15" t="s">
        <v>103</v>
      </c>
      <c r="D7" s="12" t="s">
        <v>104</v>
      </c>
    </row>
    <row r="8" spans="1:4" ht="51" x14ac:dyDescent="0.3">
      <c r="A8" s="15">
        <v>7</v>
      </c>
      <c r="B8" s="15"/>
      <c r="C8" s="15" t="s">
        <v>105</v>
      </c>
      <c r="D8" s="12" t="s">
        <v>106</v>
      </c>
    </row>
    <row r="9" spans="1:4" ht="61.2" x14ac:dyDescent="0.3">
      <c r="A9" s="15">
        <v>8</v>
      </c>
      <c r="B9" s="15"/>
      <c r="C9" s="15" t="s">
        <v>107</v>
      </c>
      <c r="D9" s="12" t="s">
        <v>108</v>
      </c>
    </row>
    <row r="10" spans="1:4" ht="51" x14ac:dyDescent="0.3">
      <c r="A10" s="15">
        <v>9</v>
      </c>
      <c r="B10" s="15"/>
      <c r="C10" s="15" t="s">
        <v>109</v>
      </c>
      <c r="D10" s="12" t="s">
        <v>110</v>
      </c>
    </row>
    <row r="11" spans="1:4" ht="96.6" x14ac:dyDescent="0.3">
      <c r="A11" s="15">
        <v>10</v>
      </c>
      <c r="B11" s="15"/>
      <c r="C11" s="15" t="s">
        <v>111</v>
      </c>
      <c r="D11" s="12" t="s">
        <v>112</v>
      </c>
    </row>
    <row r="12" spans="1:4" ht="69" x14ac:dyDescent="0.3">
      <c r="A12" s="15">
        <v>11</v>
      </c>
      <c r="B12" s="15"/>
      <c r="C12" s="15" t="s">
        <v>113</v>
      </c>
      <c r="D12" s="12" t="s">
        <v>114</v>
      </c>
    </row>
    <row r="13" spans="1:4" ht="51" x14ac:dyDescent="0.3">
      <c r="A13" s="15">
        <v>12</v>
      </c>
      <c r="B13" s="15"/>
      <c r="C13" s="15" t="s">
        <v>115</v>
      </c>
      <c r="D13" s="12" t="s">
        <v>116</v>
      </c>
    </row>
    <row r="14" spans="1:4" ht="82.8" x14ac:dyDescent="0.3">
      <c r="A14" s="15">
        <v>13</v>
      </c>
      <c r="B14" s="15"/>
      <c r="C14" s="14" t="s">
        <v>117</v>
      </c>
      <c r="D14" s="12" t="s">
        <v>118</v>
      </c>
    </row>
    <row r="15" spans="1:4" ht="124.2" x14ac:dyDescent="0.3">
      <c r="A15" s="15">
        <v>14</v>
      </c>
      <c r="B15" s="15"/>
      <c r="C15" s="15" t="s">
        <v>119</v>
      </c>
      <c r="D15" s="12" t="s">
        <v>120</v>
      </c>
    </row>
    <row r="16" spans="1:4" ht="41.4" x14ac:dyDescent="0.3">
      <c r="A16" s="15">
        <v>15</v>
      </c>
      <c r="B16" s="15"/>
      <c r="C16" s="15" t="s">
        <v>121</v>
      </c>
      <c r="D16" s="12" t="s">
        <v>122</v>
      </c>
    </row>
    <row r="17" spans="1:4" ht="96.6" x14ac:dyDescent="0.3">
      <c r="A17" s="15">
        <v>16</v>
      </c>
      <c r="B17" s="15"/>
      <c r="C17" s="15" t="s">
        <v>123</v>
      </c>
      <c r="D17" s="12" t="s">
        <v>124</v>
      </c>
    </row>
    <row r="18" spans="1:4" ht="41.4" x14ac:dyDescent="0.3">
      <c r="A18" s="15">
        <v>17</v>
      </c>
      <c r="B18" s="15"/>
      <c r="C18" s="15" t="s">
        <v>125</v>
      </c>
      <c r="D18" s="12" t="s">
        <v>126</v>
      </c>
    </row>
    <row r="19" spans="1:4" ht="41.4" x14ac:dyDescent="0.3">
      <c r="A19" s="15">
        <v>18</v>
      </c>
      <c r="B19" s="15"/>
      <c r="C19" s="15" t="s">
        <v>127</v>
      </c>
      <c r="D19" s="12" t="s">
        <v>128</v>
      </c>
    </row>
    <row r="20" spans="1:4" ht="55.2" x14ac:dyDescent="0.3">
      <c r="A20" s="15">
        <v>19</v>
      </c>
      <c r="B20" s="15"/>
      <c r="C20" s="15" t="s">
        <v>129</v>
      </c>
      <c r="D20" s="12" t="s">
        <v>130</v>
      </c>
    </row>
    <row r="21" spans="1:4" ht="55.2" x14ac:dyDescent="0.3">
      <c r="A21" s="15">
        <v>20</v>
      </c>
      <c r="B21" s="9"/>
      <c r="C21" s="15" t="s">
        <v>131</v>
      </c>
      <c r="D21" s="12" t="s">
        <v>132</v>
      </c>
    </row>
    <row r="22" spans="1:4" ht="55.2" x14ac:dyDescent="0.3">
      <c r="A22" s="15">
        <v>21</v>
      </c>
      <c r="B22" s="16"/>
      <c r="C22" s="14" t="s">
        <v>133</v>
      </c>
      <c r="D22" s="21" t="s">
        <v>134</v>
      </c>
    </row>
    <row r="23" spans="1:4" ht="55.2" x14ac:dyDescent="0.3">
      <c r="A23" s="15">
        <v>22</v>
      </c>
      <c r="B23" s="15"/>
      <c r="C23" s="15" t="s">
        <v>135</v>
      </c>
      <c r="D23" s="12" t="s">
        <v>136</v>
      </c>
    </row>
    <row r="24" spans="1:4" ht="55.2" x14ac:dyDescent="0.3">
      <c r="A24" s="15">
        <v>23</v>
      </c>
      <c r="B24" s="16"/>
      <c r="C24" s="15" t="s">
        <v>137</v>
      </c>
      <c r="D24" s="12" t="s">
        <v>138</v>
      </c>
    </row>
    <row r="25" spans="1:4" ht="55.2" x14ac:dyDescent="0.3">
      <c r="A25" s="15">
        <v>24</v>
      </c>
      <c r="B25" s="15"/>
      <c r="C25" s="15" t="s">
        <v>139</v>
      </c>
      <c r="D25" s="12" t="s">
        <v>140</v>
      </c>
    </row>
    <row r="26" spans="1:4" ht="124.2" x14ac:dyDescent="0.3">
      <c r="A26" s="15">
        <v>25</v>
      </c>
      <c r="B26" s="15"/>
      <c r="C26" s="15" t="s">
        <v>141</v>
      </c>
      <c r="D26" s="12" t="s">
        <v>142</v>
      </c>
    </row>
    <row r="27" spans="1:4" ht="86.4" x14ac:dyDescent="0.3">
      <c r="A27" s="15">
        <v>26</v>
      </c>
      <c r="B27" s="15"/>
      <c r="C27" s="15" t="s">
        <v>143</v>
      </c>
      <c r="D27" s="11" t="s">
        <v>144</v>
      </c>
    </row>
    <row r="28" spans="1:4" ht="72" x14ac:dyDescent="0.3">
      <c r="A28" s="15">
        <v>27</v>
      </c>
      <c r="B28" s="15"/>
      <c r="C28" s="14" t="s">
        <v>145</v>
      </c>
      <c r="D28" s="11" t="s">
        <v>146</v>
      </c>
    </row>
    <row r="29" spans="1:4" x14ac:dyDescent="0.3">
      <c r="A29" s="15">
        <v>28</v>
      </c>
      <c r="B29" s="15"/>
      <c r="C29" s="15"/>
      <c r="D29" s="12"/>
    </row>
    <row r="30" spans="1:4" x14ac:dyDescent="0.3">
      <c r="A30" s="15">
        <v>29</v>
      </c>
      <c r="B30" s="15"/>
      <c r="C30" s="9"/>
      <c r="D30" s="12"/>
    </row>
    <row r="31" spans="1:4" x14ac:dyDescent="0.3">
      <c r="A31" s="15">
        <v>30</v>
      </c>
      <c r="B31" s="15"/>
      <c r="C31" s="15"/>
      <c r="D31" s="12"/>
    </row>
    <row r="32" spans="1:4" x14ac:dyDescent="0.3">
      <c r="A32" s="15">
        <v>31</v>
      </c>
      <c r="B32" s="15"/>
      <c r="C32" s="17"/>
      <c r="D32" s="12"/>
    </row>
    <row r="33" spans="1:4" x14ac:dyDescent="0.3">
      <c r="A33" s="15">
        <v>32</v>
      </c>
      <c r="B33" s="15"/>
      <c r="C33" s="15"/>
      <c r="D33" s="12"/>
    </row>
    <row r="34" spans="1:4" x14ac:dyDescent="0.3">
      <c r="A34" s="15">
        <v>33</v>
      </c>
      <c r="B34" s="15"/>
      <c r="C34" s="15"/>
      <c r="D34" s="12"/>
    </row>
    <row r="35" spans="1:4" x14ac:dyDescent="0.3">
      <c r="A35" s="15">
        <v>34</v>
      </c>
      <c r="B35" s="15"/>
      <c r="C35" s="18"/>
      <c r="D35" s="10"/>
    </row>
    <row r="36" spans="1:4" x14ac:dyDescent="0.3">
      <c r="A36" s="15">
        <v>35</v>
      </c>
      <c r="B36" s="15"/>
      <c r="C36" s="19"/>
      <c r="D36" s="10"/>
    </row>
    <row r="37" spans="1:4" x14ac:dyDescent="0.3">
      <c r="A37" s="15">
        <v>36</v>
      </c>
      <c r="B37" s="15"/>
      <c r="C37" s="15"/>
      <c r="D37" s="10"/>
    </row>
    <row r="38" spans="1:4" x14ac:dyDescent="0.3">
      <c r="A38" s="15">
        <v>37</v>
      </c>
      <c r="B38" s="15"/>
      <c r="C38" s="15"/>
      <c r="D38" s="10"/>
    </row>
    <row r="39" spans="1:4" x14ac:dyDescent="0.3">
      <c r="A39" s="15">
        <v>38</v>
      </c>
      <c r="B39" s="15"/>
      <c r="C39" s="15"/>
      <c r="D39" s="10"/>
    </row>
    <row r="40" spans="1:4" x14ac:dyDescent="0.3">
      <c r="A40" s="15">
        <v>39</v>
      </c>
      <c r="B40" s="15"/>
      <c r="C40" s="15"/>
      <c r="D40" s="10"/>
    </row>
    <row r="41" spans="1:4" x14ac:dyDescent="0.3">
      <c r="A41" s="15">
        <v>40</v>
      </c>
      <c r="B41" s="15"/>
      <c r="C41" s="15"/>
      <c r="D41" s="10"/>
    </row>
    <row r="42" spans="1:4" x14ac:dyDescent="0.3">
      <c r="A42" s="15">
        <v>41</v>
      </c>
      <c r="B42" s="15"/>
      <c r="C42" s="15"/>
      <c r="D42" s="10"/>
    </row>
    <row r="43" spans="1:4" x14ac:dyDescent="0.3">
      <c r="A43" s="15">
        <v>42</v>
      </c>
      <c r="B43" s="15"/>
      <c r="C43" s="15"/>
      <c r="D43" s="10"/>
    </row>
    <row r="44" spans="1:4" x14ac:dyDescent="0.3">
      <c r="A44" s="15">
        <v>43</v>
      </c>
      <c r="B44" s="15"/>
      <c r="C44" s="15"/>
      <c r="D44" s="10"/>
    </row>
    <row r="45" spans="1:4" x14ac:dyDescent="0.3">
      <c r="A45" s="15">
        <v>44</v>
      </c>
      <c r="B45" s="15"/>
      <c r="C45" s="15"/>
      <c r="D45" s="10"/>
    </row>
    <row r="46" spans="1:4" x14ac:dyDescent="0.3">
      <c r="A46" s="15">
        <v>45</v>
      </c>
      <c r="B46" s="15"/>
      <c r="C46" s="15"/>
      <c r="D46" s="10"/>
    </row>
    <row r="47" spans="1:4" x14ac:dyDescent="0.3">
      <c r="A47" s="15">
        <v>46</v>
      </c>
      <c r="B47" s="15"/>
      <c r="C47" s="15"/>
      <c r="D47" s="10"/>
    </row>
    <row r="48" spans="1:4" x14ac:dyDescent="0.3">
      <c r="A48" s="15">
        <v>47</v>
      </c>
      <c r="B48" s="15"/>
      <c r="C48" s="15"/>
      <c r="D48" s="10"/>
    </row>
    <row r="49" spans="1:4" x14ac:dyDescent="0.3">
      <c r="A49" s="15">
        <v>48</v>
      </c>
      <c r="B49" s="15"/>
      <c r="C49" s="15"/>
      <c r="D49" s="10"/>
    </row>
    <row r="50" spans="1:4" x14ac:dyDescent="0.3">
      <c r="A50" s="15">
        <v>49</v>
      </c>
      <c r="B50" s="15"/>
      <c r="C50" s="15"/>
      <c r="D50" s="10"/>
    </row>
    <row r="51" spans="1:4" x14ac:dyDescent="0.3">
      <c r="A51" s="15">
        <v>50</v>
      </c>
      <c r="B51" s="15"/>
      <c r="C51" s="15"/>
      <c r="D51" s="10"/>
    </row>
  </sheetData>
  <hyperlinks>
    <hyperlink ref="D3" r:id="rId1" xr:uid="{314A163D-DB16-4253-9F02-A849A1AC0CDD}"/>
    <hyperlink ref="D4" r:id="rId2" xr:uid="{1F00D497-7655-434D-9DD1-B6A6E4A9A636}"/>
    <hyperlink ref="D5" r:id="rId3" xr:uid="{17408EA9-3991-49C2-A41A-96D53A9219AC}"/>
    <hyperlink ref="D6" r:id="rId4" xr:uid="{31183453-EE87-4F3F-8280-E11D71AA9BB5}"/>
    <hyperlink ref="D7" r:id="rId5" xr:uid="{C1CE6FA6-708E-468C-AE2C-C9A662D15B09}"/>
    <hyperlink ref="D8" r:id="rId6" xr:uid="{4147AF29-A92A-400D-ADAF-50B130D80DE4}"/>
    <hyperlink ref="D18" r:id="rId7" xr:uid="{5D56F6CE-E5AB-40E3-97C3-CA55FB303AEA}"/>
    <hyperlink ref="D21" r:id="rId8" xr:uid="{EBD2E268-6579-4F92-A9CF-374A3EE86199}"/>
    <hyperlink ref="D22" r:id="rId9" xr:uid="{550ADE5F-8ECD-4128-9F8D-B6302F31A0D8}"/>
    <hyperlink ref="D19" r:id="rId10" xr:uid="{7340677F-D1BF-452E-BCAA-8A9B4AB289DC}"/>
    <hyperlink ref="D2" r:id="rId11" xr:uid="{4032FA29-9F89-496E-9B84-6662EB525D41}"/>
    <hyperlink ref="D20" r:id="rId12" xr:uid="{2374E5CD-C8D0-4718-8027-29788032B518}"/>
    <hyperlink ref="D10" r:id="rId13" xr:uid="{D6993D98-40B8-43B3-84F7-073B9FF140D6}"/>
    <hyperlink ref="D9" r:id="rId14" xr:uid="{3388256E-8603-4F86-A23D-D308ECA673CF}"/>
    <hyperlink ref="D11" r:id="rId15" xr:uid="{17BD90E9-4114-45BE-BB0F-7BDBBCE6B0F4}"/>
    <hyperlink ref="D12" r:id="rId16" xr:uid="{E26D148F-C5CA-49DB-8898-69739A33FD40}"/>
    <hyperlink ref="D13" r:id="rId17" xr:uid="{7C55D010-D960-4FC9-84A3-9098999752C6}"/>
    <hyperlink ref="D14" r:id="rId18" xr:uid="{3D60C0FE-BD0B-4FB6-9BC7-2EB90436BF95}"/>
    <hyperlink ref="D15" r:id="rId19" xr:uid="{A56A0E31-8AB1-43ED-B28E-08DC3CFAAA5F}"/>
    <hyperlink ref="D16" r:id="rId20" xr:uid="{0B923BF8-3F69-469D-8C12-BCCBA0307902}"/>
    <hyperlink ref="D17" r:id="rId21" xr:uid="{6D8E894E-6A07-459C-B8F1-FA7F3D011968}"/>
    <hyperlink ref="D23" r:id="rId22" xr:uid="{0EC4E98D-83A4-48E4-8B3E-F4AA2ED1BD86}"/>
    <hyperlink ref="D24" r:id="rId23" xr:uid="{54E6F49A-897F-450D-B77A-74F0DC025F08}"/>
    <hyperlink ref="D25" r:id="rId24" xr:uid="{7B77694B-1B78-464C-9958-3C13C99A009D}"/>
    <hyperlink ref="D26" r:id="rId25" xr:uid="{97849824-4DB5-4841-A64D-7D97A61CAA86}"/>
    <hyperlink ref="D27" r:id="rId26" xr:uid="{41E14CAE-FAB5-4636-9452-A28A0D86D149}"/>
    <hyperlink ref="D28" r:id="rId27" xr:uid="{AD62868A-235C-404B-B15E-A50F46DF27C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1B076-D513-4539-BBB9-E233CF8417C0}">
  <dimension ref="A1:XFD333"/>
  <sheetViews>
    <sheetView workbookViewId="0">
      <selection activeCell="J3" sqref="J3"/>
    </sheetView>
  </sheetViews>
  <sheetFormatPr defaultRowHeight="14.4" x14ac:dyDescent="0.3"/>
  <cols>
    <col min="1" max="1" width="5" bestFit="1" customWidth="1"/>
    <col min="2" max="2" width="10.33203125" bestFit="1" customWidth="1"/>
  </cols>
  <sheetData>
    <row r="1" spans="1:16384" s="9" customFormat="1" ht="34.200000000000003" x14ac:dyDescent="0.3">
      <c r="A1" s="67" t="s">
        <v>572</v>
      </c>
      <c r="B1" s="67" t="s">
        <v>573</v>
      </c>
      <c r="C1" s="67" t="s">
        <v>574</v>
      </c>
      <c r="D1" s="68" t="s">
        <v>575</v>
      </c>
      <c r="E1" s="67" t="s">
        <v>576</v>
      </c>
      <c r="F1" s="67" t="s">
        <v>577</v>
      </c>
      <c r="G1" s="67" t="s">
        <v>578</v>
      </c>
      <c r="H1" s="67" t="s">
        <v>579</v>
      </c>
      <c r="I1" s="67"/>
      <c r="J1" s="67"/>
      <c r="K1" s="67"/>
      <c r="L1" s="68"/>
      <c r="M1" s="67"/>
      <c r="N1" s="67"/>
      <c r="O1" s="67"/>
      <c r="P1" s="67"/>
      <c r="Q1" s="67"/>
      <c r="R1" s="67"/>
      <c r="S1" s="67"/>
      <c r="T1" s="68"/>
      <c r="U1" s="67"/>
      <c r="V1" s="67"/>
      <c r="W1" s="67"/>
      <c r="X1" s="67"/>
      <c r="Y1" s="67"/>
      <c r="Z1" s="67"/>
      <c r="AA1" s="67"/>
      <c r="AB1" s="68"/>
      <c r="AC1" s="67"/>
      <c r="AD1" s="67"/>
      <c r="AE1" s="67"/>
      <c r="AF1" s="67"/>
      <c r="AG1" s="67"/>
      <c r="AH1" s="67"/>
      <c r="AI1" s="67"/>
      <c r="AJ1" s="68"/>
      <c r="AK1" s="67"/>
      <c r="AL1" s="67"/>
      <c r="AM1" s="67"/>
      <c r="AN1" s="67"/>
      <c r="AO1" s="67"/>
      <c r="AP1" s="67"/>
      <c r="AQ1" s="67"/>
      <c r="AR1" s="68"/>
      <c r="AS1" s="67"/>
      <c r="AT1" s="67"/>
      <c r="AU1" s="67"/>
      <c r="AV1" s="67"/>
      <c r="AW1" s="67"/>
      <c r="AX1" s="67"/>
      <c r="AY1" s="67"/>
      <c r="AZ1" s="68"/>
      <c r="BA1" s="67"/>
      <c r="BB1" s="67"/>
      <c r="BC1" s="67"/>
      <c r="BD1" s="67"/>
      <c r="BE1" s="67"/>
      <c r="BF1" s="67"/>
      <c r="BG1" s="67"/>
      <c r="BH1" s="68"/>
      <c r="BI1" s="67"/>
      <c r="BJ1" s="67"/>
      <c r="BK1" s="67"/>
      <c r="BL1" s="67"/>
      <c r="BM1" s="67"/>
      <c r="BN1" s="67"/>
      <c r="BO1" s="67"/>
      <c r="BP1" s="68"/>
      <c r="BQ1" s="67"/>
      <c r="BR1" s="67"/>
      <c r="BS1" s="67"/>
      <c r="BT1" s="67"/>
      <c r="BU1" s="67"/>
      <c r="BV1" s="67"/>
      <c r="BW1" s="67"/>
      <c r="BX1" s="68"/>
      <c r="BY1" s="67"/>
      <c r="BZ1" s="67"/>
      <c r="CA1" s="67"/>
      <c r="CB1" s="67"/>
      <c r="CC1" s="67"/>
      <c r="CD1" s="67"/>
      <c r="CE1" s="67"/>
      <c r="CF1" s="68"/>
      <c r="CG1" s="67"/>
      <c r="CH1" s="67"/>
      <c r="CI1" s="67"/>
      <c r="CJ1" s="67"/>
      <c r="CK1" s="67"/>
      <c r="CL1" s="67"/>
      <c r="CM1" s="67"/>
      <c r="CN1" s="68"/>
      <c r="CO1" s="67"/>
      <c r="CP1" s="67"/>
      <c r="CQ1" s="67"/>
      <c r="CR1" s="67"/>
      <c r="CS1" s="67"/>
      <c r="CT1" s="67"/>
      <c r="CU1" s="67"/>
      <c r="CV1" s="68"/>
      <c r="CW1" s="67"/>
      <c r="CX1" s="67"/>
      <c r="CY1" s="67"/>
      <c r="CZ1" s="67"/>
      <c r="DA1" s="67"/>
      <c r="DB1" s="67"/>
      <c r="DC1" s="67"/>
      <c r="DD1" s="68"/>
      <c r="DE1" s="67"/>
      <c r="DF1" s="67"/>
      <c r="DG1" s="67"/>
      <c r="DH1" s="67"/>
      <c r="DI1" s="67"/>
      <c r="DJ1" s="67"/>
      <c r="DK1" s="67"/>
      <c r="DL1" s="68"/>
      <c r="DM1" s="67"/>
      <c r="DN1" s="67"/>
      <c r="DO1" s="67"/>
      <c r="DP1" s="67"/>
      <c r="DQ1" s="67"/>
      <c r="DR1" s="67"/>
      <c r="DS1" s="67"/>
      <c r="DT1" s="68"/>
      <c r="DU1" s="67"/>
      <c r="DV1" s="67"/>
      <c r="DW1" s="67"/>
      <c r="DX1" s="67"/>
      <c r="DY1" s="67"/>
      <c r="DZ1" s="67"/>
      <c r="EA1" s="67"/>
      <c r="EB1" s="68"/>
      <c r="EC1" s="67"/>
      <c r="ED1" s="67"/>
      <c r="EE1" s="67"/>
      <c r="EF1" s="67"/>
      <c r="EG1" s="67"/>
      <c r="EH1" s="67"/>
      <c r="EI1" s="67"/>
      <c r="EJ1" s="68"/>
      <c r="EK1" s="67"/>
      <c r="EL1" s="67"/>
      <c r="EM1" s="67"/>
      <c r="EN1" s="67"/>
      <c r="EO1" s="67"/>
      <c r="EP1" s="67"/>
      <c r="EQ1" s="67"/>
      <c r="ER1" s="68"/>
      <c r="ES1" s="67"/>
      <c r="ET1" s="67"/>
      <c r="EU1" s="67"/>
      <c r="EV1" s="67"/>
      <c r="EW1" s="67"/>
      <c r="EX1" s="67"/>
      <c r="EY1" s="67"/>
      <c r="EZ1" s="68"/>
      <c r="FA1" s="67"/>
      <c r="FB1" s="67"/>
      <c r="FC1" s="67"/>
      <c r="FD1" s="67"/>
      <c r="FE1" s="67"/>
      <c r="FF1" s="67"/>
      <c r="FG1" s="67"/>
      <c r="FH1" s="68"/>
      <c r="FI1" s="67"/>
      <c r="FJ1" s="67"/>
      <c r="FK1" s="67"/>
      <c r="FL1" s="67"/>
      <c r="FM1" s="67"/>
      <c r="FN1" s="67"/>
      <c r="FO1" s="67"/>
      <c r="FP1" s="68"/>
      <c r="FQ1" s="67"/>
      <c r="FR1" s="67"/>
      <c r="FS1" s="67"/>
      <c r="FT1" s="67"/>
      <c r="FU1" s="67"/>
      <c r="FV1" s="67"/>
      <c r="FW1" s="67"/>
      <c r="FX1" s="68"/>
      <c r="FY1" s="67"/>
      <c r="FZ1" s="67"/>
      <c r="GA1" s="67"/>
      <c r="GB1" s="67"/>
      <c r="GC1" s="67"/>
      <c r="GD1" s="67"/>
      <c r="GE1" s="67"/>
      <c r="GF1" s="68"/>
      <c r="GG1" s="67"/>
      <c r="GH1" s="67"/>
      <c r="GI1" s="67"/>
      <c r="GJ1" s="67"/>
      <c r="GK1" s="67"/>
      <c r="GL1" s="67"/>
      <c r="GM1" s="67"/>
      <c r="GN1" s="68"/>
      <c r="GO1" s="67"/>
      <c r="GP1" s="67"/>
      <c r="GQ1" s="67"/>
      <c r="GR1" s="67"/>
      <c r="GS1" s="67"/>
      <c r="GT1" s="67"/>
      <c r="GU1" s="67"/>
      <c r="GV1" s="68"/>
      <c r="GW1" s="67"/>
      <c r="GX1" s="67"/>
      <c r="GY1" s="67"/>
      <c r="GZ1" s="67"/>
      <c r="HA1" s="67"/>
      <c r="HB1" s="67"/>
      <c r="HC1" s="67"/>
      <c r="HD1" s="68"/>
      <c r="HE1" s="67"/>
      <c r="HF1" s="67"/>
      <c r="HG1" s="67"/>
      <c r="HH1" s="67"/>
      <c r="HI1" s="67"/>
      <c r="HJ1" s="67"/>
      <c r="HK1" s="67"/>
      <c r="HL1" s="68"/>
      <c r="HM1" s="67"/>
      <c r="HN1" s="67"/>
      <c r="HO1" s="67"/>
      <c r="HP1" s="67"/>
      <c r="HQ1" s="67"/>
      <c r="HR1" s="67"/>
      <c r="HS1" s="67"/>
      <c r="HT1" s="68"/>
      <c r="HU1" s="67"/>
      <c r="HV1" s="67"/>
      <c r="HW1" s="67"/>
      <c r="HX1" s="67"/>
      <c r="HY1" s="67"/>
      <c r="HZ1" s="67"/>
      <c r="IA1" s="67"/>
      <c r="IB1" s="68"/>
      <c r="IC1" s="67"/>
      <c r="ID1" s="67"/>
      <c r="IE1" s="67"/>
      <c r="IF1" s="67"/>
      <c r="IG1" s="67"/>
      <c r="IH1" s="67"/>
      <c r="II1" s="67"/>
      <c r="IJ1" s="68"/>
      <c r="IK1" s="67"/>
      <c r="IL1" s="67"/>
      <c r="IM1" s="67"/>
      <c r="IN1" s="67"/>
      <c r="IO1" s="67"/>
      <c r="IP1" s="67"/>
      <c r="IQ1" s="67"/>
      <c r="IR1" s="68"/>
      <c r="IS1" s="67"/>
      <c r="IT1" s="67"/>
      <c r="IU1" s="67"/>
      <c r="IV1" s="67"/>
      <c r="IW1" s="67"/>
      <c r="IX1" s="67"/>
      <c r="IY1" s="67"/>
      <c r="IZ1" s="68"/>
      <c r="JA1" s="67"/>
      <c r="JB1" s="67"/>
      <c r="JC1" s="67"/>
      <c r="JD1" s="67"/>
      <c r="JE1" s="67"/>
      <c r="JF1" s="67"/>
      <c r="JG1" s="67"/>
      <c r="JH1" s="68"/>
      <c r="JI1" s="67"/>
      <c r="JJ1" s="67"/>
      <c r="JK1" s="67"/>
      <c r="JL1" s="67"/>
      <c r="JM1" s="67"/>
      <c r="JN1" s="67"/>
      <c r="JO1" s="67"/>
      <c r="JP1" s="68"/>
      <c r="JQ1" s="67"/>
      <c r="JR1" s="67"/>
      <c r="JS1" s="67"/>
      <c r="JT1" s="67"/>
      <c r="JU1" s="67"/>
      <c r="JV1" s="67"/>
      <c r="JW1" s="67"/>
      <c r="JX1" s="68"/>
      <c r="JY1" s="67"/>
      <c r="JZ1" s="67"/>
      <c r="KA1" s="67"/>
      <c r="KB1" s="67"/>
      <c r="KC1" s="67"/>
      <c r="KD1" s="67"/>
      <c r="KE1" s="67"/>
      <c r="KF1" s="68"/>
      <c r="KG1" s="67"/>
      <c r="KH1" s="67"/>
      <c r="KI1" s="67"/>
      <c r="KJ1" s="67"/>
      <c r="KK1" s="67"/>
      <c r="KL1" s="67"/>
      <c r="KM1" s="67"/>
      <c r="KN1" s="68"/>
      <c r="KO1" s="67"/>
      <c r="KP1" s="67"/>
      <c r="KQ1" s="67"/>
      <c r="KR1" s="67"/>
      <c r="KS1" s="67"/>
      <c r="KT1" s="67"/>
      <c r="KU1" s="67"/>
      <c r="KV1" s="68"/>
      <c r="KW1" s="67"/>
      <c r="KX1" s="67"/>
      <c r="KY1" s="67"/>
      <c r="KZ1" s="67"/>
      <c r="LA1" s="67"/>
      <c r="LB1" s="67"/>
      <c r="LC1" s="67"/>
      <c r="LD1" s="68"/>
      <c r="LE1" s="67"/>
      <c r="LF1" s="67"/>
      <c r="LG1" s="67"/>
      <c r="LH1" s="67"/>
      <c r="LI1" s="67"/>
      <c r="LJ1" s="67"/>
      <c r="LK1" s="67"/>
      <c r="LL1" s="68"/>
      <c r="LM1" s="67"/>
      <c r="LN1" s="67"/>
      <c r="LO1" s="67"/>
      <c r="LP1" s="67"/>
      <c r="LQ1" s="67"/>
      <c r="LR1" s="67"/>
      <c r="LS1" s="67"/>
      <c r="LT1" s="68"/>
      <c r="LU1" s="67"/>
      <c r="LV1" s="67"/>
      <c r="LW1" s="67"/>
      <c r="LX1" s="67"/>
      <c r="LY1" s="67"/>
      <c r="LZ1" s="67"/>
      <c r="MA1" s="67"/>
      <c r="MB1" s="68"/>
      <c r="MC1" s="67"/>
      <c r="MD1" s="67"/>
      <c r="ME1" s="67"/>
      <c r="MF1" s="67"/>
      <c r="MG1" s="67"/>
      <c r="MH1" s="67"/>
      <c r="MI1" s="67"/>
      <c r="MJ1" s="68"/>
      <c r="MK1" s="67"/>
      <c r="ML1" s="67"/>
      <c r="MM1" s="67"/>
      <c r="MN1" s="67"/>
      <c r="MO1" s="67"/>
      <c r="MP1" s="67"/>
      <c r="MQ1" s="67"/>
      <c r="MR1" s="68"/>
      <c r="MS1" s="67"/>
      <c r="MT1" s="67"/>
      <c r="MU1" s="67"/>
      <c r="MV1" s="67"/>
      <c r="MW1" s="67"/>
      <c r="MX1" s="67"/>
      <c r="MY1" s="67"/>
      <c r="MZ1" s="68"/>
      <c r="NA1" s="67"/>
      <c r="NB1" s="67"/>
      <c r="NC1" s="67"/>
      <c r="ND1" s="67"/>
      <c r="NE1" s="67"/>
      <c r="NF1" s="67"/>
      <c r="NG1" s="67"/>
      <c r="NH1" s="68"/>
      <c r="NI1" s="67"/>
      <c r="NJ1" s="67"/>
      <c r="NK1" s="67"/>
      <c r="NL1" s="67"/>
      <c r="NM1" s="67"/>
      <c r="NN1" s="67"/>
      <c r="NO1" s="67"/>
      <c r="NP1" s="68"/>
      <c r="NQ1" s="67"/>
      <c r="NR1" s="67"/>
      <c r="NS1" s="67"/>
      <c r="NT1" s="67"/>
      <c r="NU1" s="67"/>
      <c r="NV1" s="67"/>
      <c r="NW1" s="67"/>
      <c r="NX1" s="68"/>
      <c r="NY1" s="67"/>
      <c r="NZ1" s="67"/>
      <c r="OA1" s="67"/>
      <c r="OB1" s="67"/>
      <c r="OC1" s="67"/>
      <c r="OD1" s="67"/>
      <c r="OE1" s="67"/>
      <c r="OF1" s="68"/>
      <c r="OG1" s="67"/>
      <c r="OH1" s="67"/>
      <c r="OI1" s="67"/>
      <c r="OJ1" s="67"/>
      <c r="OK1" s="67"/>
      <c r="OL1" s="67"/>
      <c r="OM1" s="67"/>
      <c r="ON1" s="68"/>
      <c r="OO1" s="67"/>
      <c r="OP1" s="67"/>
      <c r="OQ1" s="67"/>
      <c r="OR1" s="67"/>
      <c r="OS1" s="67"/>
      <c r="OT1" s="67"/>
      <c r="OU1" s="67"/>
      <c r="OV1" s="68"/>
      <c r="OW1" s="67"/>
      <c r="OX1" s="67"/>
      <c r="OY1" s="67"/>
      <c r="OZ1" s="67"/>
      <c r="PA1" s="67"/>
      <c r="PB1" s="67"/>
      <c r="PC1" s="67"/>
      <c r="PD1" s="68"/>
      <c r="PE1" s="67"/>
      <c r="PF1" s="67"/>
      <c r="PG1" s="67"/>
      <c r="PH1" s="67"/>
      <c r="PI1" s="67"/>
      <c r="PJ1" s="67"/>
      <c r="PK1" s="67"/>
      <c r="PL1" s="68"/>
      <c r="PM1" s="67"/>
      <c r="PN1" s="67"/>
      <c r="PO1" s="67"/>
      <c r="PP1" s="67"/>
      <c r="PQ1" s="67"/>
      <c r="PR1" s="67"/>
      <c r="PS1" s="67"/>
      <c r="PT1" s="68"/>
      <c r="PU1" s="67"/>
      <c r="PV1" s="67"/>
      <c r="PW1" s="67"/>
      <c r="PX1" s="67"/>
      <c r="PY1" s="67"/>
      <c r="PZ1" s="67"/>
      <c r="QA1" s="67"/>
      <c r="QB1" s="68"/>
      <c r="QC1" s="67"/>
      <c r="QD1" s="67"/>
      <c r="QE1" s="67"/>
      <c r="QF1" s="67"/>
      <c r="QG1" s="67"/>
      <c r="QH1" s="67"/>
      <c r="QI1" s="67"/>
      <c r="QJ1" s="68"/>
      <c r="QK1" s="67"/>
      <c r="QL1" s="67"/>
      <c r="QM1" s="67"/>
      <c r="QN1" s="67"/>
      <c r="QO1" s="67"/>
      <c r="QP1" s="67"/>
      <c r="QQ1" s="67"/>
      <c r="QR1" s="68"/>
      <c r="QS1" s="67"/>
      <c r="QT1" s="67"/>
      <c r="QU1" s="67"/>
      <c r="QV1" s="67"/>
      <c r="QW1" s="67"/>
      <c r="QX1" s="67"/>
      <c r="QY1" s="67"/>
      <c r="QZ1" s="68"/>
      <c r="RA1" s="67"/>
      <c r="RB1" s="67"/>
      <c r="RC1" s="67"/>
      <c r="RD1" s="67"/>
      <c r="RE1" s="67"/>
      <c r="RF1" s="67"/>
      <c r="RG1" s="67"/>
      <c r="RH1" s="68"/>
      <c r="RI1" s="67"/>
      <c r="RJ1" s="67"/>
      <c r="RK1" s="67"/>
      <c r="RL1" s="67"/>
      <c r="RM1" s="67"/>
      <c r="RN1" s="67"/>
      <c r="RO1" s="67"/>
      <c r="RP1" s="68"/>
      <c r="RQ1" s="67"/>
      <c r="RR1" s="67"/>
      <c r="RS1" s="67"/>
      <c r="RT1" s="67"/>
      <c r="RU1" s="67"/>
      <c r="RV1" s="67"/>
      <c r="RW1" s="67"/>
      <c r="RX1" s="68"/>
      <c r="RY1" s="67"/>
      <c r="RZ1" s="67"/>
      <c r="SA1" s="67"/>
      <c r="SB1" s="67"/>
      <c r="SC1" s="67"/>
      <c r="SD1" s="67"/>
      <c r="SE1" s="67"/>
      <c r="SF1" s="68"/>
      <c r="SG1" s="67"/>
      <c r="SH1" s="67"/>
      <c r="SI1" s="67"/>
      <c r="SJ1" s="67"/>
      <c r="SK1" s="67"/>
      <c r="SL1" s="67"/>
      <c r="SM1" s="67"/>
      <c r="SN1" s="68"/>
      <c r="SO1" s="67"/>
      <c r="SP1" s="67"/>
      <c r="SQ1" s="67"/>
      <c r="SR1" s="67"/>
      <c r="SS1" s="67"/>
      <c r="ST1" s="67"/>
      <c r="SU1" s="67"/>
      <c r="SV1" s="68"/>
      <c r="SW1" s="67"/>
      <c r="SX1" s="67"/>
      <c r="SY1" s="67"/>
      <c r="SZ1" s="67"/>
      <c r="TA1" s="67"/>
      <c r="TB1" s="67"/>
      <c r="TC1" s="67"/>
      <c r="TD1" s="68"/>
      <c r="TE1" s="67"/>
      <c r="TF1" s="67"/>
      <c r="TG1" s="67"/>
      <c r="TH1" s="67"/>
      <c r="TI1" s="67"/>
      <c r="TJ1" s="67"/>
      <c r="TK1" s="67"/>
      <c r="TL1" s="68"/>
      <c r="TM1" s="67"/>
      <c r="TN1" s="67"/>
      <c r="TO1" s="67"/>
      <c r="TP1" s="67"/>
      <c r="TQ1" s="67"/>
      <c r="TR1" s="67"/>
      <c r="TS1" s="67"/>
      <c r="TT1" s="68"/>
      <c r="TU1" s="67"/>
      <c r="TV1" s="67"/>
      <c r="TW1" s="67"/>
      <c r="TX1" s="67"/>
      <c r="TY1" s="67"/>
      <c r="TZ1" s="67"/>
      <c r="UA1" s="67"/>
      <c r="UB1" s="68"/>
      <c r="UC1" s="67"/>
      <c r="UD1" s="67"/>
      <c r="UE1" s="67"/>
      <c r="UF1" s="67"/>
      <c r="UG1" s="67"/>
      <c r="UH1" s="67"/>
      <c r="UI1" s="67"/>
      <c r="UJ1" s="68"/>
      <c r="UK1" s="67"/>
      <c r="UL1" s="67"/>
      <c r="UM1" s="67"/>
      <c r="UN1" s="67"/>
      <c r="UO1" s="67"/>
      <c r="UP1" s="67"/>
      <c r="UQ1" s="67"/>
      <c r="UR1" s="68"/>
      <c r="US1" s="67"/>
      <c r="UT1" s="67"/>
      <c r="UU1" s="67"/>
      <c r="UV1" s="67"/>
      <c r="UW1" s="67"/>
      <c r="UX1" s="67"/>
      <c r="UY1" s="67"/>
      <c r="UZ1" s="68"/>
      <c r="VA1" s="67"/>
      <c r="VB1" s="67"/>
      <c r="VC1" s="67"/>
      <c r="VD1" s="67"/>
      <c r="VE1" s="67"/>
      <c r="VF1" s="67"/>
      <c r="VG1" s="67"/>
      <c r="VH1" s="68"/>
      <c r="VI1" s="67"/>
      <c r="VJ1" s="67"/>
      <c r="VK1" s="67"/>
      <c r="VL1" s="67"/>
      <c r="VM1" s="67"/>
      <c r="VN1" s="67"/>
      <c r="VO1" s="67"/>
      <c r="VP1" s="68"/>
      <c r="VQ1" s="67"/>
      <c r="VR1" s="67"/>
      <c r="VS1" s="67"/>
      <c r="VT1" s="67"/>
      <c r="VU1" s="67"/>
      <c r="VV1" s="67"/>
      <c r="VW1" s="67"/>
      <c r="VX1" s="68"/>
      <c r="VY1" s="67"/>
      <c r="VZ1" s="67"/>
      <c r="WA1" s="67"/>
      <c r="WB1" s="67"/>
      <c r="WC1" s="67"/>
      <c r="WD1" s="67"/>
      <c r="WE1" s="67"/>
      <c r="WF1" s="68"/>
      <c r="WG1" s="67"/>
      <c r="WH1" s="67"/>
      <c r="WI1" s="67"/>
      <c r="WJ1" s="67"/>
      <c r="WK1" s="67"/>
      <c r="WL1" s="67"/>
      <c r="WM1" s="67"/>
      <c r="WN1" s="68"/>
      <c r="WO1" s="67"/>
      <c r="WP1" s="67"/>
      <c r="WQ1" s="67"/>
      <c r="WR1" s="67"/>
      <c r="WS1" s="67"/>
      <c r="WT1" s="67"/>
      <c r="WU1" s="67"/>
      <c r="WV1" s="68"/>
      <c r="WW1" s="67"/>
      <c r="WX1" s="67"/>
      <c r="WY1" s="67"/>
      <c r="WZ1" s="67"/>
      <c r="XA1" s="67"/>
      <c r="XB1" s="67"/>
      <c r="XC1" s="67"/>
      <c r="XD1" s="68"/>
      <c r="XE1" s="67"/>
      <c r="XF1" s="67"/>
      <c r="XG1" s="67"/>
      <c r="XH1" s="67"/>
      <c r="XI1" s="67"/>
      <c r="XJ1" s="67"/>
      <c r="XK1" s="67"/>
      <c r="XL1" s="68"/>
      <c r="XM1" s="67"/>
      <c r="XN1" s="67"/>
      <c r="XO1" s="67"/>
      <c r="XP1" s="67"/>
      <c r="XQ1" s="67"/>
      <c r="XR1" s="67"/>
      <c r="XS1" s="67"/>
      <c r="XT1" s="68"/>
      <c r="XU1" s="67"/>
      <c r="XV1" s="67"/>
      <c r="XW1" s="67"/>
      <c r="XX1" s="67"/>
      <c r="XY1" s="67"/>
      <c r="XZ1" s="67"/>
      <c r="YA1" s="67"/>
      <c r="YB1" s="68"/>
      <c r="YC1" s="67"/>
      <c r="YD1" s="67"/>
      <c r="YE1" s="67"/>
      <c r="YF1" s="67"/>
      <c r="YG1" s="67"/>
      <c r="YH1" s="67"/>
      <c r="YI1" s="67"/>
      <c r="YJ1" s="68"/>
      <c r="YK1" s="67"/>
      <c r="YL1" s="67"/>
      <c r="YM1" s="67"/>
      <c r="YN1" s="67"/>
      <c r="YO1" s="67"/>
      <c r="YP1" s="67"/>
      <c r="YQ1" s="67"/>
      <c r="YR1" s="68"/>
      <c r="YS1" s="67"/>
      <c r="YT1" s="67"/>
      <c r="YU1" s="67"/>
      <c r="YV1" s="67"/>
      <c r="YW1" s="67"/>
      <c r="YX1" s="67"/>
      <c r="YY1" s="67"/>
      <c r="YZ1" s="68"/>
      <c r="ZA1" s="67"/>
      <c r="ZB1" s="67"/>
      <c r="ZC1" s="67"/>
      <c r="ZD1" s="67"/>
      <c r="ZE1" s="67"/>
      <c r="ZF1" s="67"/>
      <c r="ZG1" s="67"/>
      <c r="ZH1" s="68"/>
      <c r="ZI1" s="67"/>
      <c r="ZJ1" s="67"/>
      <c r="ZK1" s="67"/>
      <c r="ZL1" s="67"/>
      <c r="ZM1" s="67"/>
      <c r="ZN1" s="67"/>
      <c r="ZO1" s="67"/>
      <c r="ZP1" s="68"/>
      <c r="ZQ1" s="67"/>
      <c r="ZR1" s="67"/>
      <c r="ZS1" s="67"/>
      <c r="ZT1" s="67"/>
      <c r="ZU1" s="67"/>
      <c r="ZV1" s="67"/>
      <c r="ZW1" s="67"/>
      <c r="ZX1" s="68"/>
      <c r="ZY1" s="67"/>
      <c r="ZZ1" s="67"/>
      <c r="AAA1" s="67"/>
      <c r="AAB1" s="67"/>
      <c r="AAC1" s="67"/>
      <c r="AAD1" s="67"/>
      <c r="AAE1" s="67"/>
      <c r="AAF1" s="68"/>
      <c r="AAG1" s="67"/>
      <c r="AAH1" s="67"/>
      <c r="AAI1" s="67"/>
      <c r="AAJ1" s="67"/>
      <c r="AAK1" s="67"/>
      <c r="AAL1" s="67"/>
      <c r="AAM1" s="67"/>
      <c r="AAN1" s="68"/>
      <c r="AAO1" s="67"/>
      <c r="AAP1" s="67"/>
      <c r="AAQ1" s="67"/>
      <c r="AAR1" s="67"/>
      <c r="AAS1" s="67"/>
      <c r="AAT1" s="67"/>
      <c r="AAU1" s="67"/>
      <c r="AAV1" s="68"/>
      <c r="AAW1" s="67"/>
      <c r="AAX1" s="67"/>
      <c r="AAY1" s="67"/>
      <c r="AAZ1" s="67"/>
      <c r="ABA1" s="67"/>
      <c r="ABB1" s="67"/>
      <c r="ABC1" s="67"/>
      <c r="ABD1" s="68"/>
      <c r="ABE1" s="67"/>
      <c r="ABF1" s="67"/>
      <c r="ABG1" s="67"/>
      <c r="ABH1" s="67"/>
      <c r="ABI1" s="67"/>
      <c r="ABJ1" s="67"/>
      <c r="ABK1" s="67"/>
      <c r="ABL1" s="68"/>
      <c r="ABM1" s="67"/>
      <c r="ABN1" s="67"/>
      <c r="ABO1" s="67"/>
      <c r="ABP1" s="67"/>
      <c r="ABQ1" s="67"/>
      <c r="ABR1" s="67"/>
      <c r="ABS1" s="67"/>
      <c r="ABT1" s="68"/>
      <c r="ABU1" s="67"/>
      <c r="ABV1" s="67"/>
      <c r="ABW1" s="67"/>
      <c r="ABX1" s="67"/>
      <c r="ABY1" s="67"/>
      <c r="ABZ1" s="67"/>
      <c r="ACA1" s="67"/>
      <c r="ACB1" s="68"/>
      <c r="ACC1" s="67"/>
      <c r="ACD1" s="67"/>
      <c r="ACE1" s="67"/>
      <c r="ACF1" s="67"/>
      <c r="ACG1" s="67"/>
      <c r="ACH1" s="67"/>
      <c r="ACI1" s="67"/>
      <c r="ACJ1" s="68"/>
      <c r="ACK1" s="67"/>
      <c r="ACL1" s="67"/>
      <c r="ACM1" s="67"/>
      <c r="ACN1" s="67"/>
      <c r="ACO1" s="67"/>
      <c r="ACP1" s="67"/>
      <c r="ACQ1" s="67"/>
      <c r="ACR1" s="68"/>
      <c r="ACS1" s="67"/>
      <c r="ACT1" s="67"/>
      <c r="ACU1" s="67"/>
      <c r="ACV1" s="67"/>
      <c r="ACW1" s="67"/>
      <c r="ACX1" s="67"/>
      <c r="ACY1" s="67"/>
      <c r="ACZ1" s="68"/>
      <c r="ADA1" s="67"/>
      <c r="ADB1" s="67"/>
      <c r="ADC1" s="67"/>
      <c r="ADD1" s="67"/>
      <c r="ADE1" s="67"/>
      <c r="ADF1" s="67"/>
      <c r="ADG1" s="67"/>
      <c r="ADH1" s="68"/>
      <c r="ADI1" s="67"/>
      <c r="ADJ1" s="67"/>
      <c r="ADK1" s="67"/>
      <c r="ADL1" s="67"/>
      <c r="ADM1" s="67"/>
      <c r="ADN1" s="67"/>
      <c r="ADO1" s="67"/>
      <c r="ADP1" s="68"/>
      <c r="ADQ1" s="67"/>
      <c r="ADR1" s="67"/>
      <c r="ADS1" s="67"/>
      <c r="ADT1" s="67"/>
      <c r="ADU1" s="67"/>
      <c r="ADV1" s="67"/>
      <c r="ADW1" s="67"/>
      <c r="ADX1" s="68"/>
      <c r="ADY1" s="67"/>
      <c r="ADZ1" s="67"/>
      <c r="AEA1" s="67"/>
      <c r="AEB1" s="67"/>
      <c r="AEC1" s="67"/>
      <c r="AED1" s="67"/>
      <c r="AEE1" s="67"/>
      <c r="AEF1" s="68"/>
      <c r="AEG1" s="67"/>
      <c r="AEH1" s="67"/>
      <c r="AEI1" s="67"/>
      <c r="AEJ1" s="67"/>
      <c r="AEK1" s="67"/>
      <c r="AEL1" s="67"/>
      <c r="AEM1" s="67"/>
      <c r="AEN1" s="68"/>
      <c r="AEO1" s="67"/>
      <c r="AEP1" s="67"/>
      <c r="AEQ1" s="67"/>
      <c r="AER1" s="67"/>
      <c r="AES1" s="67"/>
      <c r="AET1" s="67"/>
      <c r="AEU1" s="67"/>
      <c r="AEV1" s="68"/>
      <c r="AEW1" s="67"/>
      <c r="AEX1" s="67"/>
      <c r="AEY1" s="67"/>
      <c r="AEZ1" s="67"/>
      <c r="AFA1" s="67"/>
      <c r="AFB1" s="67"/>
      <c r="AFC1" s="67"/>
      <c r="AFD1" s="68"/>
      <c r="AFE1" s="67"/>
      <c r="AFF1" s="67"/>
      <c r="AFG1" s="67"/>
      <c r="AFH1" s="67"/>
      <c r="AFI1" s="67"/>
      <c r="AFJ1" s="67"/>
      <c r="AFK1" s="67"/>
      <c r="AFL1" s="68"/>
      <c r="AFM1" s="67"/>
      <c r="AFN1" s="67"/>
      <c r="AFO1" s="67"/>
      <c r="AFP1" s="67"/>
      <c r="AFQ1" s="67"/>
      <c r="AFR1" s="67"/>
      <c r="AFS1" s="67"/>
      <c r="AFT1" s="68"/>
      <c r="AFU1" s="67"/>
      <c r="AFV1" s="67"/>
      <c r="AFW1" s="67"/>
      <c r="AFX1" s="67"/>
      <c r="AFY1" s="67"/>
      <c r="AFZ1" s="67"/>
      <c r="AGA1" s="67"/>
      <c r="AGB1" s="68"/>
      <c r="AGC1" s="67"/>
      <c r="AGD1" s="67"/>
      <c r="AGE1" s="67"/>
      <c r="AGF1" s="67"/>
      <c r="AGG1" s="67"/>
      <c r="AGH1" s="67"/>
      <c r="AGI1" s="67"/>
      <c r="AGJ1" s="68"/>
      <c r="AGK1" s="67"/>
      <c r="AGL1" s="67"/>
      <c r="AGM1" s="67"/>
      <c r="AGN1" s="67"/>
      <c r="AGO1" s="67"/>
      <c r="AGP1" s="67"/>
      <c r="AGQ1" s="67"/>
      <c r="AGR1" s="68"/>
      <c r="AGS1" s="67"/>
      <c r="AGT1" s="67"/>
      <c r="AGU1" s="67"/>
      <c r="AGV1" s="67"/>
      <c r="AGW1" s="67"/>
      <c r="AGX1" s="67"/>
      <c r="AGY1" s="67"/>
      <c r="AGZ1" s="68"/>
      <c r="AHA1" s="67"/>
      <c r="AHB1" s="67"/>
      <c r="AHC1" s="67"/>
      <c r="AHD1" s="67"/>
      <c r="AHE1" s="67"/>
      <c r="AHF1" s="67"/>
      <c r="AHG1" s="67"/>
      <c r="AHH1" s="68"/>
      <c r="AHI1" s="67"/>
      <c r="AHJ1" s="67"/>
      <c r="AHK1" s="67"/>
      <c r="AHL1" s="67"/>
      <c r="AHM1" s="67"/>
      <c r="AHN1" s="67"/>
      <c r="AHO1" s="67"/>
      <c r="AHP1" s="68"/>
      <c r="AHQ1" s="67"/>
      <c r="AHR1" s="67"/>
      <c r="AHS1" s="67"/>
      <c r="AHT1" s="67"/>
      <c r="AHU1" s="67"/>
      <c r="AHV1" s="67"/>
      <c r="AHW1" s="67"/>
      <c r="AHX1" s="68"/>
      <c r="AHY1" s="67"/>
      <c r="AHZ1" s="67"/>
      <c r="AIA1" s="67"/>
      <c r="AIB1" s="67"/>
      <c r="AIC1" s="67"/>
      <c r="AID1" s="67"/>
      <c r="AIE1" s="67"/>
      <c r="AIF1" s="68"/>
      <c r="AIG1" s="67"/>
      <c r="AIH1" s="67"/>
      <c r="AII1" s="67"/>
      <c r="AIJ1" s="67"/>
      <c r="AIK1" s="67"/>
      <c r="AIL1" s="67"/>
      <c r="AIM1" s="67"/>
      <c r="AIN1" s="68"/>
      <c r="AIO1" s="67"/>
      <c r="AIP1" s="67"/>
      <c r="AIQ1" s="67"/>
      <c r="AIR1" s="67"/>
      <c r="AIS1" s="67"/>
      <c r="AIT1" s="67"/>
      <c r="AIU1" s="67"/>
      <c r="AIV1" s="68"/>
      <c r="AIW1" s="67"/>
      <c r="AIX1" s="67"/>
      <c r="AIY1" s="67"/>
      <c r="AIZ1" s="67"/>
      <c r="AJA1" s="67"/>
      <c r="AJB1" s="67"/>
      <c r="AJC1" s="67"/>
      <c r="AJD1" s="68"/>
      <c r="AJE1" s="67"/>
      <c r="AJF1" s="67"/>
      <c r="AJG1" s="67"/>
      <c r="AJH1" s="67"/>
      <c r="AJI1" s="67"/>
      <c r="AJJ1" s="67"/>
      <c r="AJK1" s="67"/>
      <c r="AJL1" s="68"/>
      <c r="AJM1" s="67"/>
      <c r="AJN1" s="67"/>
      <c r="AJO1" s="67"/>
      <c r="AJP1" s="67"/>
      <c r="AJQ1" s="67"/>
      <c r="AJR1" s="67"/>
      <c r="AJS1" s="67"/>
      <c r="AJT1" s="68"/>
      <c r="AJU1" s="67"/>
      <c r="AJV1" s="67"/>
      <c r="AJW1" s="67"/>
      <c r="AJX1" s="67"/>
      <c r="AJY1" s="67"/>
      <c r="AJZ1" s="67"/>
      <c r="AKA1" s="67"/>
      <c r="AKB1" s="68"/>
      <c r="AKC1" s="67"/>
      <c r="AKD1" s="67"/>
      <c r="AKE1" s="67"/>
      <c r="AKF1" s="67"/>
      <c r="AKG1" s="67"/>
      <c r="AKH1" s="67"/>
      <c r="AKI1" s="67"/>
      <c r="AKJ1" s="68"/>
      <c r="AKK1" s="67"/>
      <c r="AKL1" s="67"/>
      <c r="AKM1" s="67"/>
      <c r="AKN1" s="67"/>
      <c r="AKO1" s="67"/>
      <c r="AKP1" s="67"/>
      <c r="AKQ1" s="67"/>
      <c r="AKR1" s="68"/>
      <c r="AKS1" s="67"/>
      <c r="AKT1" s="67"/>
      <c r="AKU1" s="67"/>
      <c r="AKV1" s="67"/>
      <c r="AKW1" s="67"/>
      <c r="AKX1" s="67"/>
      <c r="AKY1" s="67"/>
      <c r="AKZ1" s="68"/>
      <c r="ALA1" s="67"/>
      <c r="ALB1" s="67"/>
      <c r="ALC1" s="67"/>
      <c r="ALD1" s="67"/>
      <c r="ALE1" s="67"/>
      <c r="ALF1" s="67"/>
      <c r="ALG1" s="67"/>
      <c r="ALH1" s="68"/>
      <c r="ALI1" s="67"/>
      <c r="ALJ1" s="67"/>
      <c r="ALK1" s="67"/>
      <c r="ALL1" s="67"/>
      <c r="ALM1" s="67"/>
      <c r="ALN1" s="67"/>
      <c r="ALO1" s="67"/>
      <c r="ALP1" s="68"/>
      <c r="ALQ1" s="67"/>
      <c r="ALR1" s="67"/>
      <c r="ALS1" s="67"/>
      <c r="ALT1" s="67"/>
      <c r="ALU1" s="67"/>
      <c r="ALV1" s="67"/>
      <c r="ALW1" s="67"/>
      <c r="ALX1" s="68"/>
      <c r="ALY1" s="67"/>
      <c r="ALZ1" s="67"/>
      <c r="AMA1" s="67"/>
      <c r="AMB1" s="67"/>
      <c r="AMC1" s="67"/>
      <c r="AMD1" s="67"/>
      <c r="AME1" s="67"/>
      <c r="AMF1" s="68"/>
      <c r="AMG1" s="67"/>
      <c r="AMH1" s="67"/>
      <c r="AMI1" s="67"/>
      <c r="AMJ1" s="67"/>
      <c r="AMK1" s="67"/>
      <c r="AML1" s="67"/>
      <c r="AMM1" s="67"/>
      <c r="AMN1" s="68"/>
      <c r="AMO1" s="67"/>
      <c r="AMP1" s="67"/>
      <c r="AMQ1" s="67"/>
      <c r="AMR1" s="67"/>
      <c r="AMS1" s="67"/>
      <c r="AMT1" s="67"/>
      <c r="AMU1" s="67"/>
      <c r="AMV1" s="68"/>
      <c r="AMW1" s="67"/>
      <c r="AMX1" s="67"/>
      <c r="AMY1" s="67"/>
      <c r="AMZ1" s="67"/>
      <c r="ANA1" s="67"/>
      <c r="ANB1" s="67"/>
      <c r="ANC1" s="67"/>
      <c r="AND1" s="68"/>
      <c r="ANE1" s="67"/>
      <c r="ANF1" s="67"/>
      <c r="ANG1" s="67"/>
      <c r="ANH1" s="67"/>
      <c r="ANI1" s="67"/>
      <c r="ANJ1" s="67"/>
      <c r="ANK1" s="67"/>
      <c r="ANL1" s="68"/>
      <c r="ANM1" s="67"/>
      <c r="ANN1" s="67"/>
      <c r="ANO1" s="67"/>
      <c r="ANP1" s="67"/>
      <c r="ANQ1" s="67"/>
      <c r="ANR1" s="67"/>
      <c r="ANS1" s="67"/>
      <c r="ANT1" s="68"/>
      <c r="ANU1" s="67"/>
      <c r="ANV1" s="67"/>
      <c r="ANW1" s="67"/>
      <c r="ANX1" s="67"/>
      <c r="ANY1" s="67"/>
      <c r="ANZ1" s="67"/>
      <c r="AOA1" s="67"/>
      <c r="AOB1" s="68"/>
      <c r="AOC1" s="67"/>
      <c r="AOD1" s="67"/>
      <c r="AOE1" s="67"/>
      <c r="AOF1" s="67"/>
      <c r="AOG1" s="67"/>
      <c r="AOH1" s="67"/>
      <c r="AOI1" s="67"/>
      <c r="AOJ1" s="68"/>
      <c r="AOK1" s="67"/>
      <c r="AOL1" s="67"/>
      <c r="AOM1" s="67"/>
      <c r="AON1" s="67"/>
      <c r="AOO1" s="67"/>
      <c r="AOP1" s="67"/>
      <c r="AOQ1" s="67"/>
      <c r="AOR1" s="68"/>
      <c r="AOS1" s="67"/>
      <c r="AOT1" s="67"/>
      <c r="AOU1" s="67"/>
      <c r="AOV1" s="67"/>
      <c r="AOW1" s="67"/>
      <c r="AOX1" s="67"/>
      <c r="AOY1" s="67"/>
      <c r="AOZ1" s="68"/>
      <c r="APA1" s="67"/>
      <c r="APB1" s="67"/>
      <c r="APC1" s="67"/>
      <c r="APD1" s="67"/>
      <c r="APE1" s="67"/>
      <c r="APF1" s="67"/>
      <c r="APG1" s="67"/>
      <c r="APH1" s="68"/>
      <c r="API1" s="67"/>
      <c r="APJ1" s="67"/>
      <c r="APK1" s="67"/>
      <c r="APL1" s="67"/>
      <c r="APM1" s="67"/>
      <c r="APN1" s="67"/>
      <c r="APO1" s="67"/>
      <c r="APP1" s="68"/>
      <c r="APQ1" s="67"/>
      <c r="APR1" s="67"/>
      <c r="APS1" s="67"/>
      <c r="APT1" s="67"/>
      <c r="APU1" s="67"/>
      <c r="APV1" s="67"/>
      <c r="APW1" s="67"/>
      <c r="APX1" s="68"/>
      <c r="APY1" s="67"/>
      <c r="APZ1" s="67"/>
      <c r="AQA1" s="67"/>
      <c r="AQB1" s="67"/>
      <c r="AQC1" s="67"/>
      <c r="AQD1" s="67"/>
      <c r="AQE1" s="67"/>
      <c r="AQF1" s="68"/>
      <c r="AQG1" s="67"/>
      <c r="AQH1" s="67"/>
      <c r="AQI1" s="67"/>
      <c r="AQJ1" s="67"/>
      <c r="AQK1" s="67"/>
      <c r="AQL1" s="67"/>
      <c r="AQM1" s="67"/>
      <c r="AQN1" s="68"/>
      <c r="AQO1" s="67"/>
      <c r="AQP1" s="67"/>
      <c r="AQQ1" s="67"/>
      <c r="AQR1" s="67"/>
      <c r="AQS1" s="67"/>
      <c r="AQT1" s="67"/>
      <c r="AQU1" s="67"/>
      <c r="AQV1" s="68"/>
      <c r="AQW1" s="67"/>
      <c r="AQX1" s="67"/>
      <c r="AQY1" s="67"/>
      <c r="AQZ1" s="67"/>
      <c r="ARA1" s="67"/>
      <c r="ARB1" s="67"/>
      <c r="ARC1" s="67"/>
      <c r="ARD1" s="68"/>
      <c r="ARE1" s="67"/>
      <c r="ARF1" s="67"/>
      <c r="ARG1" s="67"/>
      <c r="ARH1" s="67"/>
      <c r="ARI1" s="67"/>
      <c r="ARJ1" s="67"/>
      <c r="ARK1" s="67"/>
      <c r="ARL1" s="68"/>
      <c r="ARM1" s="67"/>
      <c r="ARN1" s="67"/>
      <c r="ARO1" s="67"/>
      <c r="ARP1" s="67"/>
      <c r="ARQ1" s="67"/>
      <c r="ARR1" s="67"/>
      <c r="ARS1" s="67"/>
      <c r="ART1" s="68"/>
      <c r="ARU1" s="67"/>
      <c r="ARV1" s="67"/>
      <c r="ARW1" s="67"/>
      <c r="ARX1" s="67"/>
      <c r="ARY1" s="67"/>
      <c r="ARZ1" s="67"/>
      <c r="ASA1" s="67"/>
      <c r="ASB1" s="68"/>
      <c r="ASC1" s="67"/>
      <c r="ASD1" s="67"/>
      <c r="ASE1" s="67"/>
      <c r="ASF1" s="67"/>
      <c r="ASG1" s="67"/>
      <c r="ASH1" s="67"/>
      <c r="ASI1" s="67"/>
      <c r="ASJ1" s="68"/>
      <c r="ASK1" s="67"/>
      <c r="ASL1" s="67"/>
      <c r="ASM1" s="67"/>
      <c r="ASN1" s="67"/>
      <c r="ASO1" s="67"/>
      <c r="ASP1" s="67"/>
      <c r="ASQ1" s="67"/>
      <c r="ASR1" s="68"/>
      <c r="ASS1" s="67"/>
      <c r="AST1" s="67"/>
      <c r="ASU1" s="67"/>
      <c r="ASV1" s="67"/>
      <c r="ASW1" s="67"/>
      <c r="ASX1" s="67"/>
      <c r="ASY1" s="67"/>
      <c r="ASZ1" s="68"/>
      <c r="ATA1" s="67"/>
      <c r="ATB1" s="67"/>
      <c r="ATC1" s="67"/>
      <c r="ATD1" s="67"/>
      <c r="ATE1" s="67"/>
      <c r="ATF1" s="67"/>
      <c r="ATG1" s="67"/>
      <c r="ATH1" s="68"/>
      <c r="ATI1" s="67"/>
      <c r="ATJ1" s="67"/>
      <c r="ATK1" s="67"/>
      <c r="ATL1" s="67"/>
      <c r="ATM1" s="67"/>
      <c r="ATN1" s="67"/>
      <c r="ATO1" s="67"/>
      <c r="ATP1" s="68"/>
      <c r="ATQ1" s="67"/>
      <c r="ATR1" s="67"/>
      <c r="ATS1" s="67"/>
      <c r="ATT1" s="67"/>
      <c r="ATU1" s="67"/>
      <c r="ATV1" s="67"/>
      <c r="ATW1" s="67"/>
      <c r="ATX1" s="68"/>
      <c r="ATY1" s="67"/>
      <c r="ATZ1" s="67"/>
      <c r="AUA1" s="67"/>
      <c r="AUB1" s="67"/>
      <c r="AUC1" s="67"/>
      <c r="AUD1" s="67"/>
      <c r="AUE1" s="67"/>
      <c r="AUF1" s="68"/>
      <c r="AUG1" s="67"/>
      <c r="AUH1" s="67"/>
      <c r="AUI1" s="67"/>
      <c r="AUJ1" s="67"/>
      <c r="AUK1" s="67"/>
      <c r="AUL1" s="67"/>
      <c r="AUM1" s="67"/>
      <c r="AUN1" s="68"/>
      <c r="AUO1" s="67"/>
      <c r="AUP1" s="67"/>
      <c r="AUQ1" s="67"/>
      <c r="AUR1" s="67"/>
      <c r="AUS1" s="67"/>
      <c r="AUT1" s="67"/>
      <c r="AUU1" s="67"/>
      <c r="AUV1" s="68"/>
      <c r="AUW1" s="67"/>
      <c r="AUX1" s="67"/>
      <c r="AUY1" s="67"/>
      <c r="AUZ1" s="67"/>
      <c r="AVA1" s="67"/>
      <c r="AVB1" s="67"/>
      <c r="AVC1" s="67"/>
      <c r="AVD1" s="68"/>
      <c r="AVE1" s="67"/>
      <c r="AVF1" s="67"/>
      <c r="AVG1" s="67"/>
      <c r="AVH1" s="67"/>
      <c r="AVI1" s="67"/>
      <c r="AVJ1" s="67"/>
      <c r="AVK1" s="67"/>
      <c r="AVL1" s="68"/>
      <c r="AVM1" s="67"/>
      <c r="AVN1" s="67"/>
      <c r="AVO1" s="67"/>
      <c r="AVP1" s="67"/>
      <c r="AVQ1" s="67"/>
      <c r="AVR1" s="67"/>
      <c r="AVS1" s="67"/>
      <c r="AVT1" s="68"/>
      <c r="AVU1" s="67"/>
      <c r="AVV1" s="67"/>
      <c r="AVW1" s="67"/>
      <c r="AVX1" s="67"/>
      <c r="AVY1" s="67"/>
      <c r="AVZ1" s="67"/>
      <c r="AWA1" s="67"/>
      <c r="AWB1" s="68"/>
      <c r="AWC1" s="67"/>
      <c r="AWD1" s="67"/>
      <c r="AWE1" s="67"/>
      <c r="AWF1" s="67"/>
      <c r="AWG1" s="67"/>
      <c r="AWH1" s="67"/>
      <c r="AWI1" s="67"/>
      <c r="AWJ1" s="68"/>
      <c r="AWK1" s="67"/>
      <c r="AWL1" s="67"/>
      <c r="AWM1" s="67"/>
      <c r="AWN1" s="67"/>
      <c r="AWO1" s="67"/>
      <c r="AWP1" s="67"/>
      <c r="AWQ1" s="67"/>
      <c r="AWR1" s="68"/>
      <c r="AWS1" s="67"/>
      <c r="AWT1" s="67"/>
      <c r="AWU1" s="67"/>
      <c r="AWV1" s="67"/>
      <c r="AWW1" s="67"/>
      <c r="AWX1" s="67"/>
      <c r="AWY1" s="67"/>
      <c r="AWZ1" s="68"/>
      <c r="AXA1" s="67"/>
      <c r="AXB1" s="67"/>
      <c r="AXC1" s="67"/>
      <c r="AXD1" s="67"/>
      <c r="AXE1" s="67"/>
      <c r="AXF1" s="67"/>
      <c r="AXG1" s="67"/>
      <c r="AXH1" s="68"/>
      <c r="AXI1" s="67"/>
      <c r="AXJ1" s="67"/>
      <c r="AXK1" s="67"/>
      <c r="AXL1" s="67"/>
      <c r="AXM1" s="67"/>
      <c r="AXN1" s="67"/>
      <c r="AXO1" s="67"/>
      <c r="AXP1" s="68"/>
      <c r="AXQ1" s="67"/>
      <c r="AXR1" s="67"/>
      <c r="AXS1" s="67"/>
      <c r="AXT1" s="67"/>
      <c r="AXU1" s="67"/>
      <c r="AXV1" s="67"/>
      <c r="AXW1" s="67"/>
      <c r="AXX1" s="68"/>
      <c r="AXY1" s="67"/>
      <c r="AXZ1" s="67"/>
      <c r="AYA1" s="67"/>
      <c r="AYB1" s="67"/>
      <c r="AYC1" s="67"/>
      <c r="AYD1" s="67"/>
      <c r="AYE1" s="67"/>
      <c r="AYF1" s="68"/>
      <c r="AYG1" s="67"/>
      <c r="AYH1" s="67"/>
      <c r="AYI1" s="67"/>
      <c r="AYJ1" s="67"/>
      <c r="AYK1" s="67"/>
      <c r="AYL1" s="67"/>
      <c r="AYM1" s="67"/>
      <c r="AYN1" s="68"/>
      <c r="AYO1" s="67"/>
      <c r="AYP1" s="67"/>
      <c r="AYQ1" s="67"/>
      <c r="AYR1" s="67"/>
      <c r="AYS1" s="67"/>
      <c r="AYT1" s="67"/>
      <c r="AYU1" s="67"/>
      <c r="AYV1" s="68"/>
      <c r="AYW1" s="67"/>
      <c r="AYX1" s="67"/>
      <c r="AYY1" s="67"/>
      <c r="AYZ1" s="67"/>
      <c r="AZA1" s="67"/>
      <c r="AZB1" s="67"/>
      <c r="AZC1" s="67"/>
      <c r="AZD1" s="68"/>
      <c r="AZE1" s="67"/>
      <c r="AZF1" s="67"/>
      <c r="AZG1" s="67"/>
      <c r="AZH1" s="67"/>
      <c r="AZI1" s="67"/>
      <c r="AZJ1" s="67"/>
      <c r="AZK1" s="67"/>
      <c r="AZL1" s="68"/>
      <c r="AZM1" s="67"/>
      <c r="AZN1" s="67"/>
      <c r="AZO1" s="67"/>
      <c r="AZP1" s="67"/>
      <c r="AZQ1" s="67"/>
      <c r="AZR1" s="67"/>
      <c r="AZS1" s="67"/>
      <c r="AZT1" s="68"/>
      <c r="AZU1" s="67"/>
      <c r="AZV1" s="67"/>
      <c r="AZW1" s="67"/>
      <c r="AZX1" s="67"/>
      <c r="AZY1" s="67"/>
      <c r="AZZ1" s="67"/>
      <c r="BAA1" s="67"/>
      <c r="BAB1" s="68"/>
      <c r="BAC1" s="67"/>
      <c r="BAD1" s="67"/>
      <c r="BAE1" s="67"/>
      <c r="BAF1" s="67"/>
      <c r="BAG1" s="67"/>
      <c r="BAH1" s="67"/>
      <c r="BAI1" s="67"/>
      <c r="BAJ1" s="68"/>
      <c r="BAK1" s="67"/>
      <c r="BAL1" s="67"/>
      <c r="BAM1" s="67"/>
      <c r="BAN1" s="67"/>
      <c r="BAO1" s="67"/>
      <c r="BAP1" s="67"/>
      <c r="BAQ1" s="67"/>
      <c r="BAR1" s="68"/>
      <c r="BAS1" s="67"/>
      <c r="BAT1" s="67"/>
      <c r="BAU1" s="67"/>
      <c r="BAV1" s="67"/>
      <c r="BAW1" s="67"/>
      <c r="BAX1" s="67"/>
      <c r="BAY1" s="67"/>
      <c r="BAZ1" s="68"/>
      <c r="BBA1" s="67"/>
      <c r="BBB1" s="67"/>
      <c r="BBC1" s="67"/>
      <c r="BBD1" s="67"/>
      <c r="BBE1" s="67"/>
      <c r="BBF1" s="67"/>
      <c r="BBG1" s="67"/>
      <c r="BBH1" s="68"/>
      <c r="BBI1" s="67"/>
      <c r="BBJ1" s="67"/>
      <c r="BBK1" s="67"/>
      <c r="BBL1" s="67"/>
      <c r="BBM1" s="67"/>
      <c r="BBN1" s="67"/>
      <c r="BBO1" s="67"/>
      <c r="BBP1" s="68"/>
      <c r="BBQ1" s="67"/>
      <c r="BBR1" s="67"/>
      <c r="BBS1" s="67"/>
      <c r="BBT1" s="67"/>
      <c r="BBU1" s="67"/>
      <c r="BBV1" s="67"/>
      <c r="BBW1" s="67"/>
      <c r="BBX1" s="68"/>
      <c r="BBY1" s="67"/>
      <c r="BBZ1" s="67"/>
      <c r="BCA1" s="67"/>
      <c r="BCB1" s="67"/>
      <c r="BCC1" s="67"/>
      <c r="BCD1" s="67"/>
      <c r="BCE1" s="67"/>
      <c r="BCF1" s="68"/>
      <c r="BCG1" s="67"/>
      <c r="BCH1" s="67"/>
      <c r="BCI1" s="67"/>
      <c r="BCJ1" s="67"/>
      <c r="BCK1" s="67"/>
      <c r="BCL1" s="67"/>
      <c r="BCM1" s="67"/>
      <c r="BCN1" s="68"/>
      <c r="BCO1" s="67"/>
      <c r="BCP1" s="67"/>
      <c r="BCQ1" s="67"/>
      <c r="BCR1" s="67"/>
      <c r="BCS1" s="67"/>
      <c r="BCT1" s="67"/>
      <c r="BCU1" s="67"/>
      <c r="BCV1" s="68"/>
      <c r="BCW1" s="67"/>
      <c r="BCX1" s="67"/>
      <c r="BCY1" s="67"/>
      <c r="BCZ1" s="67"/>
      <c r="BDA1" s="67"/>
      <c r="BDB1" s="67"/>
      <c r="BDC1" s="67"/>
      <c r="BDD1" s="68"/>
      <c r="BDE1" s="67"/>
      <c r="BDF1" s="67"/>
      <c r="BDG1" s="67"/>
      <c r="BDH1" s="67"/>
      <c r="BDI1" s="67"/>
      <c r="BDJ1" s="67"/>
      <c r="BDK1" s="67"/>
      <c r="BDL1" s="68"/>
      <c r="BDM1" s="67"/>
      <c r="BDN1" s="67"/>
      <c r="BDO1" s="67"/>
      <c r="BDP1" s="67"/>
      <c r="BDQ1" s="67"/>
      <c r="BDR1" s="67"/>
      <c r="BDS1" s="67"/>
      <c r="BDT1" s="68"/>
      <c r="BDU1" s="67"/>
      <c r="BDV1" s="67"/>
      <c r="BDW1" s="67"/>
      <c r="BDX1" s="67"/>
      <c r="BDY1" s="67"/>
      <c r="BDZ1" s="67"/>
      <c r="BEA1" s="67"/>
      <c r="BEB1" s="68"/>
      <c r="BEC1" s="67"/>
      <c r="BED1" s="67"/>
      <c r="BEE1" s="67"/>
      <c r="BEF1" s="67"/>
      <c r="BEG1" s="67"/>
      <c r="BEH1" s="67"/>
      <c r="BEI1" s="67"/>
      <c r="BEJ1" s="68"/>
      <c r="BEK1" s="67"/>
      <c r="BEL1" s="67"/>
      <c r="BEM1" s="67"/>
      <c r="BEN1" s="67"/>
      <c r="BEO1" s="67"/>
      <c r="BEP1" s="67"/>
      <c r="BEQ1" s="67"/>
      <c r="BER1" s="68"/>
      <c r="BES1" s="67"/>
      <c r="BET1" s="67"/>
      <c r="BEU1" s="67"/>
      <c r="BEV1" s="67"/>
      <c r="BEW1" s="67"/>
      <c r="BEX1" s="67"/>
      <c r="BEY1" s="67"/>
      <c r="BEZ1" s="68"/>
      <c r="BFA1" s="67"/>
      <c r="BFB1" s="67"/>
      <c r="BFC1" s="67"/>
      <c r="BFD1" s="67"/>
      <c r="BFE1" s="67"/>
      <c r="BFF1" s="67"/>
      <c r="BFG1" s="67"/>
      <c r="BFH1" s="68"/>
      <c r="BFI1" s="67"/>
      <c r="BFJ1" s="67"/>
      <c r="BFK1" s="67"/>
      <c r="BFL1" s="67"/>
      <c r="BFM1" s="67"/>
      <c r="BFN1" s="67"/>
      <c r="BFO1" s="67"/>
      <c r="BFP1" s="68"/>
      <c r="BFQ1" s="67"/>
      <c r="BFR1" s="67"/>
      <c r="BFS1" s="67"/>
      <c r="BFT1" s="67"/>
      <c r="BFU1" s="67"/>
      <c r="BFV1" s="67"/>
      <c r="BFW1" s="67"/>
      <c r="BFX1" s="68"/>
      <c r="BFY1" s="67"/>
      <c r="BFZ1" s="67"/>
      <c r="BGA1" s="67"/>
      <c r="BGB1" s="67"/>
      <c r="BGC1" s="67"/>
      <c r="BGD1" s="67"/>
      <c r="BGE1" s="67"/>
      <c r="BGF1" s="68"/>
      <c r="BGG1" s="67"/>
      <c r="BGH1" s="67"/>
      <c r="BGI1" s="67"/>
      <c r="BGJ1" s="67"/>
      <c r="BGK1" s="67"/>
      <c r="BGL1" s="67"/>
      <c r="BGM1" s="67"/>
      <c r="BGN1" s="68"/>
      <c r="BGO1" s="67"/>
      <c r="BGP1" s="67"/>
      <c r="BGQ1" s="67"/>
      <c r="BGR1" s="67"/>
      <c r="BGS1" s="67"/>
      <c r="BGT1" s="67"/>
      <c r="BGU1" s="67"/>
      <c r="BGV1" s="68"/>
      <c r="BGW1" s="67"/>
      <c r="BGX1" s="67"/>
      <c r="BGY1" s="67"/>
      <c r="BGZ1" s="67"/>
      <c r="BHA1" s="67"/>
      <c r="BHB1" s="67"/>
      <c r="BHC1" s="67"/>
      <c r="BHD1" s="68"/>
      <c r="BHE1" s="67"/>
      <c r="BHF1" s="67"/>
      <c r="BHG1" s="67"/>
      <c r="BHH1" s="67"/>
      <c r="BHI1" s="67"/>
      <c r="BHJ1" s="67"/>
      <c r="BHK1" s="67"/>
      <c r="BHL1" s="68"/>
      <c r="BHM1" s="67"/>
      <c r="BHN1" s="67"/>
      <c r="BHO1" s="67"/>
      <c r="BHP1" s="67"/>
      <c r="BHQ1" s="67"/>
      <c r="BHR1" s="67"/>
      <c r="BHS1" s="67"/>
      <c r="BHT1" s="68"/>
      <c r="BHU1" s="67"/>
      <c r="BHV1" s="67"/>
      <c r="BHW1" s="67"/>
      <c r="BHX1" s="67"/>
      <c r="BHY1" s="67"/>
      <c r="BHZ1" s="67"/>
      <c r="BIA1" s="67"/>
      <c r="BIB1" s="68"/>
      <c r="BIC1" s="67"/>
      <c r="BID1" s="67"/>
      <c r="BIE1" s="67"/>
      <c r="BIF1" s="67"/>
      <c r="BIG1" s="67"/>
      <c r="BIH1" s="67"/>
      <c r="BII1" s="67"/>
      <c r="BIJ1" s="68"/>
      <c r="BIK1" s="67"/>
      <c r="BIL1" s="67"/>
      <c r="BIM1" s="67"/>
      <c r="BIN1" s="67"/>
      <c r="BIO1" s="67"/>
      <c r="BIP1" s="67"/>
      <c r="BIQ1" s="67"/>
      <c r="BIR1" s="68"/>
      <c r="BIS1" s="67"/>
      <c r="BIT1" s="67"/>
      <c r="BIU1" s="67"/>
      <c r="BIV1" s="67"/>
      <c r="BIW1" s="67"/>
      <c r="BIX1" s="67"/>
      <c r="BIY1" s="67"/>
      <c r="BIZ1" s="68"/>
      <c r="BJA1" s="67"/>
      <c r="BJB1" s="67"/>
      <c r="BJC1" s="67"/>
      <c r="BJD1" s="67"/>
      <c r="BJE1" s="67"/>
      <c r="BJF1" s="67"/>
      <c r="BJG1" s="67"/>
      <c r="BJH1" s="68"/>
      <c r="BJI1" s="67"/>
      <c r="BJJ1" s="67"/>
      <c r="BJK1" s="67"/>
      <c r="BJL1" s="67"/>
      <c r="BJM1" s="67"/>
      <c r="BJN1" s="67"/>
      <c r="BJO1" s="67"/>
      <c r="BJP1" s="68"/>
      <c r="BJQ1" s="67"/>
      <c r="BJR1" s="67"/>
      <c r="BJS1" s="67"/>
      <c r="BJT1" s="67"/>
      <c r="BJU1" s="67"/>
      <c r="BJV1" s="67"/>
      <c r="BJW1" s="67"/>
      <c r="BJX1" s="68"/>
      <c r="BJY1" s="67"/>
      <c r="BJZ1" s="67"/>
      <c r="BKA1" s="67"/>
      <c r="BKB1" s="67"/>
      <c r="BKC1" s="67"/>
      <c r="BKD1" s="67"/>
      <c r="BKE1" s="67"/>
      <c r="BKF1" s="68"/>
      <c r="BKG1" s="67"/>
      <c r="BKH1" s="67"/>
      <c r="BKI1" s="67"/>
      <c r="BKJ1" s="67"/>
      <c r="BKK1" s="67"/>
      <c r="BKL1" s="67"/>
      <c r="BKM1" s="67"/>
      <c r="BKN1" s="68"/>
      <c r="BKO1" s="67"/>
      <c r="BKP1" s="67"/>
      <c r="BKQ1" s="67"/>
      <c r="BKR1" s="67"/>
      <c r="BKS1" s="67"/>
      <c r="BKT1" s="67"/>
      <c r="BKU1" s="67"/>
      <c r="BKV1" s="68"/>
      <c r="BKW1" s="67"/>
      <c r="BKX1" s="67"/>
      <c r="BKY1" s="67"/>
      <c r="BKZ1" s="67"/>
      <c r="BLA1" s="67"/>
      <c r="BLB1" s="67"/>
      <c r="BLC1" s="67"/>
      <c r="BLD1" s="68"/>
      <c r="BLE1" s="67"/>
      <c r="BLF1" s="67"/>
      <c r="BLG1" s="67"/>
      <c r="BLH1" s="67"/>
      <c r="BLI1" s="67"/>
      <c r="BLJ1" s="67"/>
      <c r="BLK1" s="67"/>
      <c r="BLL1" s="68"/>
      <c r="BLM1" s="67"/>
      <c r="BLN1" s="67"/>
      <c r="BLO1" s="67"/>
      <c r="BLP1" s="67"/>
      <c r="BLQ1" s="67"/>
      <c r="BLR1" s="67"/>
      <c r="BLS1" s="67"/>
      <c r="BLT1" s="68"/>
      <c r="BLU1" s="67"/>
      <c r="BLV1" s="67"/>
      <c r="BLW1" s="67"/>
      <c r="BLX1" s="67"/>
      <c r="BLY1" s="67"/>
      <c r="BLZ1" s="67"/>
      <c r="BMA1" s="67"/>
      <c r="BMB1" s="68"/>
      <c r="BMC1" s="67"/>
      <c r="BMD1" s="67"/>
      <c r="BME1" s="67"/>
      <c r="BMF1" s="67"/>
      <c r="BMG1" s="67"/>
      <c r="BMH1" s="67"/>
      <c r="BMI1" s="67"/>
      <c r="BMJ1" s="68"/>
      <c r="BMK1" s="67"/>
      <c r="BML1" s="67"/>
      <c r="BMM1" s="67"/>
      <c r="BMN1" s="67"/>
      <c r="BMO1" s="67"/>
      <c r="BMP1" s="67"/>
      <c r="BMQ1" s="67"/>
      <c r="BMR1" s="68"/>
      <c r="BMS1" s="67"/>
      <c r="BMT1" s="67"/>
      <c r="BMU1" s="67"/>
      <c r="BMV1" s="67"/>
      <c r="BMW1" s="67"/>
      <c r="BMX1" s="67"/>
      <c r="BMY1" s="67"/>
      <c r="BMZ1" s="68"/>
      <c r="BNA1" s="67"/>
      <c r="BNB1" s="67"/>
      <c r="BNC1" s="67"/>
      <c r="BND1" s="67"/>
      <c r="BNE1" s="67"/>
      <c r="BNF1" s="67"/>
      <c r="BNG1" s="67"/>
      <c r="BNH1" s="68"/>
      <c r="BNI1" s="67"/>
      <c r="BNJ1" s="67"/>
      <c r="BNK1" s="67"/>
      <c r="BNL1" s="67"/>
      <c r="BNM1" s="67"/>
      <c r="BNN1" s="67"/>
      <c r="BNO1" s="67"/>
      <c r="BNP1" s="68"/>
      <c r="BNQ1" s="67"/>
      <c r="BNR1" s="67"/>
      <c r="BNS1" s="67"/>
      <c r="BNT1" s="67"/>
      <c r="BNU1" s="67"/>
      <c r="BNV1" s="67"/>
      <c r="BNW1" s="67"/>
      <c r="BNX1" s="68"/>
      <c r="BNY1" s="67"/>
      <c r="BNZ1" s="67"/>
      <c r="BOA1" s="67"/>
      <c r="BOB1" s="67"/>
      <c r="BOC1" s="67"/>
      <c r="BOD1" s="67"/>
      <c r="BOE1" s="67"/>
      <c r="BOF1" s="68"/>
      <c r="BOG1" s="67"/>
      <c r="BOH1" s="67"/>
      <c r="BOI1" s="67"/>
      <c r="BOJ1" s="67"/>
      <c r="BOK1" s="67"/>
      <c r="BOL1" s="67"/>
      <c r="BOM1" s="67"/>
      <c r="BON1" s="68"/>
      <c r="BOO1" s="67"/>
      <c r="BOP1" s="67"/>
      <c r="BOQ1" s="67"/>
      <c r="BOR1" s="67"/>
      <c r="BOS1" s="67"/>
      <c r="BOT1" s="67"/>
      <c r="BOU1" s="67"/>
      <c r="BOV1" s="68"/>
      <c r="BOW1" s="67"/>
      <c r="BOX1" s="67"/>
      <c r="BOY1" s="67"/>
      <c r="BOZ1" s="67"/>
      <c r="BPA1" s="67"/>
      <c r="BPB1" s="67"/>
      <c r="BPC1" s="67"/>
      <c r="BPD1" s="68"/>
      <c r="BPE1" s="67"/>
      <c r="BPF1" s="67"/>
      <c r="BPG1" s="67"/>
      <c r="BPH1" s="67"/>
      <c r="BPI1" s="67"/>
      <c r="BPJ1" s="67"/>
      <c r="BPK1" s="67"/>
      <c r="BPL1" s="68"/>
      <c r="BPM1" s="67"/>
      <c r="BPN1" s="67"/>
      <c r="BPO1" s="67"/>
      <c r="BPP1" s="67"/>
      <c r="BPQ1" s="67"/>
      <c r="BPR1" s="67"/>
      <c r="BPS1" s="67"/>
      <c r="BPT1" s="68"/>
      <c r="BPU1" s="67"/>
      <c r="BPV1" s="67"/>
      <c r="BPW1" s="67"/>
      <c r="BPX1" s="67"/>
      <c r="BPY1" s="67"/>
      <c r="BPZ1" s="67"/>
      <c r="BQA1" s="67"/>
      <c r="BQB1" s="68"/>
      <c r="BQC1" s="67"/>
      <c r="BQD1" s="67"/>
      <c r="BQE1" s="67"/>
      <c r="BQF1" s="67"/>
      <c r="BQG1" s="67"/>
      <c r="BQH1" s="67"/>
      <c r="BQI1" s="67"/>
      <c r="BQJ1" s="68"/>
      <c r="BQK1" s="67"/>
      <c r="BQL1" s="67"/>
      <c r="BQM1" s="67"/>
      <c r="BQN1" s="67"/>
      <c r="BQO1" s="67"/>
      <c r="BQP1" s="67"/>
      <c r="BQQ1" s="67"/>
      <c r="BQR1" s="68"/>
      <c r="BQS1" s="67"/>
      <c r="BQT1" s="67"/>
      <c r="BQU1" s="67"/>
      <c r="BQV1" s="67"/>
      <c r="BQW1" s="67"/>
      <c r="BQX1" s="67"/>
      <c r="BQY1" s="67"/>
      <c r="BQZ1" s="68"/>
      <c r="BRA1" s="67"/>
      <c r="BRB1" s="67"/>
      <c r="BRC1" s="67"/>
      <c r="BRD1" s="67"/>
      <c r="BRE1" s="67"/>
      <c r="BRF1" s="67"/>
      <c r="BRG1" s="67"/>
      <c r="BRH1" s="68"/>
      <c r="BRI1" s="67"/>
      <c r="BRJ1" s="67"/>
      <c r="BRK1" s="67"/>
      <c r="BRL1" s="67"/>
      <c r="BRM1" s="67"/>
      <c r="BRN1" s="67"/>
      <c r="BRO1" s="67"/>
      <c r="BRP1" s="68"/>
      <c r="BRQ1" s="67"/>
      <c r="BRR1" s="67"/>
      <c r="BRS1" s="67"/>
      <c r="BRT1" s="67"/>
      <c r="BRU1" s="67"/>
      <c r="BRV1" s="67"/>
      <c r="BRW1" s="67"/>
      <c r="BRX1" s="68"/>
      <c r="BRY1" s="67"/>
      <c r="BRZ1" s="67"/>
      <c r="BSA1" s="67"/>
      <c r="BSB1" s="67"/>
      <c r="BSC1" s="67"/>
      <c r="BSD1" s="67"/>
      <c r="BSE1" s="67"/>
      <c r="BSF1" s="68"/>
      <c r="BSG1" s="67"/>
      <c r="BSH1" s="67"/>
      <c r="BSI1" s="67"/>
      <c r="BSJ1" s="67"/>
      <c r="BSK1" s="67"/>
      <c r="BSL1" s="67"/>
      <c r="BSM1" s="67"/>
      <c r="BSN1" s="68"/>
      <c r="BSO1" s="67"/>
      <c r="BSP1" s="67"/>
      <c r="BSQ1" s="67"/>
      <c r="BSR1" s="67"/>
      <c r="BSS1" s="67"/>
      <c r="BST1" s="67"/>
      <c r="BSU1" s="67"/>
      <c r="BSV1" s="68"/>
      <c r="BSW1" s="67"/>
      <c r="BSX1" s="67"/>
      <c r="BSY1" s="67"/>
      <c r="BSZ1" s="67"/>
      <c r="BTA1" s="67"/>
      <c r="BTB1" s="67"/>
      <c r="BTC1" s="67"/>
      <c r="BTD1" s="68"/>
      <c r="BTE1" s="67"/>
      <c r="BTF1" s="67"/>
      <c r="BTG1" s="67"/>
      <c r="BTH1" s="67"/>
      <c r="BTI1" s="67"/>
      <c r="BTJ1" s="67"/>
      <c r="BTK1" s="67"/>
      <c r="BTL1" s="68"/>
      <c r="BTM1" s="67"/>
      <c r="BTN1" s="67"/>
      <c r="BTO1" s="67"/>
      <c r="BTP1" s="67"/>
      <c r="BTQ1" s="67"/>
      <c r="BTR1" s="67"/>
      <c r="BTS1" s="67"/>
      <c r="BTT1" s="68"/>
      <c r="BTU1" s="67"/>
      <c r="BTV1" s="67"/>
      <c r="BTW1" s="67"/>
      <c r="BTX1" s="67"/>
      <c r="BTY1" s="67"/>
      <c r="BTZ1" s="67"/>
      <c r="BUA1" s="67"/>
      <c r="BUB1" s="68"/>
      <c r="BUC1" s="67"/>
      <c r="BUD1" s="67"/>
      <c r="BUE1" s="67"/>
      <c r="BUF1" s="67"/>
      <c r="BUG1" s="67"/>
      <c r="BUH1" s="67"/>
      <c r="BUI1" s="67"/>
      <c r="BUJ1" s="68"/>
      <c r="BUK1" s="67"/>
      <c r="BUL1" s="67"/>
      <c r="BUM1" s="67"/>
      <c r="BUN1" s="67"/>
      <c r="BUO1" s="67"/>
      <c r="BUP1" s="67"/>
      <c r="BUQ1" s="67"/>
      <c r="BUR1" s="68"/>
      <c r="BUS1" s="67"/>
      <c r="BUT1" s="67"/>
      <c r="BUU1" s="67"/>
      <c r="BUV1" s="67"/>
      <c r="BUW1" s="67"/>
      <c r="BUX1" s="67"/>
      <c r="BUY1" s="67"/>
      <c r="BUZ1" s="68"/>
      <c r="BVA1" s="67"/>
      <c r="BVB1" s="67"/>
      <c r="BVC1" s="67"/>
      <c r="BVD1" s="67"/>
      <c r="BVE1" s="67"/>
      <c r="BVF1" s="67"/>
      <c r="BVG1" s="67"/>
      <c r="BVH1" s="68"/>
      <c r="BVI1" s="67"/>
      <c r="BVJ1" s="67"/>
      <c r="BVK1" s="67"/>
      <c r="BVL1" s="67"/>
      <c r="BVM1" s="67"/>
      <c r="BVN1" s="67"/>
      <c r="BVO1" s="67"/>
      <c r="BVP1" s="68"/>
      <c r="BVQ1" s="67"/>
      <c r="BVR1" s="67"/>
      <c r="BVS1" s="67"/>
      <c r="BVT1" s="67"/>
      <c r="BVU1" s="67"/>
      <c r="BVV1" s="67"/>
      <c r="BVW1" s="67"/>
      <c r="BVX1" s="68"/>
      <c r="BVY1" s="67"/>
      <c r="BVZ1" s="67"/>
      <c r="BWA1" s="67"/>
      <c r="BWB1" s="67"/>
      <c r="BWC1" s="67"/>
      <c r="BWD1" s="67"/>
      <c r="BWE1" s="67"/>
      <c r="BWF1" s="68"/>
      <c r="BWG1" s="67"/>
      <c r="BWH1" s="67"/>
      <c r="BWI1" s="67"/>
      <c r="BWJ1" s="67"/>
      <c r="BWK1" s="67"/>
      <c r="BWL1" s="67"/>
      <c r="BWM1" s="67"/>
      <c r="BWN1" s="68"/>
      <c r="BWO1" s="67"/>
      <c r="BWP1" s="67"/>
      <c r="BWQ1" s="67"/>
      <c r="BWR1" s="67"/>
      <c r="BWS1" s="67"/>
      <c r="BWT1" s="67"/>
      <c r="BWU1" s="67"/>
      <c r="BWV1" s="68"/>
      <c r="BWW1" s="67"/>
      <c r="BWX1" s="67"/>
      <c r="BWY1" s="67"/>
      <c r="BWZ1" s="67"/>
      <c r="BXA1" s="67"/>
      <c r="BXB1" s="67"/>
      <c r="BXC1" s="67"/>
      <c r="BXD1" s="68"/>
      <c r="BXE1" s="67"/>
      <c r="BXF1" s="67"/>
      <c r="BXG1" s="67"/>
      <c r="BXH1" s="67"/>
      <c r="BXI1" s="67"/>
      <c r="BXJ1" s="67"/>
      <c r="BXK1" s="67"/>
      <c r="BXL1" s="68"/>
      <c r="BXM1" s="67"/>
      <c r="BXN1" s="67"/>
      <c r="BXO1" s="67"/>
      <c r="BXP1" s="67"/>
      <c r="BXQ1" s="67"/>
      <c r="BXR1" s="67"/>
      <c r="BXS1" s="67"/>
      <c r="BXT1" s="68"/>
      <c r="BXU1" s="67"/>
      <c r="BXV1" s="67"/>
      <c r="BXW1" s="67"/>
      <c r="BXX1" s="67"/>
      <c r="BXY1" s="67"/>
      <c r="BXZ1" s="67"/>
      <c r="BYA1" s="67"/>
      <c r="BYB1" s="68"/>
      <c r="BYC1" s="67"/>
      <c r="BYD1" s="67"/>
      <c r="BYE1" s="67"/>
      <c r="BYF1" s="67"/>
      <c r="BYG1" s="67"/>
      <c r="BYH1" s="67"/>
      <c r="BYI1" s="67"/>
      <c r="BYJ1" s="68"/>
      <c r="BYK1" s="67"/>
      <c r="BYL1" s="67"/>
      <c r="BYM1" s="67"/>
      <c r="BYN1" s="67"/>
      <c r="BYO1" s="67"/>
      <c r="BYP1" s="67"/>
      <c r="BYQ1" s="67"/>
      <c r="BYR1" s="68"/>
      <c r="BYS1" s="67"/>
      <c r="BYT1" s="67"/>
      <c r="BYU1" s="67"/>
      <c r="BYV1" s="67"/>
      <c r="BYW1" s="67"/>
      <c r="BYX1" s="67"/>
      <c r="BYY1" s="67"/>
      <c r="BYZ1" s="68"/>
      <c r="BZA1" s="67"/>
      <c r="BZB1" s="67"/>
      <c r="BZC1" s="67"/>
      <c r="BZD1" s="67"/>
      <c r="BZE1" s="67"/>
      <c r="BZF1" s="67"/>
      <c r="BZG1" s="67"/>
      <c r="BZH1" s="68"/>
      <c r="BZI1" s="67"/>
      <c r="BZJ1" s="67"/>
      <c r="BZK1" s="67"/>
      <c r="BZL1" s="67"/>
      <c r="BZM1" s="67"/>
      <c r="BZN1" s="67"/>
      <c r="BZO1" s="67"/>
      <c r="BZP1" s="68"/>
      <c r="BZQ1" s="67"/>
      <c r="BZR1" s="67"/>
      <c r="BZS1" s="67"/>
      <c r="BZT1" s="67"/>
      <c r="BZU1" s="67"/>
      <c r="BZV1" s="67"/>
      <c r="BZW1" s="67"/>
      <c r="BZX1" s="68"/>
      <c r="BZY1" s="67"/>
      <c r="BZZ1" s="67"/>
      <c r="CAA1" s="67"/>
      <c r="CAB1" s="67"/>
      <c r="CAC1" s="67"/>
      <c r="CAD1" s="67"/>
      <c r="CAE1" s="67"/>
      <c r="CAF1" s="68"/>
      <c r="CAG1" s="67"/>
      <c r="CAH1" s="67"/>
      <c r="CAI1" s="67"/>
      <c r="CAJ1" s="67"/>
      <c r="CAK1" s="67"/>
      <c r="CAL1" s="67"/>
      <c r="CAM1" s="67"/>
      <c r="CAN1" s="68"/>
      <c r="CAO1" s="67"/>
      <c r="CAP1" s="67"/>
      <c r="CAQ1" s="67"/>
      <c r="CAR1" s="67"/>
      <c r="CAS1" s="67"/>
      <c r="CAT1" s="67"/>
      <c r="CAU1" s="67"/>
      <c r="CAV1" s="68"/>
      <c r="CAW1" s="67"/>
      <c r="CAX1" s="67"/>
      <c r="CAY1" s="67"/>
      <c r="CAZ1" s="67"/>
      <c r="CBA1" s="67"/>
      <c r="CBB1" s="67"/>
      <c r="CBC1" s="67"/>
      <c r="CBD1" s="68"/>
      <c r="CBE1" s="67"/>
      <c r="CBF1" s="67"/>
      <c r="CBG1" s="67"/>
      <c r="CBH1" s="67"/>
      <c r="CBI1" s="67"/>
      <c r="CBJ1" s="67"/>
      <c r="CBK1" s="67"/>
      <c r="CBL1" s="68"/>
      <c r="CBM1" s="67"/>
      <c r="CBN1" s="67"/>
      <c r="CBO1" s="67"/>
      <c r="CBP1" s="67"/>
      <c r="CBQ1" s="67"/>
      <c r="CBR1" s="67"/>
      <c r="CBS1" s="67"/>
      <c r="CBT1" s="68"/>
      <c r="CBU1" s="67"/>
      <c r="CBV1" s="67"/>
      <c r="CBW1" s="67"/>
      <c r="CBX1" s="67"/>
      <c r="CBY1" s="67"/>
      <c r="CBZ1" s="67"/>
      <c r="CCA1" s="67"/>
      <c r="CCB1" s="68"/>
      <c r="CCC1" s="67"/>
      <c r="CCD1" s="67"/>
      <c r="CCE1" s="67"/>
      <c r="CCF1" s="67"/>
      <c r="CCG1" s="67"/>
      <c r="CCH1" s="67"/>
      <c r="CCI1" s="67"/>
      <c r="CCJ1" s="68"/>
      <c r="CCK1" s="67"/>
      <c r="CCL1" s="67"/>
      <c r="CCM1" s="67"/>
      <c r="CCN1" s="67"/>
      <c r="CCO1" s="67"/>
      <c r="CCP1" s="67"/>
      <c r="CCQ1" s="67"/>
      <c r="CCR1" s="68"/>
      <c r="CCS1" s="67"/>
      <c r="CCT1" s="67"/>
      <c r="CCU1" s="67"/>
      <c r="CCV1" s="67"/>
      <c r="CCW1" s="67"/>
      <c r="CCX1" s="67"/>
      <c r="CCY1" s="67"/>
      <c r="CCZ1" s="68"/>
      <c r="CDA1" s="67"/>
      <c r="CDB1" s="67"/>
      <c r="CDC1" s="67"/>
      <c r="CDD1" s="67"/>
      <c r="CDE1" s="67"/>
      <c r="CDF1" s="67"/>
      <c r="CDG1" s="67"/>
      <c r="CDH1" s="68"/>
      <c r="CDI1" s="67"/>
      <c r="CDJ1" s="67"/>
      <c r="CDK1" s="67"/>
      <c r="CDL1" s="67"/>
      <c r="CDM1" s="67"/>
      <c r="CDN1" s="67"/>
      <c r="CDO1" s="67"/>
      <c r="CDP1" s="68"/>
      <c r="CDQ1" s="67"/>
      <c r="CDR1" s="67"/>
      <c r="CDS1" s="67"/>
      <c r="CDT1" s="67"/>
      <c r="CDU1" s="67"/>
      <c r="CDV1" s="67"/>
      <c r="CDW1" s="67"/>
      <c r="CDX1" s="68"/>
      <c r="CDY1" s="67"/>
      <c r="CDZ1" s="67"/>
      <c r="CEA1" s="67"/>
      <c r="CEB1" s="67"/>
      <c r="CEC1" s="67"/>
      <c r="CED1" s="67"/>
      <c r="CEE1" s="67"/>
      <c r="CEF1" s="68"/>
      <c r="CEG1" s="67"/>
      <c r="CEH1" s="67"/>
      <c r="CEI1" s="67"/>
      <c r="CEJ1" s="67"/>
      <c r="CEK1" s="67"/>
      <c r="CEL1" s="67"/>
      <c r="CEM1" s="67"/>
      <c r="CEN1" s="68"/>
      <c r="CEO1" s="67"/>
      <c r="CEP1" s="67"/>
      <c r="CEQ1" s="67"/>
      <c r="CER1" s="67"/>
      <c r="CES1" s="67"/>
      <c r="CET1" s="67"/>
      <c r="CEU1" s="67"/>
      <c r="CEV1" s="68"/>
      <c r="CEW1" s="67"/>
      <c r="CEX1" s="67"/>
      <c r="CEY1" s="67"/>
      <c r="CEZ1" s="67"/>
      <c r="CFA1" s="67"/>
      <c r="CFB1" s="67"/>
      <c r="CFC1" s="67"/>
      <c r="CFD1" s="68"/>
      <c r="CFE1" s="67"/>
      <c r="CFF1" s="67"/>
      <c r="CFG1" s="67"/>
      <c r="CFH1" s="67"/>
      <c r="CFI1" s="67"/>
      <c r="CFJ1" s="67"/>
      <c r="CFK1" s="67"/>
      <c r="CFL1" s="68"/>
      <c r="CFM1" s="67"/>
      <c r="CFN1" s="67"/>
      <c r="CFO1" s="67"/>
      <c r="CFP1" s="67"/>
      <c r="CFQ1" s="67"/>
      <c r="CFR1" s="67"/>
      <c r="CFS1" s="67"/>
      <c r="CFT1" s="68"/>
      <c r="CFU1" s="67"/>
      <c r="CFV1" s="67"/>
      <c r="CFW1" s="67"/>
      <c r="CFX1" s="67"/>
      <c r="CFY1" s="67"/>
      <c r="CFZ1" s="67"/>
      <c r="CGA1" s="67"/>
      <c r="CGB1" s="68"/>
      <c r="CGC1" s="67"/>
      <c r="CGD1" s="67"/>
      <c r="CGE1" s="67"/>
      <c r="CGF1" s="67"/>
      <c r="CGG1" s="67"/>
      <c r="CGH1" s="67"/>
      <c r="CGI1" s="67"/>
      <c r="CGJ1" s="68"/>
      <c r="CGK1" s="67"/>
      <c r="CGL1" s="67"/>
      <c r="CGM1" s="67"/>
      <c r="CGN1" s="67"/>
      <c r="CGO1" s="67"/>
      <c r="CGP1" s="67"/>
      <c r="CGQ1" s="67"/>
      <c r="CGR1" s="68"/>
      <c r="CGS1" s="67"/>
      <c r="CGT1" s="67"/>
      <c r="CGU1" s="67"/>
      <c r="CGV1" s="67"/>
      <c r="CGW1" s="67"/>
      <c r="CGX1" s="67"/>
      <c r="CGY1" s="67"/>
      <c r="CGZ1" s="68"/>
      <c r="CHA1" s="67"/>
      <c r="CHB1" s="67"/>
      <c r="CHC1" s="67"/>
      <c r="CHD1" s="67"/>
      <c r="CHE1" s="67"/>
      <c r="CHF1" s="67"/>
      <c r="CHG1" s="67"/>
      <c r="CHH1" s="68"/>
      <c r="CHI1" s="67"/>
      <c r="CHJ1" s="67"/>
      <c r="CHK1" s="67"/>
      <c r="CHL1" s="67"/>
      <c r="CHM1" s="67"/>
      <c r="CHN1" s="67"/>
      <c r="CHO1" s="67"/>
      <c r="CHP1" s="68"/>
      <c r="CHQ1" s="67"/>
      <c r="CHR1" s="67"/>
      <c r="CHS1" s="67"/>
      <c r="CHT1" s="67"/>
      <c r="CHU1" s="67"/>
      <c r="CHV1" s="67"/>
      <c r="CHW1" s="67"/>
      <c r="CHX1" s="68"/>
      <c r="CHY1" s="67"/>
      <c r="CHZ1" s="67"/>
      <c r="CIA1" s="67"/>
      <c r="CIB1" s="67"/>
      <c r="CIC1" s="67"/>
      <c r="CID1" s="67"/>
      <c r="CIE1" s="67"/>
      <c r="CIF1" s="68"/>
      <c r="CIG1" s="67"/>
      <c r="CIH1" s="67"/>
      <c r="CII1" s="67"/>
      <c r="CIJ1" s="67"/>
      <c r="CIK1" s="67"/>
      <c r="CIL1" s="67"/>
      <c r="CIM1" s="67"/>
      <c r="CIN1" s="68"/>
      <c r="CIO1" s="67"/>
      <c r="CIP1" s="67"/>
      <c r="CIQ1" s="67"/>
      <c r="CIR1" s="67"/>
      <c r="CIS1" s="67"/>
      <c r="CIT1" s="67"/>
      <c r="CIU1" s="67"/>
      <c r="CIV1" s="68"/>
      <c r="CIW1" s="67"/>
      <c r="CIX1" s="67"/>
      <c r="CIY1" s="67"/>
      <c r="CIZ1" s="67"/>
      <c r="CJA1" s="67"/>
      <c r="CJB1" s="67"/>
      <c r="CJC1" s="67"/>
      <c r="CJD1" s="68"/>
      <c r="CJE1" s="67"/>
      <c r="CJF1" s="67"/>
      <c r="CJG1" s="67"/>
      <c r="CJH1" s="67"/>
      <c r="CJI1" s="67"/>
      <c r="CJJ1" s="67"/>
      <c r="CJK1" s="67"/>
      <c r="CJL1" s="68"/>
      <c r="CJM1" s="67"/>
      <c r="CJN1" s="67"/>
      <c r="CJO1" s="67"/>
      <c r="CJP1" s="67"/>
      <c r="CJQ1" s="67"/>
      <c r="CJR1" s="67"/>
      <c r="CJS1" s="67"/>
      <c r="CJT1" s="68"/>
      <c r="CJU1" s="67"/>
      <c r="CJV1" s="67"/>
      <c r="CJW1" s="67"/>
      <c r="CJX1" s="67"/>
      <c r="CJY1" s="67"/>
      <c r="CJZ1" s="67"/>
      <c r="CKA1" s="67"/>
      <c r="CKB1" s="68"/>
      <c r="CKC1" s="67"/>
      <c r="CKD1" s="67"/>
      <c r="CKE1" s="67"/>
      <c r="CKF1" s="67"/>
      <c r="CKG1" s="67"/>
      <c r="CKH1" s="67"/>
      <c r="CKI1" s="67"/>
      <c r="CKJ1" s="68"/>
      <c r="CKK1" s="67"/>
      <c r="CKL1" s="67"/>
      <c r="CKM1" s="67"/>
      <c r="CKN1" s="67"/>
      <c r="CKO1" s="67"/>
      <c r="CKP1" s="67"/>
      <c r="CKQ1" s="67"/>
      <c r="CKR1" s="68"/>
      <c r="CKS1" s="67"/>
      <c r="CKT1" s="67"/>
      <c r="CKU1" s="67"/>
      <c r="CKV1" s="67"/>
      <c r="CKW1" s="67"/>
      <c r="CKX1" s="67"/>
      <c r="CKY1" s="67"/>
      <c r="CKZ1" s="68"/>
      <c r="CLA1" s="67"/>
      <c r="CLB1" s="67"/>
      <c r="CLC1" s="67"/>
      <c r="CLD1" s="67"/>
      <c r="CLE1" s="67"/>
      <c r="CLF1" s="67"/>
      <c r="CLG1" s="67"/>
      <c r="CLH1" s="68"/>
      <c r="CLI1" s="67"/>
      <c r="CLJ1" s="67"/>
      <c r="CLK1" s="67"/>
      <c r="CLL1" s="67"/>
      <c r="CLM1" s="67"/>
      <c r="CLN1" s="67"/>
      <c r="CLO1" s="67"/>
      <c r="CLP1" s="68"/>
      <c r="CLQ1" s="67"/>
      <c r="CLR1" s="67"/>
      <c r="CLS1" s="67"/>
      <c r="CLT1" s="67"/>
      <c r="CLU1" s="67"/>
      <c r="CLV1" s="67"/>
      <c r="CLW1" s="67"/>
      <c r="CLX1" s="68"/>
      <c r="CLY1" s="67"/>
      <c r="CLZ1" s="67"/>
      <c r="CMA1" s="67"/>
      <c r="CMB1" s="67"/>
      <c r="CMC1" s="67"/>
      <c r="CMD1" s="67"/>
      <c r="CME1" s="67"/>
      <c r="CMF1" s="68"/>
      <c r="CMG1" s="67"/>
      <c r="CMH1" s="67"/>
      <c r="CMI1" s="67"/>
      <c r="CMJ1" s="67"/>
      <c r="CMK1" s="67"/>
      <c r="CML1" s="67"/>
      <c r="CMM1" s="67"/>
      <c r="CMN1" s="68"/>
      <c r="CMO1" s="67"/>
      <c r="CMP1" s="67"/>
      <c r="CMQ1" s="67"/>
      <c r="CMR1" s="67"/>
      <c r="CMS1" s="67"/>
      <c r="CMT1" s="67"/>
      <c r="CMU1" s="67"/>
      <c r="CMV1" s="68"/>
      <c r="CMW1" s="67"/>
      <c r="CMX1" s="67"/>
      <c r="CMY1" s="67"/>
      <c r="CMZ1" s="67"/>
      <c r="CNA1" s="67"/>
      <c r="CNB1" s="67"/>
      <c r="CNC1" s="67"/>
      <c r="CND1" s="68"/>
      <c r="CNE1" s="67"/>
      <c r="CNF1" s="67"/>
      <c r="CNG1" s="67"/>
      <c r="CNH1" s="67"/>
      <c r="CNI1" s="67"/>
      <c r="CNJ1" s="67"/>
      <c r="CNK1" s="67"/>
      <c r="CNL1" s="68"/>
      <c r="CNM1" s="67"/>
      <c r="CNN1" s="67"/>
      <c r="CNO1" s="67"/>
      <c r="CNP1" s="67"/>
      <c r="CNQ1" s="67"/>
      <c r="CNR1" s="67"/>
      <c r="CNS1" s="67"/>
      <c r="CNT1" s="68"/>
      <c r="CNU1" s="67"/>
      <c r="CNV1" s="67"/>
      <c r="CNW1" s="67"/>
      <c r="CNX1" s="67"/>
      <c r="CNY1" s="67"/>
      <c r="CNZ1" s="67"/>
      <c r="COA1" s="67"/>
      <c r="COB1" s="68"/>
      <c r="COC1" s="67"/>
      <c r="COD1" s="67"/>
      <c r="COE1" s="67"/>
      <c r="COF1" s="67"/>
      <c r="COG1" s="67"/>
      <c r="COH1" s="67"/>
      <c r="COI1" s="67"/>
      <c r="COJ1" s="68"/>
      <c r="COK1" s="67"/>
      <c r="COL1" s="67"/>
      <c r="COM1" s="67"/>
      <c r="CON1" s="67"/>
      <c r="COO1" s="67"/>
      <c r="COP1" s="67"/>
      <c r="COQ1" s="67"/>
      <c r="COR1" s="68"/>
      <c r="COS1" s="67"/>
      <c r="COT1" s="67"/>
      <c r="COU1" s="67"/>
      <c r="COV1" s="67"/>
      <c r="COW1" s="67"/>
      <c r="COX1" s="67"/>
      <c r="COY1" s="67"/>
      <c r="COZ1" s="68"/>
      <c r="CPA1" s="67"/>
      <c r="CPB1" s="67"/>
      <c r="CPC1" s="67"/>
      <c r="CPD1" s="67"/>
      <c r="CPE1" s="67"/>
      <c r="CPF1" s="67"/>
      <c r="CPG1" s="67"/>
      <c r="CPH1" s="68"/>
      <c r="CPI1" s="67"/>
      <c r="CPJ1" s="67"/>
      <c r="CPK1" s="67"/>
      <c r="CPL1" s="67"/>
      <c r="CPM1" s="67"/>
      <c r="CPN1" s="67"/>
      <c r="CPO1" s="67"/>
      <c r="CPP1" s="68"/>
      <c r="CPQ1" s="67"/>
      <c r="CPR1" s="67"/>
      <c r="CPS1" s="67"/>
      <c r="CPT1" s="67"/>
      <c r="CPU1" s="67"/>
      <c r="CPV1" s="67"/>
      <c r="CPW1" s="67"/>
      <c r="CPX1" s="68"/>
      <c r="CPY1" s="67"/>
      <c r="CPZ1" s="67"/>
      <c r="CQA1" s="67"/>
      <c r="CQB1" s="67"/>
      <c r="CQC1" s="67"/>
      <c r="CQD1" s="67"/>
      <c r="CQE1" s="67"/>
      <c r="CQF1" s="68"/>
      <c r="CQG1" s="67"/>
      <c r="CQH1" s="67"/>
      <c r="CQI1" s="67"/>
      <c r="CQJ1" s="67"/>
      <c r="CQK1" s="67"/>
      <c r="CQL1" s="67"/>
      <c r="CQM1" s="67"/>
      <c r="CQN1" s="68"/>
      <c r="CQO1" s="67"/>
      <c r="CQP1" s="67"/>
      <c r="CQQ1" s="67"/>
      <c r="CQR1" s="67"/>
      <c r="CQS1" s="67"/>
      <c r="CQT1" s="67"/>
      <c r="CQU1" s="67"/>
      <c r="CQV1" s="68"/>
      <c r="CQW1" s="67"/>
      <c r="CQX1" s="67"/>
      <c r="CQY1" s="67"/>
      <c r="CQZ1" s="67"/>
      <c r="CRA1" s="67"/>
      <c r="CRB1" s="67"/>
      <c r="CRC1" s="67"/>
      <c r="CRD1" s="68"/>
      <c r="CRE1" s="67"/>
      <c r="CRF1" s="67"/>
      <c r="CRG1" s="67"/>
      <c r="CRH1" s="67"/>
      <c r="CRI1" s="67"/>
      <c r="CRJ1" s="67"/>
      <c r="CRK1" s="67"/>
      <c r="CRL1" s="68"/>
      <c r="CRM1" s="67"/>
      <c r="CRN1" s="67"/>
      <c r="CRO1" s="67"/>
      <c r="CRP1" s="67"/>
      <c r="CRQ1" s="67"/>
      <c r="CRR1" s="67"/>
      <c r="CRS1" s="67"/>
      <c r="CRT1" s="68"/>
      <c r="CRU1" s="67"/>
      <c r="CRV1" s="67"/>
      <c r="CRW1" s="67"/>
      <c r="CRX1" s="67"/>
      <c r="CRY1" s="67"/>
      <c r="CRZ1" s="67"/>
      <c r="CSA1" s="67"/>
      <c r="CSB1" s="68"/>
      <c r="CSC1" s="67"/>
      <c r="CSD1" s="67"/>
      <c r="CSE1" s="67"/>
      <c r="CSF1" s="67"/>
      <c r="CSG1" s="67"/>
      <c r="CSH1" s="67"/>
      <c r="CSI1" s="67"/>
      <c r="CSJ1" s="68"/>
      <c r="CSK1" s="67"/>
      <c r="CSL1" s="67"/>
      <c r="CSM1" s="67"/>
      <c r="CSN1" s="67"/>
      <c r="CSO1" s="67"/>
      <c r="CSP1" s="67"/>
      <c r="CSQ1" s="67"/>
      <c r="CSR1" s="68"/>
      <c r="CSS1" s="67"/>
      <c r="CST1" s="67"/>
      <c r="CSU1" s="67"/>
      <c r="CSV1" s="67"/>
      <c r="CSW1" s="67"/>
      <c r="CSX1" s="67"/>
      <c r="CSY1" s="67"/>
      <c r="CSZ1" s="68"/>
      <c r="CTA1" s="67"/>
      <c r="CTB1" s="67"/>
      <c r="CTC1" s="67"/>
      <c r="CTD1" s="67"/>
      <c r="CTE1" s="67"/>
      <c r="CTF1" s="67"/>
      <c r="CTG1" s="67"/>
      <c r="CTH1" s="68"/>
      <c r="CTI1" s="67"/>
      <c r="CTJ1" s="67"/>
      <c r="CTK1" s="67"/>
      <c r="CTL1" s="67"/>
      <c r="CTM1" s="67"/>
      <c r="CTN1" s="67"/>
      <c r="CTO1" s="67"/>
      <c r="CTP1" s="68"/>
      <c r="CTQ1" s="67"/>
      <c r="CTR1" s="67"/>
      <c r="CTS1" s="67"/>
      <c r="CTT1" s="67"/>
      <c r="CTU1" s="67"/>
      <c r="CTV1" s="67"/>
      <c r="CTW1" s="67"/>
      <c r="CTX1" s="68"/>
      <c r="CTY1" s="67"/>
      <c r="CTZ1" s="67"/>
      <c r="CUA1" s="67"/>
      <c r="CUB1" s="67"/>
      <c r="CUC1" s="67"/>
      <c r="CUD1" s="67"/>
      <c r="CUE1" s="67"/>
      <c r="CUF1" s="68"/>
      <c r="CUG1" s="67"/>
      <c r="CUH1" s="67"/>
      <c r="CUI1" s="67"/>
      <c r="CUJ1" s="67"/>
      <c r="CUK1" s="67"/>
      <c r="CUL1" s="67"/>
      <c r="CUM1" s="67"/>
      <c r="CUN1" s="68"/>
      <c r="CUO1" s="67"/>
      <c r="CUP1" s="67"/>
      <c r="CUQ1" s="67"/>
      <c r="CUR1" s="67"/>
      <c r="CUS1" s="67"/>
      <c r="CUT1" s="67"/>
      <c r="CUU1" s="67"/>
      <c r="CUV1" s="68"/>
      <c r="CUW1" s="67"/>
      <c r="CUX1" s="67"/>
      <c r="CUY1" s="67"/>
      <c r="CUZ1" s="67"/>
      <c r="CVA1" s="67"/>
      <c r="CVB1" s="67"/>
      <c r="CVC1" s="67"/>
      <c r="CVD1" s="68"/>
      <c r="CVE1" s="67"/>
      <c r="CVF1" s="67"/>
      <c r="CVG1" s="67"/>
      <c r="CVH1" s="67"/>
      <c r="CVI1" s="67"/>
      <c r="CVJ1" s="67"/>
      <c r="CVK1" s="67"/>
      <c r="CVL1" s="68"/>
      <c r="CVM1" s="67"/>
      <c r="CVN1" s="67"/>
      <c r="CVO1" s="67"/>
      <c r="CVP1" s="67"/>
      <c r="CVQ1" s="67"/>
      <c r="CVR1" s="67"/>
      <c r="CVS1" s="67"/>
      <c r="CVT1" s="68"/>
      <c r="CVU1" s="67"/>
      <c r="CVV1" s="67"/>
      <c r="CVW1" s="67"/>
      <c r="CVX1" s="67"/>
      <c r="CVY1" s="67"/>
      <c r="CVZ1" s="67"/>
      <c r="CWA1" s="67"/>
      <c r="CWB1" s="68"/>
      <c r="CWC1" s="67"/>
      <c r="CWD1" s="67"/>
      <c r="CWE1" s="67"/>
      <c r="CWF1" s="67"/>
      <c r="CWG1" s="67"/>
      <c r="CWH1" s="67"/>
      <c r="CWI1" s="67"/>
      <c r="CWJ1" s="68"/>
      <c r="CWK1" s="67"/>
      <c r="CWL1" s="67"/>
      <c r="CWM1" s="67"/>
      <c r="CWN1" s="67"/>
      <c r="CWO1" s="67"/>
      <c r="CWP1" s="67"/>
      <c r="CWQ1" s="67"/>
      <c r="CWR1" s="68"/>
      <c r="CWS1" s="67"/>
      <c r="CWT1" s="67"/>
      <c r="CWU1" s="67"/>
      <c r="CWV1" s="67"/>
      <c r="CWW1" s="67"/>
      <c r="CWX1" s="67"/>
      <c r="CWY1" s="67"/>
      <c r="CWZ1" s="68"/>
      <c r="CXA1" s="67"/>
      <c r="CXB1" s="67"/>
      <c r="CXC1" s="67"/>
      <c r="CXD1" s="67"/>
      <c r="CXE1" s="67"/>
      <c r="CXF1" s="67"/>
      <c r="CXG1" s="67"/>
      <c r="CXH1" s="68"/>
      <c r="CXI1" s="67"/>
      <c r="CXJ1" s="67"/>
      <c r="CXK1" s="67"/>
      <c r="CXL1" s="67"/>
      <c r="CXM1" s="67"/>
      <c r="CXN1" s="67"/>
      <c r="CXO1" s="67"/>
      <c r="CXP1" s="68"/>
      <c r="CXQ1" s="67"/>
      <c r="CXR1" s="67"/>
      <c r="CXS1" s="67"/>
      <c r="CXT1" s="67"/>
      <c r="CXU1" s="67"/>
      <c r="CXV1" s="67"/>
      <c r="CXW1" s="67"/>
      <c r="CXX1" s="68"/>
      <c r="CXY1" s="67"/>
      <c r="CXZ1" s="67"/>
      <c r="CYA1" s="67"/>
      <c r="CYB1" s="67"/>
      <c r="CYC1" s="67"/>
      <c r="CYD1" s="67"/>
      <c r="CYE1" s="67"/>
      <c r="CYF1" s="68"/>
      <c r="CYG1" s="67"/>
      <c r="CYH1" s="67"/>
      <c r="CYI1" s="67"/>
      <c r="CYJ1" s="67"/>
      <c r="CYK1" s="67"/>
      <c r="CYL1" s="67"/>
      <c r="CYM1" s="67"/>
      <c r="CYN1" s="68"/>
      <c r="CYO1" s="67"/>
      <c r="CYP1" s="67"/>
      <c r="CYQ1" s="67"/>
      <c r="CYR1" s="67"/>
      <c r="CYS1" s="67"/>
      <c r="CYT1" s="67"/>
      <c r="CYU1" s="67"/>
      <c r="CYV1" s="68"/>
      <c r="CYW1" s="67"/>
      <c r="CYX1" s="67"/>
      <c r="CYY1" s="67"/>
      <c r="CYZ1" s="67"/>
      <c r="CZA1" s="67"/>
      <c r="CZB1" s="67"/>
      <c r="CZC1" s="67"/>
      <c r="CZD1" s="68"/>
      <c r="CZE1" s="67"/>
      <c r="CZF1" s="67"/>
      <c r="CZG1" s="67"/>
      <c r="CZH1" s="67"/>
      <c r="CZI1" s="67"/>
      <c r="CZJ1" s="67"/>
      <c r="CZK1" s="67"/>
      <c r="CZL1" s="68"/>
      <c r="CZM1" s="67"/>
      <c r="CZN1" s="67"/>
      <c r="CZO1" s="67"/>
      <c r="CZP1" s="67"/>
      <c r="CZQ1" s="67"/>
      <c r="CZR1" s="67"/>
      <c r="CZS1" s="67"/>
      <c r="CZT1" s="68"/>
      <c r="CZU1" s="67"/>
      <c r="CZV1" s="67"/>
      <c r="CZW1" s="67"/>
      <c r="CZX1" s="67"/>
      <c r="CZY1" s="67"/>
      <c r="CZZ1" s="67"/>
      <c r="DAA1" s="67"/>
      <c r="DAB1" s="68"/>
      <c r="DAC1" s="67"/>
      <c r="DAD1" s="67"/>
      <c r="DAE1" s="67"/>
      <c r="DAF1" s="67"/>
      <c r="DAG1" s="67"/>
      <c r="DAH1" s="67"/>
      <c r="DAI1" s="67"/>
      <c r="DAJ1" s="68"/>
      <c r="DAK1" s="67"/>
      <c r="DAL1" s="67"/>
      <c r="DAM1" s="67"/>
      <c r="DAN1" s="67"/>
      <c r="DAO1" s="67"/>
      <c r="DAP1" s="67"/>
      <c r="DAQ1" s="67"/>
      <c r="DAR1" s="68"/>
      <c r="DAS1" s="67"/>
      <c r="DAT1" s="67"/>
      <c r="DAU1" s="67"/>
      <c r="DAV1" s="67"/>
      <c r="DAW1" s="67"/>
      <c r="DAX1" s="67"/>
      <c r="DAY1" s="67"/>
      <c r="DAZ1" s="68"/>
      <c r="DBA1" s="67"/>
      <c r="DBB1" s="67"/>
      <c r="DBC1" s="67"/>
      <c r="DBD1" s="67"/>
      <c r="DBE1" s="67"/>
      <c r="DBF1" s="67"/>
      <c r="DBG1" s="67"/>
      <c r="DBH1" s="68"/>
      <c r="DBI1" s="67"/>
      <c r="DBJ1" s="67"/>
      <c r="DBK1" s="67"/>
      <c r="DBL1" s="67"/>
      <c r="DBM1" s="67"/>
      <c r="DBN1" s="67"/>
      <c r="DBO1" s="67"/>
      <c r="DBP1" s="68"/>
      <c r="DBQ1" s="67"/>
      <c r="DBR1" s="67"/>
      <c r="DBS1" s="67"/>
      <c r="DBT1" s="67"/>
      <c r="DBU1" s="67"/>
      <c r="DBV1" s="67"/>
      <c r="DBW1" s="67"/>
      <c r="DBX1" s="68"/>
      <c r="DBY1" s="67"/>
      <c r="DBZ1" s="67"/>
      <c r="DCA1" s="67"/>
      <c r="DCB1" s="67"/>
      <c r="DCC1" s="67"/>
      <c r="DCD1" s="67"/>
      <c r="DCE1" s="67"/>
      <c r="DCF1" s="68"/>
      <c r="DCG1" s="67"/>
      <c r="DCH1" s="67"/>
      <c r="DCI1" s="67"/>
      <c r="DCJ1" s="67"/>
      <c r="DCK1" s="67"/>
      <c r="DCL1" s="67"/>
      <c r="DCM1" s="67"/>
      <c r="DCN1" s="68"/>
      <c r="DCO1" s="67"/>
      <c r="DCP1" s="67"/>
      <c r="DCQ1" s="67"/>
      <c r="DCR1" s="67"/>
      <c r="DCS1" s="67"/>
      <c r="DCT1" s="67"/>
      <c r="DCU1" s="67"/>
      <c r="DCV1" s="68"/>
      <c r="DCW1" s="67"/>
      <c r="DCX1" s="67"/>
      <c r="DCY1" s="67"/>
      <c r="DCZ1" s="67"/>
      <c r="DDA1" s="67"/>
      <c r="DDB1" s="67"/>
      <c r="DDC1" s="67"/>
      <c r="DDD1" s="68"/>
      <c r="DDE1" s="67"/>
      <c r="DDF1" s="67"/>
      <c r="DDG1" s="67"/>
      <c r="DDH1" s="67"/>
      <c r="DDI1" s="67"/>
      <c r="DDJ1" s="67"/>
      <c r="DDK1" s="67"/>
      <c r="DDL1" s="68"/>
      <c r="DDM1" s="67"/>
      <c r="DDN1" s="67"/>
      <c r="DDO1" s="67"/>
      <c r="DDP1" s="67"/>
      <c r="DDQ1" s="67"/>
      <c r="DDR1" s="67"/>
      <c r="DDS1" s="67"/>
      <c r="DDT1" s="68"/>
      <c r="DDU1" s="67"/>
      <c r="DDV1" s="67"/>
      <c r="DDW1" s="67"/>
      <c r="DDX1" s="67"/>
      <c r="DDY1" s="67"/>
      <c r="DDZ1" s="67"/>
      <c r="DEA1" s="67"/>
      <c r="DEB1" s="68"/>
      <c r="DEC1" s="67"/>
      <c r="DED1" s="67"/>
      <c r="DEE1" s="67"/>
      <c r="DEF1" s="67"/>
      <c r="DEG1" s="67"/>
      <c r="DEH1" s="67"/>
      <c r="DEI1" s="67"/>
      <c r="DEJ1" s="68"/>
      <c r="DEK1" s="67"/>
      <c r="DEL1" s="67"/>
      <c r="DEM1" s="67"/>
      <c r="DEN1" s="67"/>
      <c r="DEO1" s="67"/>
      <c r="DEP1" s="67"/>
      <c r="DEQ1" s="67"/>
      <c r="DER1" s="68"/>
      <c r="DES1" s="67"/>
      <c r="DET1" s="67"/>
      <c r="DEU1" s="67"/>
      <c r="DEV1" s="67"/>
      <c r="DEW1" s="67"/>
      <c r="DEX1" s="67"/>
      <c r="DEY1" s="67"/>
      <c r="DEZ1" s="68"/>
      <c r="DFA1" s="67"/>
      <c r="DFB1" s="67"/>
      <c r="DFC1" s="67"/>
      <c r="DFD1" s="67"/>
      <c r="DFE1" s="67"/>
      <c r="DFF1" s="67"/>
      <c r="DFG1" s="67"/>
      <c r="DFH1" s="68"/>
      <c r="DFI1" s="67"/>
      <c r="DFJ1" s="67"/>
      <c r="DFK1" s="67"/>
      <c r="DFL1" s="67"/>
      <c r="DFM1" s="67"/>
      <c r="DFN1" s="67"/>
      <c r="DFO1" s="67"/>
      <c r="DFP1" s="68"/>
      <c r="DFQ1" s="67"/>
      <c r="DFR1" s="67"/>
      <c r="DFS1" s="67"/>
      <c r="DFT1" s="67"/>
      <c r="DFU1" s="67"/>
      <c r="DFV1" s="67"/>
      <c r="DFW1" s="67"/>
      <c r="DFX1" s="68"/>
      <c r="DFY1" s="67"/>
      <c r="DFZ1" s="67"/>
      <c r="DGA1" s="67"/>
      <c r="DGB1" s="67"/>
      <c r="DGC1" s="67"/>
      <c r="DGD1" s="67"/>
      <c r="DGE1" s="67"/>
      <c r="DGF1" s="68"/>
      <c r="DGG1" s="67"/>
      <c r="DGH1" s="67"/>
      <c r="DGI1" s="67"/>
      <c r="DGJ1" s="67"/>
      <c r="DGK1" s="67"/>
      <c r="DGL1" s="67"/>
      <c r="DGM1" s="67"/>
      <c r="DGN1" s="68"/>
      <c r="DGO1" s="67"/>
      <c r="DGP1" s="67"/>
      <c r="DGQ1" s="67"/>
      <c r="DGR1" s="67"/>
      <c r="DGS1" s="67"/>
      <c r="DGT1" s="67"/>
      <c r="DGU1" s="67"/>
      <c r="DGV1" s="68"/>
      <c r="DGW1" s="67"/>
      <c r="DGX1" s="67"/>
      <c r="DGY1" s="67"/>
      <c r="DGZ1" s="67"/>
      <c r="DHA1" s="67"/>
      <c r="DHB1" s="67"/>
      <c r="DHC1" s="67"/>
      <c r="DHD1" s="68"/>
      <c r="DHE1" s="67"/>
      <c r="DHF1" s="67"/>
      <c r="DHG1" s="67"/>
      <c r="DHH1" s="67"/>
      <c r="DHI1" s="67"/>
      <c r="DHJ1" s="67"/>
      <c r="DHK1" s="67"/>
      <c r="DHL1" s="68"/>
      <c r="DHM1" s="67"/>
      <c r="DHN1" s="67"/>
      <c r="DHO1" s="67"/>
      <c r="DHP1" s="67"/>
      <c r="DHQ1" s="67"/>
      <c r="DHR1" s="67"/>
      <c r="DHS1" s="67"/>
      <c r="DHT1" s="68"/>
      <c r="DHU1" s="67"/>
      <c r="DHV1" s="67"/>
      <c r="DHW1" s="67"/>
      <c r="DHX1" s="67"/>
      <c r="DHY1" s="67"/>
      <c r="DHZ1" s="67"/>
      <c r="DIA1" s="67"/>
      <c r="DIB1" s="68"/>
      <c r="DIC1" s="67"/>
      <c r="DID1" s="67"/>
      <c r="DIE1" s="67"/>
      <c r="DIF1" s="67"/>
      <c r="DIG1" s="67"/>
      <c r="DIH1" s="67"/>
      <c r="DII1" s="67"/>
      <c r="DIJ1" s="68"/>
      <c r="DIK1" s="67"/>
      <c r="DIL1" s="67"/>
      <c r="DIM1" s="67"/>
      <c r="DIN1" s="67"/>
      <c r="DIO1" s="67"/>
      <c r="DIP1" s="67"/>
      <c r="DIQ1" s="67"/>
      <c r="DIR1" s="68"/>
      <c r="DIS1" s="67"/>
      <c r="DIT1" s="67"/>
      <c r="DIU1" s="67"/>
      <c r="DIV1" s="67"/>
      <c r="DIW1" s="67"/>
      <c r="DIX1" s="67"/>
      <c r="DIY1" s="67"/>
      <c r="DIZ1" s="68"/>
      <c r="DJA1" s="67"/>
      <c r="DJB1" s="67"/>
      <c r="DJC1" s="67"/>
      <c r="DJD1" s="67"/>
      <c r="DJE1" s="67"/>
      <c r="DJF1" s="67"/>
      <c r="DJG1" s="67"/>
      <c r="DJH1" s="68"/>
      <c r="DJI1" s="67"/>
      <c r="DJJ1" s="67"/>
      <c r="DJK1" s="67"/>
      <c r="DJL1" s="67"/>
      <c r="DJM1" s="67"/>
      <c r="DJN1" s="67"/>
      <c r="DJO1" s="67"/>
      <c r="DJP1" s="68"/>
      <c r="DJQ1" s="67"/>
      <c r="DJR1" s="67"/>
      <c r="DJS1" s="67"/>
      <c r="DJT1" s="67"/>
      <c r="DJU1" s="67"/>
      <c r="DJV1" s="67"/>
      <c r="DJW1" s="67"/>
      <c r="DJX1" s="68"/>
      <c r="DJY1" s="67"/>
      <c r="DJZ1" s="67"/>
      <c r="DKA1" s="67"/>
      <c r="DKB1" s="67"/>
      <c r="DKC1" s="67"/>
      <c r="DKD1" s="67"/>
      <c r="DKE1" s="67"/>
      <c r="DKF1" s="68"/>
      <c r="DKG1" s="67"/>
      <c r="DKH1" s="67"/>
      <c r="DKI1" s="67"/>
      <c r="DKJ1" s="67"/>
      <c r="DKK1" s="67"/>
      <c r="DKL1" s="67"/>
      <c r="DKM1" s="67"/>
      <c r="DKN1" s="68"/>
      <c r="DKO1" s="67"/>
      <c r="DKP1" s="67"/>
      <c r="DKQ1" s="67"/>
      <c r="DKR1" s="67"/>
      <c r="DKS1" s="67"/>
      <c r="DKT1" s="67"/>
      <c r="DKU1" s="67"/>
      <c r="DKV1" s="68"/>
      <c r="DKW1" s="67"/>
      <c r="DKX1" s="67"/>
      <c r="DKY1" s="67"/>
      <c r="DKZ1" s="67"/>
      <c r="DLA1" s="67"/>
      <c r="DLB1" s="67"/>
      <c r="DLC1" s="67"/>
      <c r="DLD1" s="68"/>
      <c r="DLE1" s="67"/>
      <c r="DLF1" s="67"/>
      <c r="DLG1" s="67"/>
      <c r="DLH1" s="67"/>
      <c r="DLI1" s="67"/>
      <c r="DLJ1" s="67"/>
      <c r="DLK1" s="67"/>
      <c r="DLL1" s="68"/>
      <c r="DLM1" s="67"/>
      <c r="DLN1" s="67"/>
      <c r="DLO1" s="67"/>
      <c r="DLP1" s="67"/>
      <c r="DLQ1" s="67"/>
      <c r="DLR1" s="67"/>
      <c r="DLS1" s="67"/>
      <c r="DLT1" s="68"/>
      <c r="DLU1" s="67"/>
      <c r="DLV1" s="67"/>
      <c r="DLW1" s="67"/>
      <c r="DLX1" s="67"/>
      <c r="DLY1" s="67"/>
      <c r="DLZ1" s="67"/>
      <c r="DMA1" s="67"/>
      <c r="DMB1" s="68"/>
      <c r="DMC1" s="67"/>
      <c r="DMD1" s="67"/>
      <c r="DME1" s="67"/>
      <c r="DMF1" s="67"/>
      <c r="DMG1" s="67"/>
      <c r="DMH1" s="67"/>
      <c r="DMI1" s="67"/>
      <c r="DMJ1" s="68"/>
      <c r="DMK1" s="67"/>
      <c r="DML1" s="67"/>
      <c r="DMM1" s="67"/>
      <c r="DMN1" s="67"/>
      <c r="DMO1" s="67"/>
      <c r="DMP1" s="67"/>
      <c r="DMQ1" s="67"/>
      <c r="DMR1" s="68"/>
      <c r="DMS1" s="67"/>
      <c r="DMT1" s="67"/>
      <c r="DMU1" s="67"/>
      <c r="DMV1" s="67"/>
      <c r="DMW1" s="67"/>
      <c r="DMX1" s="67"/>
      <c r="DMY1" s="67"/>
      <c r="DMZ1" s="68"/>
      <c r="DNA1" s="67"/>
      <c r="DNB1" s="67"/>
      <c r="DNC1" s="67"/>
      <c r="DND1" s="67"/>
      <c r="DNE1" s="67"/>
      <c r="DNF1" s="67"/>
      <c r="DNG1" s="67"/>
      <c r="DNH1" s="68"/>
      <c r="DNI1" s="67"/>
      <c r="DNJ1" s="67"/>
      <c r="DNK1" s="67"/>
      <c r="DNL1" s="67"/>
      <c r="DNM1" s="67"/>
      <c r="DNN1" s="67"/>
      <c r="DNO1" s="67"/>
      <c r="DNP1" s="68"/>
      <c r="DNQ1" s="67"/>
      <c r="DNR1" s="67"/>
      <c r="DNS1" s="67"/>
      <c r="DNT1" s="67"/>
      <c r="DNU1" s="67"/>
      <c r="DNV1" s="67"/>
      <c r="DNW1" s="67"/>
      <c r="DNX1" s="68"/>
      <c r="DNY1" s="67"/>
      <c r="DNZ1" s="67"/>
      <c r="DOA1" s="67"/>
      <c r="DOB1" s="67"/>
      <c r="DOC1" s="67"/>
      <c r="DOD1" s="67"/>
      <c r="DOE1" s="67"/>
      <c r="DOF1" s="68"/>
      <c r="DOG1" s="67"/>
      <c r="DOH1" s="67"/>
      <c r="DOI1" s="67"/>
      <c r="DOJ1" s="67"/>
      <c r="DOK1" s="67"/>
      <c r="DOL1" s="67"/>
      <c r="DOM1" s="67"/>
      <c r="DON1" s="68"/>
      <c r="DOO1" s="67"/>
      <c r="DOP1" s="67"/>
      <c r="DOQ1" s="67"/>
      <c r="DOR1" s="67"/>
      <c r="DOS1" s="67"/>
      <c r="DOT1" s="67"/>
      <c r="DOU1" s="67"/>
      <c r="DOV1" s="68"/>
      <c r="DOW1" s="67"/>
      <c r="DOX1" s="67"/>
      <c r="DOY1" s="67"/>
      <c r="DOZ1" s="67"/>
      <c r="DPA1" s="67"/>
      <c r="DPB1" s="67"/>
      <c r="DPC1" s="67"/>
      <c r="DPD1" s="68"/>
      <c r="DPE1" s="67"/>
      <c r="DPF1" s="67"/>
      <c r="DPG1" s="67"/>
      <c r="DPH1" s="67"/>
      <c r="DPI1" s="67"/>
      <c r="DPJ1" s="67"/>
      <c r="DPK1" s="67"/>
      <c r="DPL1" s="68"/>
      <c r="DPM1" s="67"/>
      <c r="DPN1" s="67"/>
      <c r="DPO1" s="67"/>
      <c r="DPP1" s="67"/>
      <c r="DPQ1" s="67"/>
      <c r="DPR1" s="67"/>
      <c r="DPS1" s="67"/>
      <c r="DPT1" s="68"/>
      <c r="DPU1" s="67"/>
      <c r="DPV1" s="67"/>
      <c r="DPW1" s="67"/>
      <c r="DPX1" s="67"/>
      <c r="DPY1" s="67"/>
      <c r="DPZ1" s="67"/>
      <c r="DQA1" s="67"/>
      <c r="DQB1" s="68"/>
      <c r="DQC1" s="67"/>
      <c r="DQD1" s="67"/>
      <c r="DQE1" s="67"/>
      <c r="DQF1" s="67"/>
      <c r="DQG1" s="67"/>
      <c r="DQH1" s="67"/>
      <c r="DQI1" s="67"/>
      <c r="DQJ1" s="68"/>
      <c r="DQK1" s="67"/>
      <c r="DQL1" s="67"/>
      <c r="DQM1" s="67"/>
      <c r="DQN1" s="67"/>
      <c r="DQO1" s="67"/>
      <c r="DQP1" s="67"/>
      <c r="DQQ1" s="67"/>
      <c r="DQR1" s="68"/>
      <c r="DQS1" s="67"/>
      <c r="DQT1" s="67"/>
      <c r="DQU1" s="67"/>
      <c r="DQV1" s="67"/>
      <c r="DQW1" s="67"/>
      <c r="DQX1" s="67"/>
      <c r="DQY1" s="67"/>
      <c r="DQZ1" s="68"/>
      <c r="DRA1" s="67"/>
      <c r="DRB1" s="67"/>
      <c r="DRC1" s="67"/>
      <c r="DRD1" s="67"/>
      <c r="DRE1" s="67"/>
      <c r="DRF1" s="67"/>
      <c r="DRG1" s="67"/>
      <c r="DRH1" s="68"/>
      <c r="DRI1" s="67"/>
      <c r="DRJ1" s="67"/>
      <c r="DRK1" s="67"/>
      <c r="DRL1" s="67"/>
      <c r="DRM1" s="67"/>
      <c r="DRN1" s="67"/>
      <c r="DRO1" s="67"/>
      <c r="DRP1" s="68"/>
      <c r="DRQ1" s="67"/>
      <c r="DRR1" s="67"/>
      <c r="DRS1" s="67"/>
      <c r="DRT1" s="67"/>
      <c r="DRU1" s="67"/>
      <c r="DRV1" s="67"/>
      <c r="DRW1" s="67"/>
      <c r="DRX1" s="68"/>
      <c r="DRY1" s="67"/>
      <c r="DRZ1" s="67"/>
      <c r="DSA1" s="67"/>
      <c r="DSB1" s="67"/>
      <c r="DSC1" s="67"/>
      <c r="DSD1" s="67"/>
      <c r="DSE1" s="67"/>
      <c r="DSF1" s="68"/>
      <c r="DSG1" s="67"/>
      <c r="DSH1" s="67"/>
      <c r="DSI1" s="67"/>
      <c r="DSJ1" s="67"/>
      <c r="DSK1" s="67"/>
      <c r="DSL1" s="67"/>
      <c r="DSM1" s="67"/>
      <c r="DSN1" s="68"/>
      <c r="DSO1" s="67"/>
      <c r="DSP1" s="67"/>
      <c r="DSQ1" s="67"/>
      <c r="DSR1" s="67"/>
      <c r="DSS1" s="67"/>
      <c r="DST1" s="67"/>
      <c r="DSU1" s="67"/>
      <c r="DSV1" s="68"/>
      <c r="DSW1" s="67"/>
      <c r="DSX1" s="67"/>
      <c r="DSY1" s="67"/>
      <c r="DSZ1" s="67"/>
      <c r="DTA1" s="67"/>
      <c r="DTB1" s="67"/>
      <c r="DTC1" s="67"/>
      <c r="DTD1" s="68"/>
      <c r="DTE1" s="67"/>
      <c r="DTF1" s="67"/>
      <c r="DTG1" s="67"/>
      <c r="DTH1" s="67"/>
      <c r="DTI1" s="67"/>
      <c r="DTJ1" s="67"/>
      <c r="DTK1" s="67"/>
      <c r="DTL1" s="68"/>
      <c r="DTM1" s="67"/>
      <c r="DTN1" s="67"/>
      <c r="DTO1" s="67"/>
      <c r="DTP1" s="67"/>
      <c r="DTQ1" s="67"/>
      <c r="DTR1" s="67"/>
      <c r="DTS1" s="67"/>
      <c r="DTT1" s="68"/>
      <c r="DTU1" s="67"/>
      <c r="DTV1" s="67"/>
      <c r="DTW1" s="67"/>
      <c r="DTX1" s="67"/>
      <c r="DTY1" s="67"/>
      <c r="DTZ1" s="67"/>
      <c r="DUA1" s="67"/>
      <c r="DUB1" s="68"/>
      <c r="DUC1" s="67"/>
      <c r="DUD1" s="67"/>
      <c r="DUE1" s="67"/>
      <c r="DUF1" s="67"/>
      <c r="DUG1" s="67"/>
      <c r="DUH1" s="67"/>
      <c r="DUI1" s="67"/>
      <c r="DUJ1" s="68"/>
      <c r="DUK1" s="67"/>
      <c r="DUL1" s="67"/>
      <c r="DUM1" s="67"/>
      <c r="DUN1" s="67"/>
      <c r="DUO1" s="67"/>
      <c r="DUP1" s="67"/>
      <c r="DUQ1" s="67"/>
      <c r="DUR1" s="68"/>
      <c r="DUS1" s="67"/>
      <c r="DUT1" s="67"/>
      <c r="DUU1" s="67"/>
      <c r="DUV1" s="67"/>
      <c r="DUW1" s="67"/>
      <c r="DUX1" s="67"/>
      <c r="DUY1" s="67"/>
      <c r="DUZ1" s="68"/>
      <c r="DVA1" s="67"/>
      <c r="DVB1" s="67"/>
      <c r="DVC1" s="67"/>
      <c r="DVD1" s="67"/>
      <c r="DVE1" s="67"/>
      <c r="DVF1" s="67"/>
      <c r="DVG1" s="67"/>
      <c r="DVH1" s="68"/>
      <c r="DVI1" s="67"/>
      <c r="DVJ1" s="67"/>
      <c r="DVK1" s="67"/>
      <c r="DVL1" s="67"/>
      <c r="DVM1" s="67"/>
      <c r="DVN1" s="67"/>
      <c r="DVO1" s="67"/>
      <c r="DVP1" s="68"/>
      <c r="DVQ1" s="67"/>
      <c r="DVR1" s="67"/>
      <c r="DVS1" s="67"/>
      <c r="DVT1" s="67"/>
      <c r="DVU1" s="67"/>
      <c r="DVV1" s="67"/>
      <c r="DVW1" s="67"/>
      <c r="DVX1" s="68"/>
      <c r="DVY1" s="67"/>
      <c r="DVZ1" s="67"/>
      <c r="DWA1" s="67"/>
      <c r="DWB1" s="67"/>
      <c r="DWC1" s="67"/>
      <c r="DWD1" s="67"/>
      <c r="DWE1" s="67"/>
      <c r="DWF1" s="68"/>
      <c r="DWG1" s="67"/>
      <c r="DWH1" s="67"/>
      <c r="DWI1" s="67"/>
      <c r="DWJ1" s="67"/>
      <c r="DWK1" s="67"/>
      <c r="DWL1" s="67"/>
      <c r="DWM1" s="67"/>
      <c r="DWN1" s="68"/>
      <c r="DWO1" s="67"/>
      <c r="DWP1" s="67"/>
      <c r="DWQ1" s="67"/>
      <c r="DWR1" s="67"/>
      <c r="DWS1" s="67"/>
      <c r="DWT1" s="67"/>
      <c r="DWU1" s="67"/>
      <c r="DWV1" s="68"/>
      <c r="DWW1" s="67"/>
      <c r="DWX1" s="67"/>
      <c r="DWY1" s="67"/>
      <c r="DWZ1" s="67"/>
      <c r="DXA1" s="67"/>
      <c r="DXB1" s="67"/>
      <c r="DXC1" s="67"/>
      <c r="DXD1" s="68"/>
      <c r="DXE1" s="67"/>
      <c r="DXF1" s="67"/>
      <c r="DXG1" s="67"/>
      <c r="DXH1" s="67"/>
      <c r="DXI1" s="67"/>
      <c r="DXJ1" s="67"/>
      <c r="DXK1" s="67"/>
      <c r="DXL1" s="68"/>
      <c r="DXM1" s="67"/>
      <c r="DXN1" s="67"/>
      <c r="DXO1" s="67"/>
      <c r="DXP1" s="67"/>
      <c r="DXQ1" s="67"/>
      <c r="DXR1" s="67"/>
      <c r="DXS1" s="67"/>
      <c r="DXT1" s="68"/>
      <c r="DXU1" s="67"/>
      <c r="DXV1" s="67"/>
      <c r="DXW1" s="67"/>
      <c r="DXX1" s="67"/>
      <c r="DXY1" s="67"/>
      <c r="DXZ1" s="67"/>
      <c r="DYA1" s="67"/>
      <c r="DYB1" s="68"/>
      <c r="DYC1" s="67"/>
      <c r="DYD1" s="67"/>
      <c r="DYE1" s="67"/>
      <c r="DYF1" s="67"/>
      <c r="DYG1" s="67"/>
      <c r="DYH1" s="67"/>
      <c r="DYI1" s="67"/>
      <c r="DYJ1" s="68"/>
      <c r="DYK1" s="67"/>
      <c r="DYL1" s="67"/>
      <c r="DYM1" s="67"/>
      <c r="DYN1" s="67"/>
      <c r="DYO1" s="67"/>
      <c r="DYP1" s="67"/>
      <c r="DYQ1" s="67"/>
      <c r="DYR1" s="68"/>
      <c r="DYS1" s="67"/>
      <c r="DYT1" s="67"/>
      <c r="DYU1" s="67"/>
      <c r="DYV1" s="67"/>
      <c r="DYW1" s="67"/>
      <c r="DYX1" s="67"/>
      <c r="DYY1" s="67"/>
      <c r="DYZ1" s="68"/>
      <c r="DZA1" s="67"/>
      <c r="DZB1" s="67"/>
      <c r="DZC1" s="67"/>
      <c r="DZD1" s="67"/>
      <c r="DZE1" s="67"/>
      <c r="DZF1" s="67"/>
      <c r="DZG1" s="67"/>
      <c r="DZH1" s="68"/>
      <c r="DZI1" s="67"/>
      <c r="DZJ1" s="67"/>
      <c r="DZK1" s="67"/>
      <c r="DZL1" s="67"/>
      <c r="DZM1" s="67"/>
      <c r="DZN1" s="67"/>
      <c r="DZO1" s="67"/>
      <c r="DZP1" s="68"/>
      <c r="DZQ1" s="67"/>
      <c r="DZR1" s="67"/>
      <c r="DZS1" s="67"/>
      <c r="DZT1" s="67"/>
      <c r="DZU1" s="67"/>
      <c r="DZV1" s="67"/>
      <c r="DZW1" s="67"/>
      <c r="DZX1" s="68"/>
      <c r="DZY1" s="67"/>
      <c r="DZZ1" s="67"/>
      <c r="EAA1" s="67"/>
      <c r="EAB1" s="67"/>
      <c r="EAC1" s="67"/>
      <c r="EAD1" s="67"/>
      <c r="EAE1" s="67"/>
      <c r="EAF1" s="68"/>
      <c r="EAG1" s="67"/>
      <c r="EAH1" s="67"/>
      <c r="EAI1" s="67"/>
      <c r="EAJ1" s="67"/>
      <c r="EAK1" s="67"/>
      <c r="EAL1" s="67"/>
      <c r="EAM1" s="67"/>
      <c r="EAN1" s="68"/>
      <c r="EAO1" s="67"/>
      <c r="EAP1" s="67"/>
      <c r="EAQ1" s="67"/>
      <c r="EAR1" s="67"/>
      <c r="EAS1" s="67"/>
      <c r="EAT1" s="67"/>
      <c r="EAU1" s="67"/>
      <c r="EAV1" s="68"/>
      <c r="EAW1" s="67"/>
      <c r="EAX1" s="67"/>
      <c r="EAY1" s="67"/>
      <c r="EAZ1" s="67"/>
      <c r="EBA1" s="67"/>
      <c r="EBB1" s="67"/>
      <c r="EBC1" s="67"/>
      <c r="EBD1" s="68"/>
      <c r="EBE1" s="67"/>
      <c r="EBF1" s="67"/>
      <c r="EBG1" s="67"/>
      <c r="EBH1" s="67"/>
      <c r="EBI1" s="67"/>
      <c r="EBJ1" s="67"/>
      <c r="EBK1" s="67"/>
      <c r="EBL1" s="68"/>
      <c r="EBM1" s="67"/>
      <c r="EBN1" s="67"/>
      <c r="EBO1" s="67"/>
      <c r="EBP1" s="67"/>
      <c r="EBQ1" s="67"/>
      <c r="EBR1" s="67"/>
      <c r="EBS1" s="67"/>
      <c r="EBT1" s="68"/>
      <c r="EBU1" s="67"/>
      <c r="EBV1" s="67"/>
      <c r="EBW1" s="67"/>
      <c r="EBX1" s="67"/>
      <c r="EBY1" s="67"/>
      <c r="EBZ1" s="67"/>
      <c r="ECA1" s="67"/>
      <c r="ECB1" s="68"/>
      <c r="ECC1" s="67"/>
      <c r="ECD1" s="67"/>
      <c r="ECE1" s="67"/>
      <c r="ECF1" s="67"/>
      <c r="ECG1" s="67"/>
      <c r="ECH1" s="67"/>
      <c r="ECI1" s="67"/>
      <c r="ECJ1" s="68"/>
      <c r="ECK1" s="67"/>
      <c r="ECL1" s="67"/>
      <c r="ECM1" s="67"/>
      <c r="ECN1" s="67"/>
      <c r="ECO1" s="67"/>
      <c r="ECP1" s="67"/>
      <c r="ECQ1" s="67"/>
      <c r="ECR1" s="68"/>
      <c r="ECS1" s="67"/>
      <c r="ECT1" s="67"/>
      <c r="ECU1" s="67"/>
      <c r="ECV1" s="67"/>
      <c r="ECW1" s="67"/>
      <c r="ECX1" s="67"/>
      <c r="ECY1" s="67"/>
      <c r="ECZ1" s="68"/>
      <c r="EDA1" s="67"/>
      <c r="EDB1" s="67"/>
      <c r="EDC1" s="67"/>
      <c r="EDD1" s="67"/>
      <c r="EDE1" s="67"/>
      <c r="EDF1" s="67"/>
      <c r="EDG1" s="67"/>
      <c r="EDH1" s="68"/>
      <c r="EDI1" s="67"/>
      <c r="EDJ1" s="67"/>
      <c r="EDK1" s="67"/>
      <c r="EDL1" s="67"/>
      <c r="EDM1" s="67"/>
      <c r="EDN1" s="67"/>
      <c r="EDO1" s="67"/>
      <c r="EDP1" s="68"/>
      <c r="EDQ1" s="67"/>
      <c r="EDR1" s="67"/>
      <c r="EDS1" s="67"/>
      <c r="EDT1" s="67"/>
      <c r="EDU1" s="67"/>
      <c r="EDV1" s="67"/>
      <c r="EDW1" s="67"/>
      <c r="EDX1" s="68"/>
      <c r="EDY1" s="67"/>
      <c r="EDZ1" s="67"/>
      <c r="EEA1" s="67"/>
      <c r="EEB1" s="67"/>
      <c r="EEC1" s="67"/>
      <c r="EED1" s="67"/>
      <c r="EEE1" s="67"/>
      <c r="EEF1" s="68"/>
      <c r="EEG1" s="67"/>
      <c r="EEH1" s="67"/>
      <c r="EEI1" s="67"/>
      <c r="EEJ1" s="67"/>
      <c r="EEK1" s="67"/>
      <c r="EEL1" s="67"/>
      <c r="EEM1" s="67"/>
      <c r="EEN1" s="68"/>
      <c r="EEO1" s="67"/>
      <c r="EEP1" s="67"/>
      <c r="EEQ1" s="67"/>
      <c r="EER1" s="67"/>
      <c r="EES1" s="67"/>
      <c r="EET1" s="67"/>
      <c r="EEU1" s="67"/>
      <c r="EEV1" s="68"/>
      <c r="EEW1" s="67"/>
      <c r="EEX1" s="67"/>
      <c r="EEY1" s="67"/>
      <c r="EEZ1" s="67"/>
      <c r="EFA1" s="67"/>
      <c r="EFB1" s="67"/>
      <c r="EFC1" s="67"/>
      <c r="EFD1" s="68"/>
      <c r="EFE1" s="67"/>
      <c r="EFF1" s="67"/>
      <c r="EFG1" s="67"/>
      <c r="EFH1" s="67"/>
      <c r="EFI1" s="67"/>
      <c r="EFJ1" s="67"/>
      <c r="EFK1" s="67"/>
      <c r="EFL1" s="68"/>
      <c r="EFM1" s="67"/>
      <c r="EFN1" s="67"/>
      <c r="EFO1" s="67"/>
      <c r="EFP1" s="67"/>
      <c r="EFQ1" s="67"/>
      <c r="EFR1" s="67"/>
      <c r="EFS1" s="67"/>
      <c r="EFT1" s="68"/>
      <c r="EFU1" s="67"/>
      <c r="EFV1" s="67"/>
      <c r="EFW1" s="67"/>
      <c r="EFX1" s="67"/>
      <c r="EFY1" s="67"/>
      <c r="EFZ1" s="67"/>
      <c r="EGA1" s="67"/>
      <c r="EGB1" s="68"/>
      <c r="EGC1" s="67"/>
      <c r="EGD1" s="67"/>
      <c r="EGE1" s="67"/>
      <c r="EGF1" s="67"/>
      <c r="EGG1" s="67"/>
      <c r="EGH1" s="67"/>
      <c r="EGI1" s="67"/>
      <c r="EGJ1" s="68"/>
      <c r="EGK1" s="67"/>
      <c r="EGL1" s="67"/>
      <c r="EGM1" s="67"/>
      <c r="EGN1" s="67"/>
      <c r="EGO1" s="67"/>
      <c r="EGP1" s="67"/>
      <c r="EGQ1" s="67"/>
      <c r="EGR1" s="68"/>
      <c r="EGS1" s="67"/>
      <c r="EGT1" s="67"/>
      <c r="EGU1" s="67"/>
      <c r="EGV1" s="67"/>
      <c r="EGW1" s="67"/>
      <c r="EGX1" s="67"/>
      <c r="EGY1" s="67"/>
      <c r="EGZ1" s="68"/>
      <c r="EHA1" s="67"/>
      <c r="EHB1" s="67"/>
      <c r="EHC1" s="67"/>
      <c r="EHD1" s="67"/>
      <c r="EHE1" s="67"/>
      <c r="EHF1" s="67"/>
      <c r="EHG1" s="67"/>
      <c r="EHH1" s="68"/>
      <c r="EHI1" s="67"/>
      <c r="EHJ1" s="67"/>
      <c r="EHK1" s="67"/>
      <c r="EHL1" s="67"/>
      <c r="EHM1" s="67"/>
      <c r="EHN1" s="67"/>
      <c r="EHO1" s="67"/>
      <c r="EHP1" s="68"/>
      <c r="EHQ1" s="67"/>
      <c r="EHR1" s="67"/>
      <c r="EHS1" s="67"/>
      <c r="EHT1" s="67"/>
      <c r="EHU1" s="67"/>
      <c r="EHV1" s="67"/>
      <c r="EHW1" s="67"/>
      <c r="EHX1" s="68"/>
      <c r="EHY1" s="67"/>
      <c r="EHZ1" s="67"/>
      <c r="EIA1" s="67"/>
      <c r="EIB1" s="67"/>
      <c r="EIC1" s="67"/>
      <c r="EID1" s="67"/>
      <c r="EIE1" s="67"/>
      <c r="EIF1" s="68"/>
      <c r="EIG1" s="67"/>
      <c r="EIH1" s="67"/>
      <c r="EII1" s="67"/>
      <c r="EIJ1" s="67"/>
      <c r="EIK1" s="67"/>
      <c r="EIL1" s="67"/>
      <c r="EIM1" s="67"/>
      <c r="EIN1" s="68"/>
      <c r="EIO1" s="67"/>
      <c r="EIP1" s="67"/>
      <c r="EIQ1" s="67"/>
      <c r="EIR1" s="67"/>
      <c r="EIS1" s="67"/>
      <c r="EIT1" s="67"/>
      <c r="EIU1" s="67"/>
      <c r="EIV1" s="68"/>
      <c r="EIW1" s="67"/>
      <c r="EIX1" s="67"/>
      <c r="EIY1" s="67"/>
      <c r="EIZ1" s="67"/>
      <c r="EJA1" s="67"/>
      <c r="EJB1" s="67"/>
      <c r="EJC1" s="67"/>
      <c r="EJD1" s="68"/>
      <c r="EJE1" s="67"/>
      <c r="EJF1" s="67"/>
      <c r="EJG1" s="67"/>
      <c r="EJH1" s="67"/>
      <c r="EJI1" s="67"/>
      <c r="EJJ1" s="67"/>
      <c r="EJK1" s="67"/>
      <c r="EJL1" s="68"/>
      <c r="EJM1" s="67"/>
      <c r="EJN1" s="67"/>
      <c r="EJO1" s="67"/>
      <c r="EJP1" s="67"/>
      <c r="EJQ1" s="67"/>
      <c r="EJR1" s="67"/>
      <c r="EJS1" s="67"/>
      <c r="EJT1" s="68"/>
      <c r="EJU1" s="67"/>
      <c r="EJV1" s="67"/>
      <c r="EJW1" s="67"/>
      <c r="EJX1" s="67"/>
      <c r="EJY1" s="67"/>
      <c r="EJZ1" s="67"/>
      <c r="EKA1" s="67"/>
      <c r="EKB1" s="68"/>
      <c r="EKC1" s="67"/>
      <c r="EKD1" s="67"/>
      <c r="EKE1" s="67"/>
      <c r="EKF1" s="67"/>
      <c r="EKG1" s="67"/>
      <c r="EKH1" s="67"/>
      <c r="EKI1" s="67"/>
      <c r="EKJ1" s="68"/>
      <c r="EKK1" s="67"/>
      <c r="EKL1" s="67"/>
      <c r="EKM1" s="67"/>
      <c r="EKN1" s="67"/>
      <c r="EKO1" s="67"/>
      <c r="EKP1" s="67"/>
      <c r="EKQ1" s="67"/>
      <c r="EKR1" s="68"/>
      <c r="EKS1" s="67"/>
      <c r="EKT1" s="67"/>
      <c r="EKU1" s="67"/>
      <c r="EKV1" s="67"/>
      <c r="EKW1" s="67"/>
      <c r="EKX1" s="67"/>
      <c r="EKY1" s="67"/>
      <c r="EKZ1" s="68"/>
      <c r="ELA1" s="67"/>
      <c r="ELB1" s="67"/>
      <c r="ELC1" s="67"/>
      <c r="ELD1" s="67"/>
      <c r="ELE1" s="67"/>
      <c r="ELF1" s="67"/>
      <c r="ELG1" s="67"/>
      <c r="ELH1" s="68"/>
      <c r="ELI1" s="67"/>
      <c r="ELJ1" s="67"/>
      <c r="ELK1" s="67"/>
      <c r="ELL1" s="67"/>
      <c r="ELM1" s="67"/>
      <c r="ELN1" s="67"/>
      <c r="ELO1" s="67"/>
      <c r="ELP1" s="68"/>
      <c r="ELQ1" s="67"/>
      <c r="ELR1" s="67"/>
      <c r="ELS1" s="67"/>
      <c r="ELT1" s="67"/>
      <c r="ELU1" s="67"/>
      <c r="ELV1" s="67"/>
      <c r="ELW1" s="67"/>
      <c r="ELX1" s="68"/>
      <c r="ELY1" s="67"/>
      <c r="ELZ1" s="67"/>
      <c r="EMA1" s="67"/>
      <c r="EMB1" s="67"/>
      <c r="EMC1" s="67"/>
      <c r="EMD1" s="67"/>
      <c r="EME1" s="67"/>
      <c r="EMF1" s="68"/>
      <c r="EMG1" s="67"/>
      <c r="EMH1" s="67"/>
      <c r="EMI1" s="67"/>
      <c r="EMJ1" s="67"/>
      <c r="EMK1" s="67"/>
      <c r="EML1" s="67"/>
      <c r="EMM1" s="67"/>
      <c r="EMN1" s="68"/>
      <c r="EMO1" s="67"/>
      <c r="EMP1" s="67"/>
      <c r="EMQ1" s="67"/>
      <c r="EMR1" s="67"/>
      <c r="EMS1" s="67"/>
      <c r="EMT1" s="67"/>
      <c r="EMU1" s="67"/>
      <c r="EMV1" s="68"/>
      <c r="EMW1" s="67"/>
      <c r="EMX1" s="67"/>
      <c r="EMY1" s="67"/>
      <c r="EMZ1" s="67"/>
      <c r="ENA1" s="67"/>
      <c r="ENB1" s="67"/>
      <c r="ENC1" s="67"/>
      <c r="END1" s="68"/>
      <c r="ENE1" s="67"/>
      <c r="ENF1" s="67"/>
      <c r="ENG1" s="67"/>
      <c r="ENH1" s="67"/>
      <c r="ENI1" s="67"/>
      <c r="ENJ1" s="67"/>
      <c r="ENK1" s="67"/>
      <c r="ENL1" s="68"/>
      <c r="ENM1" s="67"/>
      <c r="ENN1" s="67"/>
      <c r="ENO1" s="67"/>
      <c r="ENP1" s="67"/>
      <c r="ENQ1" s="67"/>
      <c r="ENR1" s="67"/>
      <c r="ENS1" s="67"/>
      <c r="ENT1" s="68"/>
      <c r="ENU1" s="67"/>
      <c r="ENV1" s="67"/>
      <c r="ENW1" s="67"/>
      <c r="ENX1" s="67"/>
      <c r="ENY1" s="67"/>
      <c r="ENZ1" s="67"/>
      <c r="EOA1" s="67"/>
      <c r="EOB1" s="68"/>
      <c r="EOC1" s="67"/>
      <c r="EOD1" s="67"/>
      <c r="EOE1" s="67"/>
      <c r="EOF1" s="67"/>
      <c r="EOG1" s="67"/>
      <c r="EOH1" s="67"/>
      <c r="EOI1" s="67"/>
      <c r="EOJ1" s="68"/>
      <c r="EOK1" s="67"/>
      <c r="EOL1" s="67"/>
      <c r="EOM1" s="67"/>
      <c r="EON1" s="67"/>
      <c r="EOO1" s="67"/>
      <c r="EOP1" s="67"/>
      <c r="EOQ1" s="67"/>
      <c r="EOR1" s="68"/>
      <c r="EOS1" s="67"/>
      <c r="EOT1" s="67"/>
      <c r="EOU1" s="67"/>
      <c r="EOV1" s="67"/>
      <c r="EOW1" s="67"/>
      <c r="EOX1" s="67"/>
      <c r="EOY1" s="67"/>
      <c r="EOZ1" s="68"/>
      <c r="EPA1" s="67"/>
      <c r="EPB1" s="67"/>
      <c r="EPC1" s="67"/>
      <c r="EPD1" s="67"/>
      <c r="EPE1" s="67"/>
      <c r="EPF1" s="67"/>
      <c r="EPG1" s="67"/>
      <c r="EPH1" s="68"/>
      <c r="EPI1" s="67"/>
      <c r="EPJ1" s="67"/>
      <c r="EPK1" s="67"/>
      <c r="EPL1" s="67"/>
      <c r="EPM1" s="67"/>
      <c r="EPN1" s="67"/>
      <c r="EPO1" s="67"/>
      <c r="EPP1" s="68"/>
      <c r="EPQ1" s="67"/>
      <c r="EPR1" s="67"/>
      <c r="EPS1" s="67"/>
      <c r="EPT1" s="67"/>
      <c r="EPU1" s="67"/>
      <c r="EPV1" s="67"/>
      <c r="EPW1" s="67"/>
      <c r="EPX1" s="68"/>
      <c r="EPY1" s="67"/>
      <c r="EPZ1" s="67"/>
      <c r="EQA1" s="67"/>
      <c r="EQB1" s="67"/>
      <c r="EQC1" s="67"/>
      <c r="EQD1" s="67"/>
      <c r="EQE1" s="67"/>
      <c r="EQF1" s="68"/>
      <c r="EQG1" s="67"/>
      <c r="EQH1" s="67"/>
      <c r="EQI1" s="67"/>
      <c r="EQJ1" s="67"/>
      <c r="EQK1" s="67"/>
      <c r="EQL1" s="67"/>
      <c r="EQM1" s="67"/>
      <c r="EQN1" s="68"/>
      <c r="EQO1" s="67"/>
      <c r="EQP1" s="67"/>
      <c r="EQQ1" s="67"/>
      <c r="EQR1" s="67"/>
      <c r="EQS1" s="67"/>
      <c r="EQT1" s="67"/>
      <c r="EQU1" s="67"/>
      <c r="EQV1" s="68"/>
      <c r="EQW1" s="67"/>
      <c r="EQX1" s="67"/>
      <c r="EQY1" s="67"/>
      <c r="EQZ1" s="67"/>
      <c r="ERA1" s="67"/>
      <c r="ERB1" s="67"/>
      <c r="ERC1" s="67"/>
      <c r="ERD1" s="68"/>
      <c r="ERE1" s="67"/>
      <c r="ERF1" s="67"/>
      <c r="ERG1" s="67"/>
      <c r="ERH1" s="67"/>
      <c r="ERI1" s="67"/>
      <c r="ERJ1" s="67"/>
      <c r="ERK1" s="67"/>
      <c r="ERL1" s="68"/>
      <c r="ERM1" s="67"/>
      <c r="ERN1" s="67"/>
      <c r="ERO1" s="67"/>
      <c r="ERP1" s="67"/>
      <c r="ERQ1" s="67"/>
      <c r="ERR1" s="67"/>
      <c r="ERS1" s="67"/>
      <c r="ERT1" s="68"/>
      <c r="ERU1" s="67"/>
      <c r="ERV1" s="67"/>
      <c r="ERW1" s="67"/>
      <c r="ERX1" s="67"/>
      <c r="ERY1" s="67"/>
      <c r="ERZ1" s="67"/>
      <c r="ESA1" s="67"/>
      <c r="ESB1" s="68"/>
      <c r="ESC1" s="67"/>
      <c r="ESD1" s="67"/>
      <c r="ESE1" s="67"/>
      <c r="ESF1" s="67"/>
      <c r="ESG1" s="67"/>
      <c r="ESH1" s="67"/>
      <c r="ESI1" s="67"/>
      <c r="ESJ1" s="68"/>
      <c r="ESK1" s="67"/>
      <c r="ESL1" s="67"/>
      <c r="ESM1" s="67"/>
      <c r="ESN1" s="67"/>
      <c r="ESO1" s="67"/>
      <c r="ESP1" s="67"/>
      <c r="ESQ1" s="67"/>
      <c r="ESR1" s="68"/>
      <c r="ESS1" s="67"/>
      <c r="EST1" s="67"/>
      <c r="ESU1" s="67"/>
      <c r="ESV1" s="67"/>
      <c r="ESW1" s="67"/>
      <c r="ESX1" s="67"/>
      <c r="ESY1" s="67"/>
      <c r="ESZ1" s="68"/>
      <c r="ETA1" s="67"/>
      <c r="ETB1" s="67"/>
      <c r="ETC1" s="67"/>
      <c r="ETD1" s="67"/>
      <c r="ETE1" s="67"/>
      <c r="ETF1" s="67"/>
      <c r="ETG1" s="67"/>
      <c r="ETH1" s="68"/>
      <c r="ETI1" s="67"/>
      <c r="ETJ1" s="67"/>
      <c r="ETK1" s="67"/>
      <c r="ETL1" s="67"/>
      <c r="ETM1" s="67"/>
      <c r="ETN1" s="67"/>
      <c r="ETO1" s="67"/>
      <c r="ETP1" s="68"/>
      <c r="ETQ1" s="67"/>
      <c r="ETR1" s="67"/>
      <c r="ETS1" s="67"/>
      <c r="ETT1" s="67"/>
      <c r="ETU1" s="67"/>
      <c r="ETV1" s="67"/>
      <c r="ETW1" s="67"/>
      <c r="ETX1" s="68"/>
      <c r="ETY1" s="67"/>
      <c r="ETZ1" s="67"/>
      <c r="EUA1" s="67"/>
      <c r="EUB1" s="67"/>
      <c r="EUC1" s="67"/>
      <c r="EUD1" s="67"/>
      <c r="EUE1" s="67"/>
      <c r="EUF1" s="68"/>
      <c r="EUG1" s="67"/>
      <c r="EUH1" s="67"/>
      <c r="EUI1" s="67"/>
      <c r="EUJ1" s="67"/>
      <c r="EUK1" s="67"/>
      <c r="EUL1" s="67"/>
      <c r="EUM1" s="67"/>
      <c r="EUN1" s="68"/>
      <c r="EUO1" s="67"/>
      <c r="EUP1" s="67"/>
      <c r="EUQ1" s="67"/>
      <c r="EUR1" s="67"/>
      <c r="EUS1" s="67"/>
      <c r="EUT1" s="67"/>
      <c r="EUU1" s="67"/>
      <c r="EUV1" s="68"/>
      <c r="EUW1" s="67"/>
      <c r="EUX1" s="67"/>
      <c r="EUY1" s="67"/>
      <c r="EUZ1" s="67"/>
      <c r="EVA1" s="67"/>
      <c r="EVB1" s="67"/>
      <c r="EVC1" s="67"/>
      <c r="EVD1" s="68"/>
      <c r="EVE1" s="67"/>
      <c r="EVF1" s="67"/>
      <c r="EVG1" s="67"/>
      <c r="EVH1" s="67"/>
      <c r="EVI1" s="67"/>
      <c r="EVJ1" s="67"/>
      <c r="EVK1" s="67"/>
      <c r="EVL1" s="68"/>
      <c r="EVM1" s="67"/>
      <c r="EVN1" s="67"/>
      <c r="EVO1" s="67"/>
      <c r="EVP1" s="67"/>
      <c r="EVQ1" s="67"/>
      <c r="EVR1" s="67"/>
      <c r="EVS1" s="67"/>
      <c r="EVT1" s="68"/>
      <c r="EVU1" s="67"/>
      <c r="EVV1" s="67"/>
      <c r="EVW1" s="67"/>
      <c r="EVX1" s="67"/>
      <c r="EVY1" s="67"/>
      <c r="EVZ1" s="67"/>
      <c r="EWA1" s="67"/>
      <c r="EWB1" s="68"/>
      <c r="EWC1" s="67"/>
      <c r="EWD1" s="67"/>
      <c r="EWE1" s="67"/>
      <c r="EWF1" s="67"/>
      <c r="EWG1" s="67"/>
      <c r="EWH1" s="67"/>
      <c r="EWI1" s="67"/>
      <c r="EWJ1" s="68"/>
      <c r="EWK1" s="67"/>
      <c r="EWL1" s="67"/>
      <c r="EWM1" s="67"/>
      <c r="EWN1" s="67"/>
      <c r="EWO1" s="67"/>
      <c r="EWP1" s="67"/>
      <c r="EWQ1" s="67"/>
      <c r="EWR1" s="68"/>
      <c r="EWS1" s="67"/>
      <c r="EWT1" s="67"/>
      <c r="EWU1" s="67"/>
      <c r="EWV1" s="67"/>
      <c r="EWW1" s="67"/>
      <c r="EWX1" s="67"/>
      <c r="EWY1" s="67"/>
      <c r="EWZ1" s="68"/>
      <c r="EXA1" s="67"/>
      <c r="EXB1" s="67"/>
      <c r="EXC1" s="67"/>
      <c r="EXD1" s="67"/>
      <c r="EXE1" s="67"/>
      <c r="EXF1" s="67"/>
      <c r="EXG1" s="67"/>
      <c r="EXH1" s="68"/>
      <c r="EXI1" s="67"/>
      <c r="EXJ1" s="67"/>
      <c r="EXK1" s="67"/>
      <c r="EXL1" s="67"/>
      <c r="EXM1" s="67"/>
      <c r="EXN1" s="67"/>
      <c r="EXO1" s="67"/>
      <c r="EXP1" s="68"/>
      <c r="EXQ1" s="67"/>
      <c r="EXR1" s="67"/>
      <c r="EXS1" s="67"/>
      <c r="EXT1" s="67"/>
      <c r="EXU1" s="67"/>
      <c r="EXV1" s="67"/>
      <c r="EXW1" s="67"/>
      <c r="EXX1" s="68"/>
      <c r="EXY1" s="67"/>
      <c r="EXZ1" s="67"/>
      <c r="EYA1" s="67"/>
      <c r="EYB1" s="67"/>
      <c r="EYC1" s="67"/>
      <c r="EYD1" s="67"/>
      <c r="EYE1" s="67"/>
      <c r="EYF1" s="68"/>
      <c r="EYG1" s="67"/>
      <c r="EYH1" s="67"/>
      <c r="EYI1" s="67"/>
      <c r="EYJ1" s="67"/>
      <c r="EYK1" s="67"/>
      <c r="EYL1" s="67"/>
      <c r="EYM1" s="67"/>
      <c r="EYN1" s="68"/>
      <c r="EYO1" s="67"/>
      <c r="EYP1" s="67"/>
      <c r="EYQ1" s="67"/>
      <c r="EYR1" s="67"/>
      <c r="EYS1" s="67"/>
      <c r="EYT1" s="67"/>
      <c r="EYU1" s="67"/>
      <c r="EYV1" s="68"/>
      <c r="EYW1" s="67"/>
      <c r="EYX1" s="67"/>
      <c r="EYY1" s="67"/>
      <c r="EYZ1" s="67"/>
      <c r="EZA1" s="67"/>
      <c r="EZB1" s="67"/>
      <c r="EZC1" s="67"/>
      <c r="EZD1" s="68"/>
      <c r="EZE1" s="67"/>
      <c r="EZF1" s="67"/>
      <c r="EZG1" s="67"/>
      <c r="EZH1" s="67"/>
      <c r="EZI1" s="67"/>
      <c r="EZJ1" s="67"/>
      <c r="EZK1" s="67"/>
      <c r="EZL1" s="68"/>
      <c r="EZM1" s="67"/>
      <c r="EZN1" s="67"/>
      <c r="EZO1" s="67"/>
      <c r="EZP1" s="67"/>
      <c r="EZQ1" s="67"/>
      <c r="EZR1" s="67"/>
      <c r="EZS1" s="67"/>
      <c r="EZT1" s="68"/>
      <c r="EZU1" s="67"/>
      <c r="EZV1" s="67"/>
      <c r="EZW1" s="67"/>
      <c r="EZX1" s="67"/>
      <c r="EZY1" s="67"/>
      <c r="EZZ1" s="67"/>
      <c r="FAA1" s="67"/>
      <c r="FAB1" s="68"/>
      <c r="FAC1" s="67"/>
      <c r="FAD1" s="67"/>
      <c r="FAE1" s="67"/>
      <c r="FAF1" s="67"/>
      <c r="FAG1" s="67"/>
      <c r="FAH1" s="67"/>
      <c r="FAI1" s="67"/>
      <c r="FAJ1" s="68"/>
      <c r="FAK1" s="67"/>
      <c r="FAL1" s="67"/>
      <c r="FAM1" s="67"/>
      <c r="FAN1" s="67"/>
      <c r="FAO1" s="67"/>
      <c r="FAP1" s="67"/>
      <c r="FAQ1" s="67"/>
      <c r="FAR1" s="68"/>
      <c r="FAS1" s="67"/>
      <c r="FAT1" s="67"/>
      <c r="FAU1" s="67"/>
      <c r="FAV1" s="67"/>
      <c r="FAW1" s="67"/>
      <c r="FAX1" s="67"/>
      <c r="FAY1" s="67"/>
      <c r="FAZ1" s="68"/>
      <c r="FBA1" s="67"/>
      <c r="FBB1" s="67"/>
      <c r="FBC1" s="67"/>
      <c r="FBD1" s="67"/>
      <c r="FBE1" s="67"/>
      <c r="FBF1" s="67"/>
      <c r="FBG1" s="67"/>
      <c r="FBH1" s="68"/>
      <c r="FBI1" s="67"/>
      <c r="FBJ1" s="67"/>
      <c r="FBK1" s="67"/>
      <c r="FBL1" s="67"/>
      <c r="FBM1" s="67"/>
      <c r="FBN1" s="67"/>
      <c r="FBO1" s="67"/>
      <c r="FBP1" s="68"/>
      <c r="FBQ1" s="67"/>
      <c r="FBR1" s="67"/>
      <c r="FBS1" s="67"/>
      <c r="FBT1" s="67"/>
      <c r="FBU1" s="67"/>
      <c r="FBV1" s="67"/>
      <c r="FBW1" s="67"/>
      <c r="FBX1" s="68"/>
      <c r="FBY1" s="67"/>
      <c r="FBZ1" s="67"/>
      <c r="FCA1" s="67"/>
      <c r="FCB1" s="67"/>
      <c r="FCC1" s="67"/>
      <c r="FCD1" s="67"/>
      <c r="FCE1" s="67"/>
      <c r="FCF1" s="68"/>
      <c r="FCG1" s="67"/>
      <c r="FCH1" s="67"/>
      <c r="FCI1" s="67"/>
      <c r="FCJ1" s="67"/>
      <c r="FCK1" s="67"/>
      <c r="FCL1" s="67"/>
      <c r="FCM1" s="67"/>
      <c r="FCN1" s="68"/>
      <c r="FCO1" s="67"/>
      <c r="FCP1" s="67"/>
      <c r="FCQ1" s="67"/>
      <c r="FCR1" s="67"/>
      <c r="FCS1" s="67"/>
      <c r="FCT1" s="67"/>
      <c r="FCU1" s="67"/>
      <c r="FCV1" s="68"/>
      <c r="FCW1" s="67"/>
      <c r="FCX1" s="67"/>
      <c r="FCY1" s="67"/>
      <c r="FCZ1" s="67"/>
      <c r="FDA1" s="67"/>
      <c r="FDB1" s="67"/>
      <c r="FDC1" s="67"/>
      <c r="FDD1" s="68"/>
      <c r="FDE1" s="67"/>
      <c r="FDF1" s="67"/>
      <c r="FDG1" s="67"/>
      <c r="FDH1" s="67"/>
      <c r="FDI1" s="67"/>
      <c r="FDJ1" s="67"/>
      <c r="FDK1" s="67"/>
      <c r="FDL1" s="68"/>
      <c r="FDM1" s="67"/>
      <c r="FDN1" s="67"/>
      <c r="FDO1" s="67"/>
      <c r="FDP1" s="67"/>
      <c r="FDQ1" s="67"/>
      <c r="FDR1" s="67"/>
      <c r="FDS1" s="67"/>
      <c r="FDT1" s="68"/>
      <c r="FDU1" s="67"/>
      <c r="FDV1" s="67"/>
      <c r="FDW1" s="67"/>
      <c r="FDX1" s="67"/>
      <c r="FDY1" s="67"/>
      <c r="FDZ1" s="67"/>
      <c r="FEA1" s="67"/>
      <c r="FEB1" s="68"/>
      <c r="FEC1" s="67"/>
      <c r="FED1" s="67"/>
      <c r="FEE1" s="67"/>
      <c r="FEF1" s="67"/>
      <c r="FEG1" s="67"/>
      <c r="FEH1" s="67"/>
      <c r="FEI1" s="67"/>
      <c r="FEJ1" s="68"/>
      <c r="FEK1" s="67"/>
      <c r="FEL1" s="67"/>
      <c r="FEM1" s="67"/>
      <c r="FEN1" s="67"/>
      <c r="FEO1" s="67"/>
      <c r="FEP1" s="67"/>
      <c r="FEQ1" s="67"/>
      <c r="FER1" s="68"/>
      <c r="FES1" s="67"/>
      <c r="FET1" s="67"/>
      <c r="FEU1" s="67"/>
      <c r="FEV1" s="67"/>
      <c r="FEW1" s="67"/>
      <c r="FEX1" s="67"/>
      <c r="FEY1" s="67"/>
      <c r="FEZ1" s="68"/>
      <c r="FFA1" s="67"/>
      <c r="FFB1" s="67"/>
      <c r="FFC1" s="67"/>
      <c r="FFD1" s="67"/>
      <c r="FFE1" s="67"/>
      <c r="FFF1" s="67"/>
      <c r="FFG1" s="67"/>
      <c r="FFH1" s="68"/>
      <c r="FFI1" s="67"/>
      <c r="FFJ1" s="67"/>
      <c r="FFK1" s="67"/>
      <c r="FFL1" s="67"/>
      <c r="FFM1" s="67"/>
      <c r="FFN1" s="67"/>
      <c r="FFO1" s="67"/>
      <c r="FFP1" s="68"/>
      <c r="FFQ1" s="67"/>
      <c r="FFR1" s="67"/>
      <c r="FFS1" s="67"/>
      <c r="FFT1" s="67"/>
      <c r="FFU1" s="67"/>
      <c r="FFV1" s="67"/>
      <c r="FFW1" s="67"/>
      <c r="FFX1" s="68"/>
      <c r="FFY1" s="67"/>
      <c r="FFZ1" s="67"/>
      <c r="FGA1" s="67"/>
      <c r="FGB1" s="67"/>
      <c r="FGC1" s="67"/>
      <c r="FGD1" s="67"/>
      <c r="FGE1" s="67"/>
      <c r="FGF1" s="68"/>
      <c r="FGG1" s="67"/>
      <c r="FGH1" s="67"/>
      <c r="FGI1" s="67"/>
      <c r="FGJ1" s="67"/>
      <c r="FGK1" s="67"/>
      <c r="FGL1" s="67"/>
      <c r="FGM1" s="67"/>
      <c r="FGN1" s="68"/>
      <c r="FGO1" s="67"/>
      <c r="FGP1" s="67"/>
      <c r="FGQ1" s="67"/>
      <c r="FGR1" s="67"/>
      <c r="FGS1" s="67"/>
      <c r="FGT1" s="67"/>
      <c r="FGU1" s="67"/>
      <c r="FGV1" s="68"/>
      <c r="FGW1" s="67"/>
      <c r="FGX1" s="67"/>
      <c r="FGY1" s="67"/>
      <c r="FGZ1" s="67"/>
      <c r="FHA1" s="67"/>
      <c r="FHB1" s="67"/>
      <c r="FHC1" s="67"/>
      <c r="FHD1" s="68"/>
      <c r="FHE1" s="67"/>
      <c r="FHF1" s="67"/>
      <c r="FHG1" s="67"/>
      <c r="FHH1" s="67"/>
      <c r="FHI1" s="67"/>
      <c r="FHJ1" s="67"/>
      <c r="FHK1" s="67"/>
      <c r="FHL1" s="68"/>
      <c r="FHM1" s="67"/>
      <c r="FHN1" s="67"/>
      <c r="FHO1" s="67"/>
      <c r="FHP1" s="67"/>
      <c r="FHQ1" s="67"/>
      <c r="FHR1" s="67"/>
      <c r="FHS1" s="67"/>
      <c r="FHT1" s="68"/>
      <c r="FHU1" s="67"/>
      <c r="FHV1" s="67"/>
      <c r="FHW1" s="67"/>
      <c r="FHX1" s="67"/>
      <c r="FHY1" s="67"/>
      <c r="FHZ1" s="67"/>
      <c r="FIA1" s="67"/>
      <c r="FIB1" s="68"/>
      <c r="FIC1" s="67"/>
      <c r="FID1" s="67"/>
      <c r="FIE1" s="67"/>
      <c r="FIF1" s="67"/>
      <c r="FIG1" s="67"/>
      <c r="FIH1" s="67"/>
      <c r="FII1" s="67"/>
      <c r="FIJ1" s="68"/>
      <c r="FIK1" s="67"/>
      <c r="FIL1" s="67"/>
      <c r="FIM1" s="67"/>
      <c r="FIN1" s="67"/>
      <c r="FIO1" s="67"/>
      <c r="FIP1" s="67"/>
      <c r="FIQ1" s="67"/>
      <c r="FIR1" s="68"/>
      <c r="FIS1" s="67"/>
      <c r="FIT1" s="67"/>
      <c r="FIU1" s="67"/>
      <c r="FIV1" s="67"/>
      <c r="FIW1" s="67"/>
      <c r="FIX1" s="67"/>
      <c r="FIY1" s="67"/>
      <c r="FIZ1" s="68"/>
      <c r="FJA1" s="67"/>
      <c r="FJB1" s="67"/>
      <c r="FJC1" s="67"/>
      <c r="FJD1" s="67"/>
      <c r="FJE1" s="67"/>
      <c r="FJF1" s="67"/>
      <c r="FJG1" s="67"/>
      <c r="FJH1" s="68"/>
      <c r="FJI1" s="67"/>
      <c r="FJJ1" s="67"/>
      <c r="FJK1" s="67"/>
      <c r="FJL1" s="67"/>
      <c r="FJM1" s="67"/>
      <c r="FJN1" s="67"/>
      <c r="FJO1" s="67"/>
      <c r="FJP1" s="68"/>
      <c r="FJQ1" s="67"/>
      <c r="FJR1" s="67"/>
      <c r="FJS1" s="67"/>
      <c r="FJT1" s="67"/>
      <c r="FJU1" s="67"/>
      <c r="FJV1" s="67"/>
      <c r="FJW1" s="67"/>
      <c r="FJX1" s="68"/>
      <c r="FJY1" s="67"/>
      <c r="FJZ1" s="67"/>
      <c r="FKA1" s="67"/>
      <c r="FKB1" s="67"/>
      <c r="FKC1" s="67"/>
      <c r="FKD1" s="67"/>
      <c r="FKE1" s="67"/>
      <c r="FKF1" s="68"/>
      <c r="FKG1" s="67"/>
      <c r="FKH1" s="67"/>
      <c r="FKI1" s="67"/>
      <c r="FKJ1" s="67"/>
      <c r="FKK1" s="67"/>
      <c r="FKL1" s="67"/>
      <c r="FKM1" s="67"/>
      <c r="FKN1" s="68"/>
      <c r="FKO1" s="67"/>
      <c r="FKP1" s="67"/>
      <c r="FKQ1" s="67"/>
      <c r="FKR1" s="67"/>
      <c r="FKS1" s="67"/>
      <c r="FKT1" s="67"/>
      <c r="FKU1" s="67"/>
      <c r="FKV1" s="68"/>
      <c r="FKW1" s="67"/>
      <c r="FKX1" s="67"/>
      <c r="FKY1" s="67"/>
      <c r="FKZ1" s="67"/>
      <c r="FLA1" s="67"/>
      <c r="FLB1" s="67"/>
      <c r="FLC1" s="67"/>
      <c r="FLD1" s="68"/>
      <c r="FLE1" s="67"/>
      <c r="FLF1" s="67"/>
      <c r="FLG1" s="67"/>
      <c r="FLH1" s="67"/>
      <c r="FLI1" s="67"/>
      <c r="FLJ1" s="67"/>
      <c r="FLK1" s="67"/>
      <c r="FLL1" s="68"/>
      <c r="FLM1" s="67"/>
      <c r="FLN1" s="67"/>
      <c r="FLO1" s="67"/>
      <c r="FLP1" s="67"/>
      <c r="FLQ1" s="67"/>
      <c r="FLR1" s="67"/>
      <c r="FLS1" s="67"/>
      <c r="FLT1" s="68"/>
      <c r="FLU1" s="67"/>
      <c r="FLV1" s="67"/>
      <c r="FLW1" s="67"/>
      <c r="FLX1" s="67"/>
      <c r="FLY1" s="67"/>
      <c r="FLZ1" s="67"/>
      <c r="FMA1" s="67"/>
      <c r="FMB1" s="68"/>
      <c r="FMC1" s="67"/>
      <c r="FMD1" s="67"/>
      <c r="FME1" s="67"/>
      <c r="FMF1" s="67"/>
      <c r="FMG1" s="67"/>
      <c r="FMH1" s="67"/>
      <c r="FMI1" s="67"/>
      <c r="FMJ1" s="68"/>
      <c r="FMK1" s="67"/>
      <c r="FML1" s="67"/>
      <c r="FMM1" s="67"/>
      <c r="FMN1" s="67"/>
      <c r="FMO1" s="67"/>
      <c r="FMP1" s="67"/>
      <c r="FMQ1" s="67"/>
      <c r="FMR1" s="68"/>
      <c r="FMS1" s="67"/>
      <c r="FMT1" s="67"/>
      <c r="FMU1" s="67"/>
      <c r="FMV1" s="67"/>
      <c r="FMW1" s="67"/>
      <c r="FMX1" s="67"/>
      <c r="FMY1" s="67"/>
      <c r="FMZ1" s="68"/>
      <c r="FNA1" s="67"/>
      <c r="FNB1" s="67"/>
      <c r="FNC1" s="67"/>
      <c r="FND1" s="67"/>
      <c r="FNE1" s="67"/>
      <c r="FNF1" s="67"/>
      <c r="FNG1" s="67"/>
      <c r="FNH1" s="68"/>
      <c r="FNI1" s="67"/>
      <c r="FNJ1" s="67"/>
      <c r="FNK1" s="67"/>
      <c r="FNL1" s="67"/>
      <c r="FNM1" s="67"/>
      <c r="FNN1" s="67"/>
      <c r="FNO1" s="67"/>
      <c r="FNP1" s="68"/>
      <c r="FNQ1" s="67"/>
      <c r="FNR1" s="67"/>
      <c r="FNS1" s="67"/>
      <c r="FNT1" s="67"/>
      <c r="FNU1" s="67"/>
      <c r="FNV1" s="67"/>
      <c r="FNW1" s="67"/>
      <c r="FNX1" s="68"/>
      <c r="FNY1" s="67"/>
      <c r="FNZ1" s="67"/>
      <c r="FOA1" s="67"/>
      <c r="FOB1" s="67"/>
      <c r="FOC1" s="67"/>
      <c r="FOD1" s="67"/>
      <c r="FOE1" s="67"/>
      <c r="FOF1" s="68"/>
      <c r="FOG1" s="67"/>
      <c r="FOH1" s="67"/>
      <c r="FOI1" s="67"/>
      <c r="FOJ1" s="67"/>
      <c r="FOK1" s="67"/>
      <c r="FOL1" s="67"/>
      <c r="FOM1" s="67"/>
      <c r="FON1" s="68"/>
      <c r="FOO1" s="67"/>
      <c r="FOP1" s="67"/>
      <c r="FOQ1" s="67"/>
      <c r="FOR1" s="67"/>
      <c r="FOS1" s="67"/>
      <c r="FOT1" s="67"/>
      <c r="FOU1" s="67"/>
      <c r="FOV1" s="68"/>
      <c r="FOW1" s="67"/>
      <c r="FOX1" s="67"/>
      <c r="FOY1" s="67"/>
      <c r="FOZ1" s="67"/>
      <c r="FPA1" s="67"/>
      <c r="FPB1" s="67"/>
      <c r="FPC1" s="67"/>
      <c r="FPD1" s="68"/>
      <c r="FPE1" s="67"/>
      <c r="FPF1" s="67"/>
      <c r="FPG1" s="67"/>
      <c r="FPH1" s="67"/>
      <c r="FPI1" s="67"/>
      <c r="FPJ1" s="67"/>
      <c r="FPK1" s="67"/>
      <c r="FPL1" s="68"/>
      <c r="FPM1" s="67"/>
      <c r="FPN1" s="67"/>
      <c r="FPO1" s="67"/>
      <c r="FPP1" s="67"/>
      <c r="FPQ1" s="67"/>
      <c r="FPR1" s="67"/>
      <c r="FPS1" s="67"/>
      <c r="FPT1" s="68"/>
      <c r="FPU1" s="67"/>
      <c r="FPV1" s="67"/>
      <c r="FPW1" s="67"/>
      <c r="FPX1" s="67"/>
      <c r="FPY1" s="67"/>
      <c r="FPZ1" s="67"/>
      <c r="FQA1" s="67"/>
      <c r="FQB1" s="68"/>
      <c r="FQC1" s="67"/>
      <c r="FQD1" s="67"/>
      <c r="FQE1" s="67"/>
      <c r="FQF1" s="67"/>
      <c r="FQG1" s="67"/>
      <c r="FQH1" s="67"/>
      <c r="FQI1" s="67"/>
      <c r="FQJ1" s="68"/>
      <c r="FQK1" s="67"/>
      <c r="FQL1" s="67"/>
      <c r="FQM1" s="67"/>
      <c r="FQN1" s="67"/>
      <c r="FQO1" s="67"/>
      <c r="FQP1" s="67"/>
      <c r="FQQ1" s="67"/>
      <c r="FQR1" s="68"/>
      <c r="FQS1" s="67"/>
      <c r="FQT1" s="67"/>
      <c r="FQU1" s="67"/>
      <c r="FQV1" s="67"/>
      <c r="FQW1" s="67"/>
      <c r="FQX1" s="67"/>
      <c r="FQY1" s="67"/>
      <c r="FQZ1" s="68"/>
      <c r="FRA1" s="67"/>
      <c r="FRB1" s="67"/>
      <c r="FRC1" s="67"/>
      <c r="FRD1" s="67"/>
      <c r="FRE1" s="67"/>
      <c r="FRF1" s="67"/>
      <c r="FRG1" s="67"/>
      <c r="FRH1" s="68"/>
      <c r="FRI1" s="67"/>
      <c r="FRJ1" s="67"/>
      <c r="FRK1" s="67"/>
      <c r="FRL1" s="67"/>
      <c r="FRM1" s="67"/>
      <c r="FRN1" s="67"/>
      <c r="FRO1" s="67"/>
      <c r="FRP1" s="68"/>
      <c r="FRQ1" s="67"/>
      <c r="FRR1" s="67"/>
      <c r="FRS1" s="67"/>
      <c r="FRT1" s="67"/>
      <c r="FRU1" s="67"/>
      <c r="FRV1" s="67"/>
      <c r="FRW1" s="67"/>
      <c r="FRX1" s="68"/>
      <c r="FRY1" s="67"/>
      <c r="FRZ1" s="67"/>
      <c r="FSA1" s="67"/>
      <c r="FSB1" s="67"/>
      <c r="FSC1" s="67"/>
      <c r="FSD1" s="67"/>
      <c r="FSE1" s="67"/>
      <c r="FSF1" s="68"/>
      <c r="FSG1" s="67"/>
      <c r="FSH1" s="67"/>
      <c r="FSI1" s="67"/>
      <c r="FSJ1" s="67"/>
      <c r="FSK1" s="67"/>
      <c r="FSL1" s="67"/>
      <c r="FSM1" s="67"/>
      <c r="FSN1" s="68"/>
      <c r="FSO1" s="67"/>
      <c r="FSP1" s="67"/>
      <c r="FSQ1" s="67"/>
      <c r="FSR1" s="67"/>
      <c r="FSS1" s="67"/>
      <c r="FST1" s="67"/>
      <c r="FSU1" s="67"/>
      <c r="FSV1" s="68"/>
      <c r="FSW1" s="67"/>
      <c r="FSX1" s="67"/>
      <c r="FSY1" s="67"/>
      <c r="FSZ1" s="67"/>
      <c r="FTA1" s="67"/>
      <c r="FTB1" s="67"/>
      <c r="FTC1" s="67"/>
      <c r="FTD1" s="68"/>
      <c r="FTE1" s="67"/>
      <c r="FTF1" s="67"/>
      <c r="FTG1" s="67"/>
      <c r="FTH1" s="67"/>
      <c r="FTI1" s="67"/>
      <c r="FTJ1" s="67"/>
      <c r="FTK1" s="67"/>
      <c r="FTL1" s="68"/>
      <c r="FTM1" s="67"/>
      <c r="FTN1" s="67"/>
      <c r="FTO1" s="67"/>
      <c r="FTP1" s="67"/>
      <c r="FTQ1" s="67"/>
      <c r="FTR1" s="67"/>
      <c r="FTS1" s="67"/>
      <c r="FTT1" s="68"/>
      <c r="FTU1" s="67"/>
      <c r="FTV1" s="67"/>
      <c r="FTW1" s="67"/>
      <c r="FTX1" s="67"/>
      <c r="FTY1" s="67"/>
      <c r="FTZ1" s="67"/>
      <c r="FUA1" s="67"/>
      <c r="FUB1" s="68"/>
      <c r="FUC1" s="67"/>
      <c r="FUD1" s="67"/>
      <c r="FUE1" s="67"/>
      <c r="FUF1" s="67"/>
      <c r="FUG1" s="67"/>
      <c r="FUH1" s="67"/>
      <c r="FUI1" s="67"/>
      <c r="FUJ1" s="68"/>
      <c r="FUK1" s="67"/>
      <c r="FUL1" s="67"/>
      <c r="FUM1" s="67"/>
      <c r="FUN1" s="67"/>
      <c r="FUO1" s="67"/>
      <c r="FUP1" s="67"/>
      <c r="FUQ1" s="67"/>
      <c r="FUR1" s="68"/>
      <c r="FUS1" s="67"/>
      <c r="FUT1" s="67"/>
      <c r="FUU1" s="67"/>
      <c r="FUV1" s="67"/>
      <c r="FUW1" s="67"/>
      <c r="FUX1" s="67"/>
      <c r="FUY1" s="67"/>
      <c r="FUZ1" s="68"/>
      <c r="FVA1" s="67"/>
      <c r="FVB1" s="67"/>
      <c r="FVC1" s="67"/>
      <c r="FVD1" s="67"/>
      <c r="FVE1" s="67"/>
      <c r="FVF1" s="67"/>
      <c r="FVG1" s="67"/>
      <c r="FVH1" s="68"/>
      <c r="FVI1" s="67"/>
      <c r="FVJ1" s="67"/>
      <c r="FVK1" s="67"/>
      <c r="FVL1" s="67"/>
      <c r="FVM1" s="67"/>
      <c r="FVN1" s="67"/>
      <c r="FVO1" s="67"/>
      <c r="FVP1" s="68"/>
      <c r="FVQ1" s="67"/>
      <c r="FVR1" s="67"/>
      <c r="FVS1" s="67"/>
      <c r="FVT1" s="67"/>
      <c r="FVU1" s="67"/>
      <c r="FVV1" s="67"/>
      <c r="FVW1" s="67"/>
      <c r="FVX1" s="68"/>
      <c r="FVY1" s="67"/>
      <c r="FVZ1" s="67"/>
      <c r="FWA1" s="67"/>
      <c r="FWB1" s="67"/>
      <c r="FWC1" s="67"/>
      <c r="FWD1" s="67"/>
      <c r="FWE1" s="67"/>
      <c r="FWF1" s="68"/>
      <c r="FWG1" s="67"/>
      <c r="FWH1" s="67"/>
      <c r="FWI1" s="67"/>
      <c r="FWJ1" s="67"/>
      <c r="FWK1" s="67"/>
      <c r="FWL1" s="67"/>
      <c r="FWM1" s="67"/>
      <c r="FWN1" s="68"/>
      <c r="FWO1" s="67"/>
      <c r="FWP1" s="67"/>
      <c r="FWQ1" s="67"/>
      <c r="FWR1" s="67"/>
      <c r="FWS1" s="67"/>
      <c r="FWT1" s="67"/>
      <c r="FWU1" s="67"/>
      <c r="FWV1" s="68"/>
      <c r="FWW1" s="67"/>
      <c r="FWX1" s="67"/>
      <c r="FWY1" s="67"/>
      <c r="FWZ1" s="67"/>
      <c r="FXA1" s="67"/>
      <c r="FXB1" s="67"/>
      <c r="FXC1" s="67"/>
      <c r="FXD1" s="68"/>
      <c r="FXE1" s="67"/>
      <c r="FXF1" s="67"/>
      <c r="FXG1" s="67"/>
      <c r="FXH1" s="67"/>
      <c r="FXI1" s="67"/>
      <c r="FXJ1" s="67"/>
      <c r="FXK1" s="67"/>
      <c r="FXL1" s="68"/>
      <c r="FXM1" s="67"/>
      <c r="FXN1" s="67"/>
      <c r="FXO1" s="67"/>
      <c r="FXP1" s="67"/>
      <c r="FXQ1" s="67"/>
      <c r="FXR1" s="67"/>
      <c r="FXS1" s="67"/>
      <c r="FXT1" s="68"/>
      <c r="FXU1" s="67"/>
      <c r="FXV1" s="67"/>
      <c r="FXW1" s="67"/>
      <c r="FXX1" s="67"/>
      <c r="FXY1" s="67"/>
      <c r="FXZ1" s="67"/>
      <c r="FYA1" s="67"/>
      <c r="FYB1" s="68"/>
      <c r="FYC1" s="67"/>
      <c r="FYD1" s="67"/>
      <c r="FYE1" s="67"/>
      <c r="FYF1" s="67"/>
      <c r="FYG1" s="67"/>
      <c r="FYH1" s="67"/>
      <c r="FYI1" s="67"/>
      <c r="FYJ1" s="68"/>
      <c r="FYK1" s="67"/>
      <c r="FYL1" s="67"/>
      <c r="FYM1" s="67"/>
      <c r="FYN1" s="67"/>
      <c r="FYO1" s="67"/>
      <c r="FYP1" s="67"/>
      <c r="FYQ1" s="67"/>
      <c r="FYR1" s="68"/>
      <c r="FYS1" s="67"/>
      <c r="FYT1" s="67"/>
      <c r="FYU1" s="67"/>
      <c r="FYV1" s="67"/>
      <c r="FYW1" s="67"/>
      <c r="FYX1" s="67"/>
      <c r="FYY1" s="67"/>
      <c r="FYZ1" s="68"/>
      <c r="FZA1" s="67"/>
      <c r="FZB1" s="67"/>
      <c r="FZC1" s="67"/>
      <c r="FZD1" s="67"/>
      <c r="FZE1" s="67"/>
      <c r="FZF1" s="67"/>
      <c r="FZG1" s="67"/>
      <c r="FZH1" s="68"/>
      <c r="FZI1" s="67"/>
      <c r="FZJ1" s="67"/>
      <c r="FZK1" s="67"/>
      <c r="FZL1" s="67"/>
      <c r="FZM1" s="67"/>
      <c r="FZN1" s="67"/>
      <c r="FZO1" s="67"/>
      <c r="FZP1" s="68"/>
      <c r="FZQ1" s="67"/>
      <c r="FZR1" s="67"/>
      <c r="FZS1" s="67"/>
      <c r="FZT1" s="67"/>
      <c r="FZU1" s="67"/>
      <c r="FZV1" s="67"/>
      <c r="FZW1" s="67"/>
      <c r="FZX1" s="68"/>
      <c r="FZY1" s="67"/>
      <c r="FZZ1" s="67"/>
      <c r="GAA1" s="67"/>
      <c r="GAB1" s="67"/>
      <c r="GAC1" s="67"/>
      <c r="GAD1" s="67"/>
      <c r="GAE1" s="67"/>
      <c r="GAF1" s="68"/>
      <c r="GAG1" s="67"/>
      <c r="GAH1" s="67"/>
      <c r="GAI1" s="67"/>
      <c r="GAJ1" s="67"/>
      <c r="GAK1" s="67"/>
      <c r="GAL1" s="67"/>
      <c r="GAM1" s="67"/>
      <c r="GAN1" s="68"/>
      <c r="GAO1" s="67"/>
      <c r="GAP1" s="67"/>
      <c r="GAQ1" s="67"/>
      <c r="GAR1" s="67"/>
      <c r="GAS1" s="67"/>
      <c r="GAT1" s="67"/>
      <c r="GAU1" s="67"/>
      <c r="GAV1" s="68"/>
      <c r="GAW1" s="67"/>
      <c r="GAX1" s="67"/>
      <c r="GAY1" s="67"/>
      <c r="GAZ1" s="67"/>
      <c r="GBA1" s="67"/>
      <c r="GBB1" s="67"/>
      <c r="GBC1" s="67"/>
      <c r="GBD1" s="68"/>
      <c r="GBE1" s="67"/>
      <c r="GBF1" s="67"/>
      <c r="GBG1" s="67"/>
      <c r="GBH1" s="67"/>
      <c r="GBI1" s="67"/>
      <c r="GBJ1" s="67"/>
      <c r="GBK1" s="67"/>
      <c r="GBL1" s="68"/>
      <c r="GBM1" s="67"/>
      <c r="GBN1" s="67"/>
      <c r="GBO1" s="67"/>
      <c r="GBP1" s="67"/>
      <c r="GBQ1" s="67"/>
      <c r="GBR1" s="67"/>
      <c r="GBS1" s="67"/>
      <c r="GBT1" s="68"/>
      <c r="GBU1" s="67"/>
      <c r="GBV1" s="67"/>
      <c r="GBW1" s="67"/>
      <c r="GBX1" s="67"/>
      <c r="GBY1" s="67"/>
      <c r="GBZ1" s="67"/>
      <c r="GCA1" s="67"/>
      <c r="GCB1" s="68"/>
      <c r="GCC1" s="67"/>
      <c r="GCD1" s="67"/>
      <c r="GCE1" s="67"/>
      <c r="GCF1" s="67"/>
      <c r="GCG1" s="67"/>
      <c r="GCH1" s="67"/>
      <c r="GCI1" s="67"/>
      <c r="GCJ1" s="68"/>
      <c r="GCK1" s="67"/>
      <c r="GCL1" s="67"/>
      <c r="GCM1" s="67"/>
      <c r="GCN1" s="67"/>
      <c r="GCO1" s="67"/>
      <c r="GCP1" s="67"/>
      <c r="GCQ1" s="67"/>
      <c r="GCR1" s="68"/>
      <c r="GCS1" s="67"/>
      <c r="GCT1" s="67"/>
      <c r="GCU1" s="67"/>
      <c r="GCV1" s="67"/>
      <c r="GCW1" s="67"/>
      <c r="GCX1" s="67"/>
      <c r="GCY1" s="67"/>
      <c r="GCZ1" s="68"/>
      <c r="GDA1" s="67"/>
      <c r="GDB1" s="67"/>
      <c r="GDC1" s="67"/>
      <c r="GDD1" s="67"/>
      <c r="GDE1" s="67"/>
      <c r="GDF1" s="67"/>
      <c r="GDG1" s="67"/>
      <c r="GDH1" s="68"/>
      <c r="GDI1" s="67"/>
      <c r="GDJ1" s="67"/>
      <c r="GDK1" s="67"/>
      <c r="GDL1" s="67"/>
      <c r="GDM1" s="67"/>
      <c r="GDN1" s="67"/>
      <c r="GDO1" s="67"/>
      <c r="GDP1" s="68"/>
      <c r="GDQ1" s="67"/>
      <c r="GDR1" s="67"/>
      <c r="GDS1" s="67"/>
      <c r="GDT1" s="67"/>
      <c r="GDU1" s="67"/>
      <c r="GDV1" s="67"/>
      <c r="GDW1" s="67"/>
      <c r="GDX1" s="68"/>
      <c r="GDY1" s="67"/>
      <c r="GDZ1" s="67"/>
      <c r="GEA1" s="67"/>
      <c r="GEB1" s="67"/>
      <c r="GEC1" s="67"/>
      <c r="GED1" s="67"/>
      <c r="GEE1" s="67"/>
      <c r="GEF1" s="68"/>
      <c r="GEG1" s="67"/>
      <c r="GEH1" s="67"/>
      <c r="GEI1" s="67"/>
      <c r="GEJ1" s="67"/>
      <c r="GEK1" s="67"/>
      <c r="GEL1" s="67"/>
      <c r="GEM1" s="67"/>
      <c r="GEN1" s="68"/>
      <c r="GEO1" s="67"/>
      <c r="GEP1" s="67"/>
      <c r="GEQ1" s="67"/>
      <c r="GER1" s="67"/>
      <c r="GES1" s="67"/>
      <c r="GET1" s="67"/>
      <c r="GEU1" s="67"/>
      <c r="GEV1" s="68"/>
      <c r="GEW1" s="67"/>
      <c r="GEX1" s="67"/>
      <c r="GEY1" s="67"/>
      <c r="GEZ1" s="67"/>
      <c r="GFA1" s="67"/>
      <c r="GFB1" s="67"/>
      <c r="GFC1" s="67"/>
      <c r="GFD1" s="68"/>
      <c r="GFE1" s="67"/>
      <c r="GFF1" s="67"/>
      <c r="GFG1" s="67"/>
      <c r="GFH1" s="67"/>
      <c r="GFI1" s="67"/>
      <c r="GFJ1" s="67"/>
      <c r="GFK1" s="67"/>
      <c r="GFL1" s="68"/>
      <c r="GFM1" s="67"/>
      <c r="GFN1" s="67"/>
      <c r="GFO1" s="67"/>
      <c r="GFP1" s="67"/>
      <c r="GFQ1" s="67"/>
      <c r="GFR1" s="67"/>
      <c r="GFS1" s="67"/>
      <c r="GFT1" s="68"/>
      <c r="GFU1" s="67"/>
      <c r="GFV1" s="67"/>
      <c r="GFW1" s="67"/>
      <c r="GFX1" s="67"/>
      <c r="GFY1" s="67"/>
      <c r="GFZ1" s="67"/>
      <c r="GGA1" s="67"/>
      <c r="GGB1" s="68"/>
      <c r="GGC1" s="67"/>
      <c r="GGD1" s="67"/>
      <c r="GGE1" s="67"/>
      <c r="GGF1" s="67"/>
      <c r="GGG1" s="67"/>
      <c r="GGH1" s="67"/>
      <c r="GGI1" s="67"/>
      <c r="GGJ1" s="68"/>
      <c r="GGK1" s="67"/>
      <c r="GGL1" s="67"/>
      <c r="GGM1" s="67"/>
      <c r="GGN1" s="67"/>
      <c r="GGO1" s="67"/>
      <c r="GGP1" s="67"/>
      <c r="GGQ1" s="67"/>
      <c r="GGR1" s="68"/>
      <c r="GGS1" s="67"/>
      <c r="GGT1" s="67"/>
      <c r="GGU1" s="67"/>
      <c r="GGV1" s="67"/>
      <c r="GGW1" s="67"/>
      <c r="GGX1" s="67"/>
      <c r="GGY1" s="67"/>
      <c r="GGZ1" s="68"/>
      <c r="GHA1" s="67"/>
      <c r="GHB1" s="67"/>
      <c r="GHC1" s="67"/>
      <c r="GHD1" s="67"/>
      <c r="GHE1" s="67"/>
      <c r="GHF1" s="67"/>
      <c r="GHG1" s="67"/>
      <c r="GHH1" s="68"/>
      <c r="GHI1" s="67"/>
      <c r="GHJ1" s="67"/>
      <c r="GHK1" s="67"/>
      <c r="GHL1" s="67"/>
      <c r="GHM1" s="67"/>
      <c r="GHN1" s="67"/>
      <c r="GHO1" s="67"/>
      <c r="GHP1" s="68"/>
      <c r="GHQ1" s="67"/>
      <c r="GHR1" s="67"/>
      <c r="GHS1" s="67"/>
      <c r="GHT1" s="67"/>
      <c r="GHU1" s="67"/>
      <c r="GHV1" s="67"/>
      <c r="GHW1" s="67"/>
      <c r="GHX1" s="68"/>
      <c r="GHY1" s="67"/>
      <c r="GHZ1" s="67"/>
      <c r="GIA1" s="67"/>
      <c r="GIB1" s="67"/>
      <c r="GIC1" s="67"/>
      <c r="GID1" s="67"/>
      <c r="GIE1" s="67"/>
      <c r="GIF1" s="68"/>
      <c r="GIG1" s="67"/>
      <c r="GIH1" s="67"/>
      <c r="GII1" s="67"/>
      <c r="GIJ1" s="67"/>
      <c r="GIK1" s="67"/>
      <c r="GIL1" s="67"/>
      <c r="GIM1" s="67"/>
      <c r="GIN1" s="68"/>
      <c r="GIO1" s="67"/>
      <c r="GIP1" s="67"/>
      <c r="GIQ1" s="67"/>
      <c r="GIR1" s="67"/>
      <c r="GIS1" s="67"/>
      <c r="GIT1" s="67"/>
      <c r="GIU1" s="67"/>
      <c r="GIV1" s="68"/>
      <c r="GIW1" s="67"/>
      <c r="GIX1" s="67"/>
      <c r="GIY1" s="67"/>
      <c r="GIZ1" s="67"/>
      <c r="GJA1" s="67"/>
      <c r="GJB1" s="67"/>
      <c r="GJC1" s="67"/>
      <c r="GJD1" s="68"/>
      <c r="GJE1" s="67"/>
      <c r="GJF1" s="67"/>
      <c r="GJG1" s="67"/>
      <c r="GJH1" s="67"/>
      <c r="GJI1" s="67"/>
      <c r="GJJ1" s="67"/>
      <c r="GJK1" s="67"/>
      <c r="GJL1" s="68"/>
      <c r="GJM1" s="67"/>
      <c r="GJN1" s="67"/>
      <c r="GJO1" s="67"/>
      <c r="GJP1" s="67"/>
      <c r="GJQ1" s="67"/>
      <c r="GJR1" s="67"/>
      <c r="GJS1" s="67"/>
      <c r="GJT1" s="68"/>
      <c r="GJU1" s="67"/>
      <c r="GJV1" s="67"/>
      <c r="GJW1" s="67"/>
      <c r="GJX1" s="67"/>
      <c r="GJY1" s="67"/>
      <c r="GJZ1" s="67"/>
      <c r="GKA1" s="67"/>
      <c r="GKB1" s="68"/>
      <c r="GKC1" s="67"/>
      <c r="GKD1" s="67"/>
      <c r="GKE1" s="67"/>
      <c r="GKF1" s="67"/>
      <c r="GKG1" s="67"/>
      <c r="GKH1" s="67"/>
      <c r="GKI1" s="67"/>
      <c r="GKJ1" s="68"/>
      <c r="GKK1" s="67"/>
      <c r="GKL1" s="67"/>
      <c r="GKM1" s="67"/>
      <c r="GKN1" s="67"/>
      <c r="GKO1" s="67"/>
      <c r="GKP1" s="67"/>
      <c r="GKQ1" s="67"/>
      <c r="GKR1" s="68"/>
      <c r="GKS1" s="67"/>
      <c r="GKT1" s="67"/>
      <c r="GKU1" s="67"/>
      <c r="GKV1" s="67"/>
      <c r="GKW1" s="67"/>
      <c r="GKX1" s="67"/>
      <c r="GKY1" s="67"/>
      <c r="GKZ1" s="68"/>
      <c r="GLA1" s="67"/>
      <c r="GLB1" s="67"/>
      <c r="GLC1" s="67"/>
      <c r="GLD1" s="67"/>
      <c r="GLE1" s="67"/>
      <c r="GLF1" s="67"/>
      <c r="GLG1" s="67"/>
      <c r="GLH1" s="68"/>
      <c r="GLI1" s="67"/>
      <c r="GLJ1" s="67"/>
      <c r="GLK1" s="67"/>
      <c r="GLL1" s="67"/>
      <c r="GLM1" s="67"/>
      <c r="GLN1" s="67"/>
      <c r="GLO1" s="67"/>
      <c r="GLP1" s="68"/>
      <c r="GLQ1" s="67"/>
      <c r="GLR1" s="67"/>
      <c r="GLS1" s="67"/>
      <c r="GLT1" s="67"/>
      <c r="GLU1" s="67"/>
      <c r="GLV1" s="67"/>
      <c r="GLW1" s="67"/>
      <c r="GLX1" s="68"/>
      <c r="GLY1" s="67"/>
      <c r="GLZ1" s="67"/>
      <c r="GMA1" s="67"/>
      <c r="GMB1" s="67"/>
      <c r="GMC1" s="67"/>
      <c r="GMD1" s="67"/>
      <c r="GME1" s="67"/>
      <c r="GMF1" s="68"/>
      <c r="GMG1" s="67"/>
      <c r="GMH1" s="67"/>
      <c r="GMI1" s="67"/>
      <c r="GMJ1" s="67"/>
      <c r="GMK1" s="67"/>
      <c r="GML1" s="67"/>
      <c r="GMM1" s="67"/>
      <c r="GMN1" s="68"/>
      <c r="GMO1" s="67"/>
      <c r="GMP1" s="67"/>
      <c r="GMQ1" s="67"/>
      <c r="GMR1" s="67"/>
      <c r="GMS1" s="67"/>
      <c r="GMT1" s="67"/>
      <c r="GMU1" s="67"/>
      <c r="GMV1" s="68"/>
      <c r="GMW1" s="67"/>
      <c r="GMX1" s="67"/>
      <c r="GMY1" s="67"/>
      <c r="GMZ1" s="67"/>
      <c r="GNA1" s="67"/>
      <c r="GNB1" s="67"/>
      <c r="GNC1" s="67"/>
      <c r="GND1" s="68"/>
      <c r="GNE1" s="67"/>
      <c r="GNF1" s="67"/>
      <c r="GNG1" s="67"/>
      <c r="GNH1" s="67"/>
      <c r="GNI1" s="67"/>
      <c r="GNJ1" s="67"/>
      <c r="GNK1" s="67"/>
      <c r="GNL1" s="68"/>
      <c r="GNM1" s="67"/>
      <c r="GNN1" s="67"/>
      <c r="GNO1" s="67"/>
      <c r="GNP1" s="67"/>
      <c r="GNQ1" s="67"/>
      <c r="GNR1" s="67"/>
      <c r="GNS1" s="67"/>
      <c r="GNT1" s="68"/>
      <c r="GNU1" s="67"/>
      <c r="GNV1" s="67"/>
      <c r="GNW1" s="67"/>
      <c r="GNX1" s="67"/>
      <c r="GNY1" s="67"/>
      <c r="GNZ1" s="67"/>
      <c r="GOA1" s="67"/>
      <c r="GOB1" s="68"/>
      <c r="GOC1" s="67"/>
      <c r="GOD1" s="67"/>
      <c r="GOE1" s="67"/>
      <c r="GOF1" s="67"/>
      <c r="GOG1" s="67"/>
      <c r="GOH1" s="67"/>
      <c r="GOI1" s="67"/>
      <c r="GOJ1" s="68"/>
      <c r="GOK1" s="67"/>
      <c r="GOL1" s="67"/>
      <c r="GOM1" s="67"/>
      <c r="GON1" s="67"/>
      <c r="GOO1" s="67"/>
      <c r="GOP1" s="67"/>
      <c r="GOQ1" s="67"/>
      <c r="GOR1" s="68"/>
      <c r="GOS1" s="67"/>
      <c r="GOT1" s="67"/>
      <c r="GOU1" s="67"/>
      <c r="GOV1" s="67"/>
      <c r="GOW1" s="67"/>
      <c r="GOX1" s="67"/>
      <c r="GOY1" s="67"/>
      <c r="GOZ1" s="68"/>
      <c r="GPA1" s="67"/>
      <c r="GPB1" s="67"/>
      <c r="GPC1" s="67"/>
      <c r="GPD1" s="67"/>
      <c r="GPE1" s="67"/>
      <c r="GPF1" s="67"/>
      <c r="GPG1" s="67"/>
      <c r="GPH1" s="68"/>
      <c r="GPI1" s="67"/>
      <c r="GPJ1" s="67"/>
      <c r="GPK1" s="67"/>
      <c r="GPL1" s="67"/>
      <c r="GPM1" s="67"/>
      <c r="GPN1" s="67"/>
      <c r="GPO1" s="67"/>
      <c r="GPP1" s="68"/>
      <c r="GPQ1" s="67"/>
      <c r="GPR1" s="67"/>
      <c r="GPS1" s="67"/>
      <c r="GPT1" s="67"/>
      <c r="GPU1" s="67"/>
      <c r="GPV1" s="67"/>
      <c r="GPW1" s="67"/>
      <c r="GPX1" s="68"/>
      <c r="GPY1" s="67"/>
      <c r="GPZ1" s="67"/>
      <c r="GQA1" s="67"/>
      <c r="GQB1" s="67"/>
      <c r="GQC1" s="67"/>
      <c r="GQD1" s="67"/>
      <c r="GQE1" s="67"/>
      <c r="GQF1" s="68"/>
      <c r="GQG1" s="67"/>
      <c r="GQH1" s="67"/>
      <c r="GQI1" s="67"/>
      <c r="GQJ1" s="67"/>
      <c r="GQK1" s="67"/>
      <c r="GQL1" s="67"/>
      <c r="GQM1" s="67"/>
      <c r="GQN1" s="68"/>
      <c r="GQO1" s="67"/>
      <c r="GQP1" s="67"/>
      <c r="GQQ1" s="67"/>
      <c r="GQR1" s="67"/>
      <c r="GQS1" s="67"/>
      <c r="GQT1" s="67"/>
      <c r="GQU1" s="67"/>
      <c r="GQV1" s="68"/>
      <c r="GQW1" s="67"/>
      <c r="GQX1" s="67"/>
      <c r="GQY1" s="67"/>
      <c r="GQZ1" s="67"/>
      <c r="GRA1" s="67"/>
      <c r="GRB1" s="67"/>
      <c r="GRC1" s="67"/>
      <c r="GRD1" s="68"/>
      <c r="GRE1" s="67"/>
      <c r="GRF1" s="67"/>
      <c r="GRG1" s="67"/>
      <c r="GRH1" s="67"/>
      <c r="GRI1" s="67"/>
      <c r="GRJ1" s="67"/>
      <c r="GRK1" s="67"/>
      <c r="GRL1" s="68"/>
      <c r="GRM1" s="67"/>
      <c r="GRN1" s="67"/>
      <c r="GRO1" s="67"/>
      <c r="GRP1" s="67"/>
      <c r="GRQ1" s="67"/>
      <c r="GRR1" s="67"/>
      <c r="GRS1" s="67"/>
      <c r="GRT1" s="68"/>
      <c r="GRU1" s="67"/>
      <c r="GRV1" s="67"/>
      <c r="GRW1" s="67"/>
      <c r="GRX1" s="67"/>
      <c r="GRY1" s="67"/>
      <c r="GRZ1" s="67"/>
      <c r="GSA1" s="67"/>
      <c r="GSB1" s="68"/>
      <c r="GSC1" s="67"/>
      <c r="GSD1" s="67"/>
      <c r="GSE1" s="67"/>
      <c r="GSF1" s="67"/>
      <c r="GSG1" s="67"/>
      <c r="GSH1" s="67"/>
      <c r="GSI1" s="67"/>
      <c r="GSJ1" s="68"/>
      <c r="GSK1" s="67"/>
      <c r="GSL1" s="67"/>
      <c r="GSM1" s="67"/>
      <c r="GSN1" s="67"/>
      <c r="GSO1" s="67"/>
      <c r="GSP1" s="67"/>
      <c r="GSQ1" s="67"/>
      <c r="GSR1" s="68"/>
      <c r="GSS1" s="67"/>
      <c r="GST1" s="67"/>
      <c r="GSU1" s="67"/>
      <c r="GSV1" s="67"/>
      <c r="GSW1" s="67"/>
      <c r="GSX1" s="67"/>
      <c r="GSY1" s="67"/>
      <c r="GSZ1" s="68"/>
      <c r="GTA1" s="67"/>
      <c r="GTB1" s="67"/>
      <c r="GTC1" s="67"/>
      <c r="GTD1" s="67"/>
      <c r="GTE1" s="67"/>
      <c r="GTF1" s="67"/>
      <c r="GTG1" s="67"/>
      <c r="GTH1" s="68"/>
      <c r="GTI1" s="67"/>
      <c r="GTJ1" s="67"/>
      <c r="GTK1" s="67"/>
      <c r="GTL1" s="67"/>
      <c r="GTM1" s="67"/>
      <c r="GTN1" s="67"/>
      <c r="GTO1" s="67"/>
      <c r="GTP1" s="68"/>
      <c r="GTQ1" s="67"/>
      <c r="GTR1" s="67"/>
      <c r="GTS1" s="67"/>
      <c r="GTT1" s="67"/>
      <c r="GTU1" s="67"/>
      <c r="GTV1" s="67"/>
      <c r="GTW1" s="67"/>
      <c r="GTX1" s="68"/>
      <c r="GTY1" s="67"/>
      <c r="GTZ1" s="67"/>
      <c r="GUA1" s="67"/>
      <c r="GUB1" s="67"/>
      <c r="GUC1" s="67"/>
      <c r="GUD1" s="67"/>
      <c r="GUE1" s="67"/>
      <c r="GUF1" s="68"/>
      <c r="GUG1" s="67"/>
      <c r="GUH1" s="67"/>
      <c r="GUI1" s="67"/>
      <c r="GUJ1" s="67"/>
      <c r="GUK1" s="67"/>
      <c r="GUL1" s="67"/>
      <c r="GUM1" s="67"/>
      <c r="GUN1" s="68"/>
      <c r="GUO1" s="67"/>
      <c r="GUP1" s="67"/>
      <c r="GUQ1" s="67"/>
      <c r="GUR1" s="67"/>
      <c r="GUS1" s="67"/>
      <c r="GUT1" s="67"/>
      <c r="GUU1" s="67"/>
      <c r="GUV1" s="68"/>
      <c r="GUW1" s="67"/>
      <c r="GUX1" s="67"/>
      <c r="GUY1" s="67"/>
      <c r="GUZ1" s="67"/>
      <c r="GVA1" s="67"/>
      <c r="GVB1" s="67"/>
      <c r="GVC1" s="67"/>
      <c r="GVD1" s="68"/>
      <c r="GVE1" s="67"/>
      <c r="GVF1" s="67"/>
      <c r="GVG1" s="67"/>
      <c r="GVH1" s="67"/>
      <c r="GVI1" s="67"/>
      <c r="GVJ1" s="67"/>
      <c r="GVK1" s="67"/>
      <c r="GVL1" s="68"/>
      <c r="GVM1" s="67"/>
      <c r="GVN1" s="67"/>
      <c r="GVO1" s="67"/>
      <c r="GVP1" s="67"/>
      <c r="GVQ1" s="67"/>
      <c r="GVR1" s="67"/>
      <c r="GVS1" s="67"/>
      <c r="GVT1" s="68"/>
      <c r="GVU1" s="67"/>
      <c r="GVV1" s="67"/>
      <c r="GVW1" s="67"/>
      <c r="GVX1" s="67"/>
      <c r="GVY1" s="67"/>
      <c r="GVZ1" s="67"/>
      <c r="GWA1" s="67"/>
      <c r="GWB1" s="68"/>
      <c r="GWC1" s="67"/>
      <c r="GWD1" s="67"/>
      <c r="GWE1" s="67"/>
      <c r="GWF1" s="67"/>
      <c r="GWG1" s="67"/>
      <c r="GWH1" s="67"/>
      <c r="GWI1" s="67"/>
      <c r="GWJ1" s="68"/>
      <c r="GWK1" s="67"/>
      <c r="GWL1" s="67"/>
      <c r="GWM1" s="67"/>
      <c r="GWN1" s="67"/>
      <c r="GWO1" s="67"/>
      <c r="GWP1" s="67"/>
      <c r="GWQ1" s="67"/>
      <c r="GWR1" s="68"/>
      <c r="GWS1" s="67"/>
      <c r="GWT1" s="67"/>
      <c r="GWU1" s="67"/>
      <c r="GWV1" s="67"/>
      <c r="GWW1" s="67"/>
      <c r="GWX1" s="67"/>
      <c r="GWY1" s="67"/>
      <c r="GWZ1" s="68"/>
      <c r="GXA1" s="67"/>
      <c r="GXB1" s="67"/>
      <c r="GXC1" s="67"/>
      <c r="GXD1" s="67"/>
      <c r="GXE1" s="67"/>
      <c r="GXF1" s="67"/>
      <c r="GXG1" s="67"/>
      <c r="GXH1" s="68"/>
      <c r="GXI1" s="67"/>
      <c r="GXJ1" s="67"/>
      <c r="GXK1" s="67"/>
      <c r="GXL1" s="67"/>
      <c r="GXM1" s="67"/>
      <c r="GXN1" s="67"/>
      <c r="GXO1" s="67"/>
      <c r="GXP1" s="68"/>
      <c r="GXQ1" s="67"/>
      <c r="GXR1" s="67"/>
      <c r="GXS1" s="67"/>
      <c r="GXT1" s="67"/>
      <c r="GXU1" s="67"/>
      <c r="GXV1" s="67"/>
      <c r="GXW1" s="67"/>
      <c r="GXX1" s="68"/>
      <c r="GXY1" s="67"/>
      <c r="GXZ1" s="67"/>
      <c r="GYA1" s="67"/>
      <c r="GYB1" s="67"/>
      <c r="GYC1" s="67"/>
      <c r="GYD1" s="67"/>
      <c r="GYE1" s="67"/>
      <c r="GYF1" s="68"/>
      <c r="GYG1" s="67"/>
      <c r="GYH1" s="67"/>
      <c r="GYI1" s="67"/>
      <c r="GYJ1" s="67"/>
      <c r="GYK1" s="67"/>
      <c r="GYL1" s="67"/>
      <c r="GYM1" s="67"/>
      <c r="GYN1" s="68"/>
      <c r="GYO1" s="67"/>
      <c r="GYP1" s="67"/>
      <c r="GYQ1" s="67"/>
      <c r="GYR1" s="67"/>
      <c r="GYS1" s="67"/>
      <c r="GYT1" s="67"/>
      <c r="GYU1" s="67"/>
      <c r="GYV1" s="68"/>
      <c r="GYW1" s="67"/>
      <c r="GYX1" s="67"/>
      <c r="GYY1" s="67"/>
      <c r="GYZ1" s="67"/>
      <c r="GZA1" s="67"/>
      <c r="GZB1" s="67"/>
      <c r="GZC1" s="67"/>
      <c r="GZD1" s="68"/>
      <c r="GZE1" s="67"/>
      <c r="GZF1" s="67"/>
      <c r="GZG1" s="67"/>
      <c r="GZH1" s="67"/>
      <c r="GZI1" s="67"/>
      <c r="GZJ1" s="67"/>
      <c r="GZK1" s="67"/>
      <c r="GZL1" s="68"/>
      <c r="GZM1" s="67"/>
      <c r="GZN1" s="67"/>
      <c r="GZO1" s="67"/>
      <c r="GZP1" s="67"/>
      <c r="GZQ1" s="67"/>
      <c r="GZR1" s="67"/>
      <c r="GZS1" s="67"/>
      <c r="GZT1" s="68"/>
      <c r="GZU1" s="67"/>
      <c r="GZV1" s="67"/>
      <c r="GZW1" s="67"/>
      <c r="GZX1" s="67"/>
      <c r="GZY1" s="67"/>
      <c r="GZZ1" s="67"/>
      <c r="HAA1" s="67"/>
      <c r="HAB1" s="68"/>
      <c r="HAC1" s="67"/>
      <c r="HAD1" s="67"/>
      <c r="HAE1" s="67"/>
      <c r="HAF1" s="67"/>
      <c r="HAG1" s="67"/>
      <c r="HAH1" s="67"/>
      <c r="HAI1" s="67"/>
      <c r="HAJ1" s="68"/>
      <c r="HAK1" s="67"/>
      <c r="HAL1" s="67"/>
      <c r="HAM1" s="67"/>
      <c r="HAN1" s="67"/>
      <c r="HAO1" s="67"/>
      <c r="HAP1" s="67"/>
      <c r="HAQ1" s="67"/>
      <c r="HAR1" s="68"/>
      <c r="HAS1" s="67"/>
      <c r="HAT1" s="67"/>
      <c r="HAU1" s="67"/>
      <c r="HAV1" s="67"/>
      <c r="HAW1" s="67"/>
      <c r="HAX1" s="67"/>
      <c r="HAY1" s="67"/>
      <c r="HAZ1" s="68"/>
      <c r="HBA1" s="67"/>
      <c r="HBB1" s="67"/>
      <c r="HBC1" s="67"/>
      <c r="HBD1" s="67"/>
      <c r="HBE1" s="67"/>
      <c r="HBF1" s="67"/>
      <c r="HBG1" s="67"/>
      <c r="HBH1" s="68"/>
      <c r="HBI1" s="67"/>
      <c r="HBJ1" s="67"/>
      <c r="HBK1" s="67"/>
      <c r="HBL1" s="67"/>
      <c r="HBM1" s="67"/>
      <c r="HBN1" s="67"/>
      <c r="HBO1" s="67"/>
      <c r="HBP1" s="68"/>
      <c r="HBQ1" s="67"/>
      <c r="HBR1" s="67"/>
      <c r="HBS1" s="67"/>
      <c r="HBT1" s="67"/>
      <c r="HBU1" s="67"/>
      <c r="HBV1" s="67"/>
      <c r="HBW1" s="67"/>
      <c r="HBX1" s="68"/>
      <c r="HBY1" s="67"/>
      <c r="HBZ1" s="67"/>
      <c r="HCA1" s="67"/>
      <c r="HCB1" s="67"/>
      <c r="HCC1" s="67"/>
      <c r="HCD1" s="67"/>
      <c r="HCE1" s="67"/>
      <c r="HCF1" s="68"/>
      <c r="HCG1" s="67"/>
      <c r="HCH1" s="67"/>
      <c r="HCI1" s="67"/>
      <c r="HCJ1" s="67"/>
      <c r="HCK1" s="67"/>
      <c r="HCL1" s="67"/>
      <c r="HCM1" s="67"/>
      <c r="HCN1" s="68"/>
      <c r="HCO1" s="67"/>
      <c r="HCP1" s="67"/>
      <c r="HCQ1" s="67"/>
      <c r="HCR1" s="67"/>
      <c r="HCS1" s="67"/>
      <c r="HCT1" s="67"/>
      <c r="HCU1" s="67"/>
      <c r="HCV1" s="68"/>
      <c r="HCW1" s="67"/>
      <c r="HCX1" s="67"/>
      <c r="HCY1" s="67"/>
      <c r="HCZ1" s="67"/>
      <c r="HDA1" s="67"/>
      <c r="HDB1" s="67"/>
      <c r="HDC1" s="67"/>
      <c r="HDD1" s="68"/>
      <c r="HDE1" s="67"/>
      <c r="HDF1" s="67"/>
      <c r="HDG1" s="67"/>
      <c r="HDH1" s="67"/>
      <c r="HDI1" s="67"/>
      <c r="HDJ1" s="67"/>
      <c r="HDK1" s="67"/>
      <c r="HDL1" s="68"/>
      <c r="HDM1" s="67"/>
      <c r="HDN1" s="67"/>
      <c r="HDO1" s="67"/>
      <c r="HDP1" s="67"/>
      <c r="HDQ1" s="67"/>
      <c r="HDR1" s="67"/>
      <c r="HDS1" s="67"/>
      <c r="HDT1" s="68"/>
      <c r="HDU1" s="67"/>
      <c r="HDV1" s="67"/>
      <c r="HDW1" s="67"/>
      <c r="HDX1" s="67"/>
      <c r="HDY1" s="67"/>
      <c r="HDZ1" s="67"/>
      <c r="HEA1" s="67"/>
      <c r="HEB1" s="68"/>
      <c r="HEC1" s="67"/>
      <c r="HED1" s="67"/>
      <c r="HEE1" s="67"/>
      <c r="HEF1" s="67"/>
      <c r="HEG1" s="67"/>
      <c r="HEH1" s="67"/>
      <c r="HEI1" s="67"/>
      <c r="HEJ1" s="68"/>
      <c r="HEK1" s="67"/>
      <c r="HEL1" s="67"/>
      <c r="HEM1" s="67"/>
      <c r="HEN1" s="67"/>
      <c r="HEO1" s="67"/>
      <c r="HEP1" s="67"/>
      <c r="HEQ1" s="67"/>
      <c r="HER1" s="68"/>
      <c r="HES1" s="67"/>
      <c r="HET1" s="67"/>
      <c r="HEU1" s="67"/>
      <c r="HEV1" s="67"/>
      <c r="HEW1" s="67"/>
      <c r="HEX1" s="67"/>
      <c r="HEY1" s="67"/>
      <c r="HEZ1" s="68"/>
      <c r="HFA1" s="67"/>
      <c r="HFB1" s="67"/>
      <c r="HFC1" s="67"/>
      <c r="HFD1" s="67"/>
      <c r="HFE1" s="67"/>
      <c r="HFF1" s="67"/>
      <c r="HFG1" s="67"/>
      <c r="HFH1" s="68"/>
      <c r="HFI1" s="67"/>
      <c r="HFJ1" s="67"/>
      <c r="HFK1" s="67"/>
      <c r="HFL1" s="67"/>
      <c r="HFM1" s="67"/>
      <c r="HFN1" s="67"/>
      <c r="HFO1" s="67"/>
      <c r="HFP1" s="68"/>
      <c r="HFQ1" s="67"/>
      <c r="HFR1" s="67"/>
      <c r="HFS1" s="67"/>
      <c r="HFT1" s="67"/>
      <c r="HFU1" s="67"/>
      <c r="HFV1" s="67"/>
      <c r="HFW1" s="67"/>
      <c r="HFX1" s="68"/>
      <c r="HFY1" s="67"/>
      <c r="HFZ1" s="67"/>
      <c r="HGA1" s="67"/>
      <c r="HGB1" s="67"/>
      <c r="HGC1" s="67"/>
      <c r="HGD1" s="67"/>
      <c r="HGE1" s="67"/>
      <c r="HGF1" s="68"/>
      <c r="HGG1" s="67"/>
      <c r="HGH1" s="67"/>
      <c r="HGI1" s="67"/>
      <c r="HGJ1" s="67"/>
      <c r="HGK1" s="67"/>
      <c r="HGL1" s="67"/>
      <c r="HGM1" s="67"/>
      <c r="HGN1" s="68"/>
      <c r="HGO1" s="67"/>
      <c r="HGP1" s="67"/>
      <c r="HGQ1" s="67"/>
      <c r="HGR1" s="67"/>
      <c r="HGS1" s="67"/>
      <c r="HGT1" s="67"/>
      <c r="HGU1" s="67"/>
      <c r="HGV1" s="68"/>
      <c r="HGW1" s="67"/>
      <c r="HGX1" s="67"/>
      <c r="HGY1" s="67"/>
      <c r="HGZ1" s="67"/>
      <c r="HHA1" s="67"/>
      <c r="HHB1" s="67"/>
      <c r="HHC1" s="67"/>
      <c r="HHD1" s="68"/>
      <c r="HHE1" s="67"/>
      <c r="HHF1" s="67"/>
      <c r="HHG1" s="67"/>
      <c r="HHH1" s="67"/>
      <c r="HHI1" s="67"/>
      <c r="HHJ1" s="67"/>
      <c r="HHK1" s="67"/>
      <c r="HHL1" s="68"/>
      <c r="HHM1" s="67"/>
      <c r="HHN1" s="67"/>
      <c r="HHO1" s="67"/>
      <c r="HHP1" s="67"/>
      <c r="HHQ1" s="67"/>
      <c r="HHR1" s="67"/>
      <c r="HHS1" s="67"/>
      <c r="HHT1" s="68"/>
      <c r="HHU1" s="67"/>
      <c r="HHV1" s="67"/>
      <c r="HHW1" s="67"/>
      <c r="HHX1" s="67"/>
      <c r="HHY1" s="67"/>
      <c r="HHZ1" s="67"/>
      <c r="HIA1" s="67"/>
      <c r="HIB1" s="68"/>
      <c r="HIC1" s="67"/>
      <c r="HID1" s="67"/>
      <c r="HIE1" s="67"/>
      <c r="HIF1" s="67"/>
      <c r="HIG1" s="67"/>
      <c r="HIH1" s="67"/>
      <c r="HII1" s="67"/>
      <c r="HIJ1" s="68"/>
      <c r="HIK1" s="67"/>
      <c r="HIL1" s="67"/>
      <c r="HIM1" s="67"/>
      <c r="HIN1" s="67"/>
      <c r="HIO1" s="67"/>
      <c r="HIP1" s="67"/>
      <c r="HIQ1" s="67"/>
      <c r="HIR1" s="68"/>
      <c r="HIS1" s="67"/>
      <c r="HIT1" s="67"/>
      <c r="HIU1" s="67"/>
      <c r="HIV1" s="67"/>
      <c r="HIW1" s="67"/>
      <c r="HIX1" s="67"/>
      <c r="HIY1" s="67"/>
      <c r="HIZ1" s="68"/>
      <c r="HJA1" s="67"/>
      <c r="HJB1" s="67"/>
      <c r="HJC1" s="67"/>
      <c r="HJD1" s="67"/>
      <c r="HJE1" s="67"/>
      <c r="HJF1" s="67"/>
      <c r="HJG1" s="67"/>
      <c r="HJH1" s="68"/>
      <c r="HJI1" s="67"/>
      <c r="HJJ1" s="67"/>
      <c r="HJK1" s="67"/>
      <c r="HJL1" s="67"/>
      <c r="HJM1" s="67"/>
      <c r="HJN1" s="67"/>
      <c r="HJO1" s="67"/>
      <c r="HJP1" s="68"/>
      <c r="HJQ1" s="67"/>
      <c r="HJR1" s="67"/>
      <c r="HJS1" s="67"/>
      <c r="HJT1" s="67"/>
      <c r="HJU1" s="67"/>
      <c r="HJV1" s="67"/>
      <c r="HJW1" s="67"/>
      <c r="HJX1" s="68"/>
      <c r="HJY1" s="67"/>
      <c r="HJZ1" s="67"/>
      <c r="HKA1" s="67"/>
      <c r="HKB1" s="67"/>
      <c r="HKC1" s="67"/>
      <c r="HKD1" s="67"/>
      <c r="HKE1" s="67"/>
      <c r="HKF1" s="68"/>
      <c r="HKG1" s="67"/>
      <c r="HKH1" s="67"/>
      <c r="HKI1" s="67"/>
      <c r="HKJ1" s="67"/>
      <c r="HKK1" s="67"/>
      <c r="HKL1" s="67"/>
      <c r="HKM1" s="67"/>
      <c r="HKN1" s="68"/>
      <c r="HKO1" s="67"/>
      <c r="HKP1" s="67"/>
      <c r="HKQ1" s="67"/>
      <c r="HKR1" s="67"/>
      <c r="HKS1" s="67"/>
      <c r="HKT1" s="67"/>
      <c r="HKU1" s="67"/>
      <c r="HKV1" s="68"/>
      <c r="HKW1" s="67"/>
      <c r="HKX1" s="67"/>
      <c r="HKY1" s="67"/>
      <c r="HKZ1" s="67"/>
      <c r="HLA1" s="67"/>
      <c r="HLB1" s="67"/>
      <c r="HLC1" s="67"/>
      <c r="HLD1" s="68"/>
      <c r="HLE1" s="67"/>
      <c r="HLF1" s="67"/>
      <c r="HLG1" s="67"/>
      <c r="HLH1" s="67"/>
      <c r="HLI1" s="67"/>
      <c r="HLJ1" s="67"/>
      <c r="HLK1" s="67"/>
      <c r="HLL1" s="68"/>
      <c r="HLM1" s="67"/>
      <c r="HLN1" s="67"/>
      <c r="HLO1" s="67"/>
      <c r="HLP1" s="67"/>
      <c r="HLQ1" s="67"/>
      <c r="HLR1" s="67"/>
      <c r="HLS1" s="67"/>
      <c r="HLT1" s="68"/>
      <c r="HLU1" s="67"/>
      <c r="HLV1" s="67"/>
      <c r="HLW1" s="67"/>
      <c r="HLX1" s="67"/>
      <c r="HLY1" s="67"/>
      <c r="HLZ1" s="67"/>
      <c r="HMA1" s="67"/>
      <c r="HMB1" s="68"/>
      <c r="HMC1" s="67"/>
      <c r="HMD1" s="67"/>
      <c r="HME1" s="67"/>
      <c r="HMF1" s="67"/>
      <c r="HMG1" s="67"/>
      <c r="HMH1" s="67"/>
      <c r="HMI1" s="67"/>
      <c r="HMJ1" s="68"/>
      <c r="HMK1" s="67"/>
      <c r="HML1" s="67"/>
      <c r="HMM1" s="67"/>
      <c r="HMN1" s="67"/>
      <c r="HMO1" s="67"/>
      <c r="HMP1" s="67"/>
      <c r="HMQ1" s="67"/>
      <c r="HMR1" s="68"/>
      <c r="HMS1" s="67"/>
      <c r="HMT1" s="67"/>
      <c r="HMU1" s="67"/>
      <c r="HMV1" s="67"/>
      <c r="HMW1" s="67"/>
      <c r="HMX1" s="67"/>
      <c r="HMY1" s="67"/>
      <c r="HMZ1" s="68"/>
      <c r="HNA1" s="67"/>
      <c r="HNB1" s="67"/>
      <c r="HNC1" s="67"/>
      <c r="HND1" s="67"/>
      <c r="HNE1" s="67"/>
      <c r="HNF1" s="67"/>
      <c r="HNG1" s="67"/>
      <c r="HNH1" s="68"/>
      <c r="HNI1" s="67"/>
      <c r="HNJ1" s="67"/>
      <c r="HNK1" s="67"/>
      <c r="HNL1" s="67"/>
      <c r="HNM1" s="67"/>
      <c r="HNN1" s="67"/>
      <c r="HNO1" s="67"/>
      <c r="HNP1" s="68"/>
      <c r="HNQ1" s="67"/>
      <c r="HNR1" s="67"/>
      <c r="HNS1" s="67"/>
      <c r="HNT1" s="67"/>
      <c r="HNU1" s="67"/>
      <c r="HNV1" s="67"/>
      <c r="HNW1" s="67"/>
      <c r="HNX1" s="68"/>
      <c r="HNY1" s="67"/>
      <c r="HNZ1" s="67"/>
      <c r="HOA1" s="67"/>
      <c r="HOB1" s="67"/>
      <c r="HOC1" s="67"/>
      <c r="HOD1" s="67"/>
      <c r="HOE1" s="67"/>
      <c r="HOF1" s="68"/>
      <c r="HOG1" s="67"/>
      <c r="HOH1" s="67"/>
      <c r="HOI1" s="67"/>
      <c r="HOJ1" s="67"/>
      <c r="HOK1" s="67"/>
      <c r="HOL1" s="67"/>
      <c r="HOM1" s="67"/>
      <c r="HON1" s="68"/>
      <c r="HOO1" s="67"/>
      <c r="HOP1" s="67"/>
      <c r="HOQ1" s="67"/>
      <c r="HOR1" s="67"/>
      <c r="HOS1" s="67"/>
      <c r="HOT1" s="67"/>
      <c r="HOU1" s="67"/>
      <c r="HOV1" s="68"/>
      <c r="HOW1" s="67"/>
      <c r="HOX1" s="67"/>
      <c r="HOY1" s="67"/>
      <c r="HOZ1" s="67"/>
      <c r="HPA1" s="67"/>
      <c r="HPB1" s="67"/>
      <c r="HPC1" s="67"/>
      <c r="HPD1" s="68"/>
      <c r="HPE1" s="67"/>
      <c r="HPF1" s="67"/>
      <c r="HPG1" s="67"/>
      <c r="HPH1" s="67"/>
      <c r="HPI1" s="67"/>
      <c r="HPJ1" s="67"/>
      <c r="HPK1" s="67"/>
      <c r="HPL1" s="68"/>
      <c r="HPM1" s="67"/>
      <c r="HPN1" s="67"/>
      <c r="HPO1" s="67"/>
      <c r="HPP1" s="67"/>
      <c r="HPQ1" s="67"/>
      <c r="HPR1" s="67"/>
      <c r="HPS1" s="67"/>
      <c r="HPT1" s="68"/>
      <c r="HPU1" s="67"/>
      <c r="HPV1" s="67"/>
      <c r="HPW1" s="67"/>
      <c r="HPX1" s="67"/>
      <c r="HPY1" s="67"/>
      <c r="HPZ1" s="67"/>
      <c r="HQA1" s="67"/>
      <c r="HQB1" s="68"/>
      <c r="HQC1" s="67"/>
      <c r="HQD1" s="67"/>
      <c r="HQE1" s="67"/>
      <c r="HQF1" s="67"/>
      <c r="HQG1" s="67"/>
      <c r="HQH1" s="67"/>
      <c r="HQI1" s="67"/>
      <c r="HQJ1" s="68"/>
      <c r="HQK1" s="67"/>
      <c r="HQL1" s="67"/>
      <c r="HQM1" s="67"/>
      <c r="HQN1" s="67"/>
      <c r="HQO1" s="67"/>
      <c r="HQP1" s="67"/>
      <c r="HQQ1" s="67"/>
      <c r="HQR1" s="68"/>
      <c r="HQS1" s="67"/>
      <c r="HQT1" s="67"/>
      <c r="HQU1" s="67"/>
      <c r="HQV1" s="67"/>
      <c r="HQW1" s="67"/>
      <c r="HQX1" s="67"/>
      <c r="HQY1" s="67"/>
      <c r="HQZ1" s="68"/>
      <c r="HRA1" s="67"/>
      <c r="HRB1" s="67"/>
      <c r="HRC1" s="67"/>
      <c r="HRD1" s="67"/>
      <c r="HRE1" s="67"/>
      <c r="HRF1" s="67"/>
      <c r="HRG1" s="67"/>
      <c r="HRH1" s="68"/>
      <c r="HRI1" s="67"/>
      <c r="HRJ1" s="67"/>
      <c r="HRK1" s="67"/>
      <c r="HRL1" s="67"/>
      <c r="HRM1" s="67"/>
      <c r="HRN1" s="67"/>
      <c r="HRO1" s="67"/>
      <c r="HRP1" s="68"/>
      <c r="HRQ1" s="67"/>
      <c r="HRR1" s="67"/>
      <c r="HRS1" s="67"/>
      <c r="HRT1" s="67"/>
      <c r="HRU1" s="67"/>
      <c r="HRV1" s="67"/>
      <c r="HRW1" s="67"/>
      <c r="HRX1" s="68"/>
      <c r="HRY1" s="67"/>
      <c r="HRZ1" s="67"/>
      <c r="HSA1" s="67"/>
      <c r="HSB1" s="67"/>
      <c r="HSC1" s="67"/>
      <c r="HSD1" s="67"/>
      <c r="HSE1" s="67"/>
      <c r="HSF1" s="68"/>
      <c r="HSG1" s="67"/>
      <c r="HSH1" s="67"/>
      <c r="HSI1" s="67"/>
      <c r="HSJ1" s="67"/>
      <c r="HSK1" s="67"/>
      <c r="HSL1" s="67"/>
      <c r="HSM1" s="67"/>
      <c r="HSN1" s="68"/>
      <c r="HSO1" s="67"/>
      <c r="HSP1" s="67"/>
      <c r="HSQ1" s="67"/>
      <c r="HSR1" s="67"/>
      <c r="HSS1" s="67"/>
      <c r="HST1" s="67"/>
      <c r="HSU1" s="67"/>
      <c r="HSV1" s="68"/>
      <c r="HSW1" s="67"/>
      <c r="HSX1" s="67"/>
      <c r="HSY1" s="67"/>
      <c r="HSZ1" s="67"/>
      <c r="HTA1" s="67"/>
      <c r="HTB1" s="67"/>
      <c r="HTC1" s="67"/>
      <c r="HTD1" s="68"/>
      <c r="HTE1" s="67"/>
      <c r="HTF1" s="67"/>
      <c r="HTG1" s="67"/>
      <c r="HTH1" s="67"/>
      <c r="HTI1" s="67"/>
      <c r="HTJ1" s="67"/>
      <c r="HTK1" s="67"/>
      <c r="HTL1" s="68"/>
      <c r="HTM1" s="67"/>
      <c r="HTN1" s="67"/>
      <c r="HTO1" s="67"/>
      <c r="HTP1" s="67"/>
      <c r="HTQ1" s="67"/>
      <c r="HTR1" s="67"/>
      <c r="HTS1" s="67"/>
      <c r="HTT1" s="68"/>
      <c r="HTU1" s="67"/>
      <c r="HTV1" s="67"/>
      <c r="HTW1" s="67"/>
      <c r="HTX1" s="67"/>
      <c r="HTY1" s="67"/>
      <c r="HTZ1" s="67"/>
      <c r="HUA1" s="67"/>
      <c r="HUB1" s="68"/>
      <c r="HUC1" s="67"/>
      <c r="HUD1" s="67"/>
      <c r="HUE1" s="67"/>
      <c r="HUF1" s="67"/>
      <c r="HUG1" s="67"/>
      <c r="HUH1" s="67"/>
      <c r="HUI1" s="67"/>
      <c r="HUJ1" s="68"/>
      <c r="HUK1" s="67"/>
      <c r="HUL1" s="67"/>
      <c r="HUM1" s="67"/>
      <c r="HUN1" s="67"/>
      <c r="HUO1" s="67"/>
      <c r="HUP1" s="67"/>
      <c r="HUQ1" s="67"/>
      <c r="HUR1" s="68"/>
      <c r="HUS1" s="67"/>
      <c r="HUT1" s="67"/>
      <c r="HUU1" s="67"/>
      <c r="HUV1" s="67"/>
      <c r="HUW1" s="67"/>
      <c r="HUX1" s="67"/>
      <c r="HUY1" s="67"/>
      <c r="HUZ1" s="68"/>
      <c r="HVA1" s="67"/>
      <c r="HVB1" s="67"/>
      <c r="HVC1" s="67"/>
      <c r="HVD1" s="67"/>
      <c r="HVE1" s="67"/>
      <c r="HVF1" s="67"/>
      <c r="HVG1" s="67"/>
      <c r="HVH1" s="68"/>
      <c r="HVI1" s="67"/>
      <c r="HVJ1" s="67"/>
      <c r="HVK1" s="67"/>
      <c r="HVL1" s="67"/>
      <c r="HVM1" s="67"/>
      <c r="HVN1" s="67"/>
      <c r="HVO1" s="67"/>
      <c r="HVP1" s="68"/>
      <c r="HVQ1" s="67"/>
      <c r="HVR1" s="67"/>
      <c r="HVS1" s="67"/>
      <c r="HVT1" s="67"/>
      <c r="HVU1" s="67"/>
      <c r="HVV1" s="67"/>
      <c r="HVW1" s="67"/>
      <c r="HVX1" s="68"/>
      <c r="HVY1" s="67"/>
      <c r="HVZ1" s="67"/>
      <c r="HWA1" s="67"/>
      <c r="HWB1" s="67"/>
      <c r="HWC1" s="67"/>
      <c r="HWD1" s="67"/>
      <c r="HWE1" s="67"/>
      <c r="HWF1" s="68"/>
      <c r="HWG1" s="67"/>
      <c r="HWH1" s="67"/>
      <c r="HWI1" s="67"/>
      <c r="HWJ1" s="67"/>
      <c r="HWK1" s="67"/>
      <c r="HWL1" s="67"/>
      <c r="HWM1" s="67"/>
      <c r="HWN1" s="68"/>
      <c r="HWO1" s="67"/>
      <c r="HWP1" s="67"/>
      <c r="HWQ1" s="67"/>
      <c r="HWR1" s="67"/>
      <c r="HWS1" s="67"/>
      <c r="HWT1" s="67"/>
      <c r="HWU1" s="67"/>
      <c r="HWV1" s="68"/>
      <c r="HWW1" s="67"/>
      <c r="HWX1" s="67"/>
      <c r="HWY1" s="67"/>
      <c r="HWZ1" s="67"/>
      <c r="HXA1" s="67"/>
      <c r="HXB1" s="67"/>
      <c r="HXC1" s="67"/>
      <c r="HXD1" s="68"/>
      <c r="HXE1" s="67"/>
      <c r="HXF1" s="67"/>
      <c r="HXG1" s="67"/>
      <c r="HXH1" s="67"/>
      <c r="HXI1" s="67"/>
      <c r="HXJ1" s="67"/>
      <c r="HXK1" s="67"/>
      <c r="HXL1" s="68"/>
      <c r="HXM1" s="67"/>
      <c r="HXN1" s="67"/>
      <c r="HXO1" s="67"/>
      <c r="HXP1" s="67"/>
      <c r="HXQ1" s="67"/>
      <c r="HXR1" s="67"/>
      <c r="HXS1" s="67"/>
      <c r="HXT1" s="68"/>
      <c r="HXU1" s="67"/>
      <c r="HXV1" s="67"/>
      <c r="HXW1" s="67"/>
      <c r="HXX1" s="67"/>
      <c r="HXY1" s="67"/>
      <c r="HXZ1" s="67"/>
      <c r="HYA1" s="67"/>
      <c r="HYB1" s="68"/>
      <c r="HYC1" s="67"/>
      <c r="HYD1" s="67"/>
      <c r="HYE1" s="67"/>
      <c r="HYF1" s="67"/>
      <c r="HYG1" s="67"/>
      <c r="HYH1" s="67"/>
      <c r="HYI1" s="67"/>
      <c r="HYJ1" s="68"/>
      <c r="HYK1" s="67"/>
      <c r="HYL1" s="67"/>
      <c r="HYM1" s="67"/>
      <c r="HYN1" s="67"/>
      <c r="HYO1" s="67"/>
      <c r="HYP1" s="67"/>
      <c r="HYQ1" s="67"/>
      <c r="HYR1" s="68"/>
      <c r="HYS1" s="67"/>
      <c r="HYT1" s="67"/>
      <c r="HYU1" s="67"/>
      <c r="HYV1" s="67"/>
      <c r="HYW1" s="67"/>
      <c r="HYX1" s="67"/>
      <c r="HYY1" s="67"/>
      <c r="HYZ1" s="68"/>
      <c r="HZA1" s="67"/>
      <c r="HZB1" s="67"/>
      <c r="HZC1" s="67"/>
      <c r="HZD1" s="67"/>
      <c r="HZE1" s="67"/>
      <c r="HZF1" s="67"/>
      <c r="HZG1" s="67"/>
      <c r="HZH1" s="68"/>
      <c r="HZI1" s="67"/>
      <c r="HZJ1" s="67"/>
      <c r="HZK1" s="67"/>
      <c r="HZL1" s="67"/>
      <c r="HZM1" s="67"/>
      <c r="HZN1" s="67"/>
      <c r="HZO1" s="67"/>
      <c r="HZP1" s="68"/>
      <c r="HZQ1" s="67"/>
      <c r="HZR1" s="67"/>
      <c r="HZS1" s="67"/>
      <c r="HZT1" s="67"/>
      <c r="HZU1" s="67"/>
      <c r="HZV1" s="67"/>
      <c r="HZW1" s="67"/>
      <c r="HZX1" s="68"/>
      <c r="HZY1" s="67"/>
      <c r="HZZ1" s="67"/>
      <c r="IAA1" s="67"/>
      <c r="IAB1" s="67"/>
      <c r="IAC1" s="67"/>
      <c r="IAD1" s="67"/>
      <c r="IAE1" s="67"/>
      <c r="IAF1" s="68"/>
      <c r="IAG1" s="67"/>
      <c r="IAH1" s="67"/>
      <c r="IAI1" s="67"/>
      <c r="IAJ1" s="67"/>
      <c r="IAK1" s="67"/>
      <c r="IAL1" s="67"/>
      <c r="IAM1" s="67"/>
      <c r="IAN1" s="68"/>
      <c r="IAO1" s="67"/>
      <c r="IAP1" s="67"/>
      <c r="IAQ1" s="67"/>
      <c r="IAR1" s="67"/>
      <c r="IAS1" s="67"/>
      <c r="IAT1" s="67"/>
      <c r="IAU1" s="67"/>
      <c r="IAV1" s="68"/>
      <c r="IAW1" s="67"/>
      <c r="IAX1" s="67"/>
      <c r="IAY1" s="67"/>
      <c r="IAZ1" s="67"/>
      <c r="IBA1" s="67"/>
      <c r="IBB1" s="67"/>
      <c r="IBC1" s="67"/>
      <c r="IBD1" s="68"/>
      <c r="IBE1" s="67"/>
      <c r="IBF1" s="67"/>
      <c r="IBG1" s="67"/>
      <c r="IBH1" s="67"/>
      <c r="IBI1" s="67"/>
      <c r="IBJ1" s="67"/>
      <c r="IBK1" s="67"/>
      <c r="IBL1" s="68"/>
      <c r="IBM1" s="67"/>
      <c r="IBN1" s="67"/>
      <c r="IBO1" s="67"/>
      <c r="IBP1" s="67"/>
      <c r="IBQ1" s="67"/>
      <c r="IBR1" s="67"/>
      <c r="IBS1" s="67"/>
      <c r="IBT1" s="68"/>
      <c r="IBU1" s="67"/>
      <c r="IBV1" s="67"/>
      <c r="IBW1" s="67"/>
      <c r="IBX1" s="67"/>
      <c r="IBY1" s="67"/>
      <c r="IBZ1" s="67"/>
      <c r="ICA1" s="67"/>
      <c r="ICB1" s="68"/>
      <c r="ICC1" s="67"/>
      <c r="ICD1" s="67"/>
      <c r="ICE1" s="67"/>
      <c r="ICF1" s="67"/>
      <c r="ICG1" s="67"/>
      <c r="ICH1" s="67"/>
      <c r="ICI1" s="67"/>
      <c r="ICJ1" s="68"/>
      <c r="ICK1" s="67"/>
      <c r="ICL1" s="67"/>
      <c r="ICM1" s="67"/>
      <c r="ICN1" s="67"/>
      <c r="ICO1" s="67"/>
      <c r="ICP1" s="67"/>
      <c r="ICQ1" s="67"/>
      <c r="ICR1" s="68"/>
      <c r="ICS1" s="67"/>
      <c r="ICT1" s="67"/>
      <c r="ICU1" s="67"/>
      <c r="ICV1" s="67"/>
      <c r="ICW1" s="67"/>
      <c r="ICX1" s="67"/>
      <c r="ICY1" s="67"/>
      <c r="ICZ1" s="68"/>
      <c r="IDA1" s="67"/>
      <c r="IDB1" s="67"/>
      <c r="IDC1" s="67"/>
      <c r="IDD1" s="67"/>
      <c r="IDE1" s="67"/>
      <c r="IDF1" s="67"/>
      <c r="IDG1" s="67"/>
      <c r="IDH1" s="68"/>
      <c r="IDI1" s="67"/>
      <c r="IDJ1" s="67"/>
      <c r="IDK1" s="67"/>
      <c r="IDL1" s="67"/>
      <c r="IDM1" s="67"/>
      <c r="IDN1" s="67"/>
      <c r="IDO1" s="67"/>
      <c r="IDP1" s="68"/>
      <c r="IDQ1" s="67"/>
      <c r="IDR1" s="67"/>
      <c r="IDS1" s="67"/>
      <c r="IDT1" s="67"/>
      <c r="IDU1" s="67"/>
      <c r="IDV1" s="67"/>
      <c r="IDW1" s="67"/>
      <c r="IDX1" s="68"/>
      <c r="IDY1" s="67"/>
      <c r="IDZ1" s="67"/>
      <c r="IEA1" s="67"/>
      <c r="IEB1" s="67"/>
      <c r="IEC1" s="67"/>
      <c r="IED1" s="67"/>
      <c r="IEE1" s="67"/>
      <c r="IEF1" s="68"/>
      <c r="IEG1" s="67"/>
      <c r="IEH1" s="67"/>
      <c r="IEI1" s="67"/>
      <c r="IEJ1" s="67"/>
      <c r="IEK1" s="67"/>
      <c r="IEL1" s="67"/>
      <c r="IEM1" s="67"/>
      <c r="IEN1" s="68"/>
      <c r="IEO1" s="67"/>
      <c r="IEP1" s="67"/>
      <c r="IEQ1" s="67"/>
      <c r="IER1" s="67"/>
      <c r="IES1" s="67"/>
      <c r="IET1" s="67"/>
      <c r="IEU1" s="67"/>
      <c r="IEV1" s="68"/>
      <c r="IEW1" s="67"/>
      <c r="IEX1" s="67"/>
      <c r="IEY1" s="67"/>
      <c r="IEZ1" s="67"/>
      <c r="IFA1" s="67"/>
      <c r="IFB1" s="67"/>
      <c r="IFC1" s="67"/>
      <c r="IFD1" s="68"/>
      <c r="IFE1" s="67"/>
      <c r="IFF1" s="67"/>
      <c r="IFG1" s="67"/>
      <c r="IFH1" s="67"/>
      <c r="IFI1" s="67"/>
      <c r="IFJ1" s="67"/>
      <c r="IFK1" s="67"/>
      <c r="IFL1" s="68"/>
      <c r="IFM1" s="67"/>
      <c r="IFN1" s="67"/>
      <c r="IFO1" s="67"/>
      <c r="IFP1" s="67"/>
      <c r="IFQ1" s="67"/>
      <c r="IFR1" s="67"/>
      <c r="IFS1" s="67"/>
      <c r="IFT1" s="68"/>
      <c r="IFU1" s="67"/>
      <c r="IFV1" s="67"/>
      <c r="IFW1" s="67"/>
      <c r="IFX1" s="67"/>
      <c r="IFY1" s="67"/>
      <c r="IFZ1" s="67"/>
      <c r="IGA1" s="67"/>
      <c r="IGB1" s="68"/>
      <c r="IGC1" s="67"/>
      <c r="IGD1" s="67"/>
      <c r="IGE1" s="67"/>
      <c r="IGF1" s="67"/>
      <c r="IGG1" s="67"/>
      <c r="IGH1" s="67"/>
      <c r="IGI1" s="67"/>
      <c r="IGJ1" s="68"/>
      <c r="IGK1" s="67"/>
      <c r="IGL1" s="67"/>
      <c r="IGM1" s="67"/>
      <c r="IGN1" s="67"/>
      <c r="IGO1" s="67"/>
      <c r="IGP1" s="67"/>
      <c r="IGQ1" s="67"/>
      <c r="IGR1" s="68"/>
      <c r="IGS1" s="67"/>
      <c r="IGT1" s="67"/>
      <c r="IGU1" s="67"/>
      <c r="IGV1" s="67"/>
      <c r="IGW1" s="67"/>
      <c r="IGX1" s="67"/>
      <c r="IGY1" s="67"/>
      <c r="IGZ1" s="68"/>
      <c r="IHA1" s="67"/>
      <c r="IHB1" s="67"/>
      <c r="IHC1" s="67"/>
      <c r="IHD1" s="67"/>
      <c r="IHE1" s="67"/>
      <c r="IHF1" s="67"/>
      <c r="IHG1" s="67"/>
      <c r="IHH1" s="68"/>
      <c r="IHI1" s="67"/>
      <c r="IHJ1" s="67"/>
      <c r="IHK1" s="67"/>
      <c r="IHL1" s="67"/>
      <c r="IHM1" s="67"/>
      <c r="IHN1" s="67"/>
      <c r="IHO1" s="67"/>
      <c r="IHP1" s="68"/>
      <c r="IHQ1" s="67"/>
      <c r="IHR1" s="67"/>
      <c r="IHS1" s="67"/>
      <c r="IHT1" s="67"/>
      <c r="IHU1" s="67"/>
      <c r="IHV1" s="67"/>
      <c r="IHW1" s="67"/>
      <c r="IHX1" s="68"/>
      <c r="IHY1" s="67"/>
      <c r="IHZ1" s="67"/>
      <c r="IIA1" s="67"/>
      <c r="IIB1" s="67"/>
      <c r="IIC1" s="67"/>
      <c r="IID1" s="67"/>
      <c r="IIE1" s="67"/>
      <c r="IIF1" s="68"/>
      <c r="IIG1" s="67"/>
      <c r="IIH1" s="67"/>
      <c r="III1" s="67"/>
      <c r="IIJ1" s="67"/>
      <c r="IIK1" s="67"/>
      <c r="IIL1" s="67"/>
      <c r="IIM1" s="67"/>
      <c r="IIN1" s="68"/>
      <c r="IIO1" s="67"/>
      <c r="IIP1" s="67"/>
      <c r="IIQ1" s="67"/>
      <c r="IIR1" s="67"/>
      <c r="IIS1" s="67"/>
      <c r="IIT1" s="67"/>
      <c r="IIU1" s="67"/>
      <c r="IIV1" s="68"/>
      <c r="IIW1" s="67"/>
      <c r="IIX1" s="67"/>
      <c r="IIY1" s="67"/>
      <c r="IIZ1" s="67"/>
      <c r="IJA1" s="67"/>
      <c r="IJB1" s="67"/>
      <c r="IJC1" s="67"/>
      <c r="IJD1" s="68"/>
      <c r="IJE1" s="67"/>
      <c r="IJF1" s="67"/>
      <c r="IJG1" s="67"/>
      <c r="IJH1" s="67"/>
      <c r="IJI1" s="67"/>
      <c r="IJJ1" s="67"/>
      <c r="IJK1" s="67"/>
      <c r="IJL1" s="68"/>
      <c r="IJM1" s="67"/>
      <c r="IJN1" s="67"/>
      <c r="IJO1" s="67"/>
      <c r="IJP1" s="67"/>
      <c r="IJQ1" s="67"/>
      <c r="IJR1" s="67"/>
      <c r="IJS1" s="67"/>
      <c r="IJT1" s="68"/>
      <c r="IJU1" s="67"/>
      <c r="IJV1" s="67"/>
      <c r="IJW1" s="67"/>
      <c r="IJX1" s="67"/>
      <c r="IJY1" s="67"/>
      <c r="IJZ1" s="67"/>
      <c r="IKA1" s="67"/>
      <c r="IKB1" s="68"/>
      <c r="IKC1" s="67"/>
      <c r="IKD1" s="67"/>
      <c r="IKE1" s="67"/>
      <c r="IKF1" s="67"/>
      <c r="IKG1" s="67"/>
      <c r="IKH1" s="67"/>
      <c r="IKI1" s="67"/>
      <c r="IKJ1" s="68"/>
      <c r="IKK1" s="67"/>
      <c r="IKL1" s="67"/>
      <c r="IKM1" s="67"/>
      <c r="IKN1" s="67"/>
      <c r="IKO1" s="67"/>
      <c r="IKP1" s="67"/>
      <c r="IKQ1" s="67"/>
      <c r="IKR1" s="68"/>
      <c r="IKS1" s="67"/>
      <c r="IKT1" s="67"/>
      <c r="IKU1" s="67"/>
      <c r="IKV1" s="67"/>
      <c r="IKW1" s="67"/>
      <c r="IKX1" s="67"/>
      <c r="IKY1" s="67"/>
      <c r="IKZ1" s="68"/>
      <c r="ILA1" s="67"/>
      <c r="ILB1" s="67"/>
      <c r="ILC1" s="67"/>
      <c r="ILD1" s="67"/>
      <c r="ILE1" s="67"/>
      <c r="ILF1" s="67"/>
      <c r="ILG1" s="67"/>
      <c r="ILH1" s="68"/>
      <c r="ILI1" s="67"/>
      <c r="ILJ1" s="67"/>
      <c r="ILK1" s="67"/>
      <c r="ILL1" s="67"/>
      <c r="ILM1" s="67"/>
      <c r="ILN1" s="67"/>
      <c r="ILO1" s="67"/>
      <c r="ILP1" s="68"/>
      <c r="ILQ1" s="67"/>
      <c r="ILR1" s="67"/>
      <c r="ILS1" s="67"/>
      <c r="ILT1" s="67"/>
      <c r="ILU1" s="67"/>
      <c r="ILV1" s="67"/>
      <c r="ILW1" s="67"/>
      <c r="ILX1" s="68"/>
      <c r="ILY1" s="67"/>
      <c r="ILZ1" s="67"/>
      <c r="IMA1" s="67"/>
      <c r="IMB1" s="67"/>
      <c r="IMC1" s="67"/>
      <c r="IMD1" s="67"/>
      <c r="IME1" s="67"/>
      <c r="IMF1" s="68"/>
      <c r="IMG1" s="67"/>
      <c r="IMH1" s="67"/>
      <c r="IMI1" s="67"/>
      <c r="IMJ1" s="67"/>
      <c r="IMK1" s="67"/>
      <c r="IML1" s="67"/>
      <c r="IMM1" s="67"/>
      <c r="IMN1" s="68"/>
      <c r="IMO1" s="67"/>
      <c r="IMP1" s="67"/>
      <c r="IMQ1" s="67"/>
      <c r="IMR1" s="67"/>
      <c r="IMS1" s="67"/>
      <c r="IMT1" s="67"/>
      <c r="IMU1" s="67"/>
      <c r="IMV1" s="68"/>
      <c r="IMW1" s="67"/>
      <c r="IMX1" s="67"/>
      <c r="IMY1" s="67"/>
      <c r="IMZ1" s="67"/>
      <c r="INA1" s="67"/>
      <c r="INB1" s="67"/>
      <c r="INC1" s="67"/>
      <c r="IND1" s="68"/>
      <c r="INE1" s="67"/>
      <c r="INF1" s="67"/>
      <c r="ING1" s="67"/>
      <c r="INH1" s="67"/>
      <c r="INI1" s="67"/>
      <c r="INJ1" s="67"/>
      <c r="INK1" s="67"/>
      <c r="INL1" s="68"/>
      <c r="INM1" s="67"/>
      <c r="INN1" s="67"/>
      <c r="INO1" s="67"/>
      <c r="INP1" s="67"/>
      <c r="INQ1" s="67"/>
      <c r="INR1" s="67"/>
      <c r="INS1" s="67"/>
      <c r="INT1" s="68"/>
      <c r="INU1" s="67"/>
      <c r="INV1" s="67"/>
      <c r="INW1" s="67"/>
      <c r="INX1" s="67"/>
      <c r="INY1" s="67"/>
      <c r="INZ1" s="67"/>
      <c r="IOA1" s="67"/>
      <c r="IOB1" s="68"/>
      <c r="IOC1" s="67"/>
      <c r="IOD1" s="67"/>
      <c r="IOE1" s="67"/>
      <c r="IOF1" s="67"/>
      <c r="IOG1" s="67"/>
      <c r="IOH1" s="67"/>
      <c r="IOI1" s="67"/>
      <c r="IOJ1" s="68"/>
      <c r="IOK1" s="67"/>
      <c r="IOL1" s="67"/>
      <c r="IOM1" s="67"/>
      <c r="ION1" s="67"/>
      <c r="IOO1" s="67"/>
      <c r="IOP1" s="67"/>
      <c r="IOQ1" s="67"/>
      <c r="IOR1" s="68"/>
      <c r="IOS1" s="67"/>
      <c r="IOT1" s="67"/>
      <c r="IOU1" s="67"/>
      <c r="IOV1" s="67"/>
      <c r="IOW1" s="67"/>
      <c r="IOX1" s="67"/>
      <c r="IOY1" s="67"/>
      <c r="IOZ1" s="68"/>
      <c r="IPA1" s="67"/>
      <c r="IPB1" s="67"/>
      <c r="IPC1" s="67"/>
      <c r="IPD1" s="67"/>
      <c r="IPE1" s="67"/>
      <c r="IPF1" s="67"/>
      <c r="IPG1" s="67"/>
      <c r="IPH1" s="68"/>
      <c r="IPI1" s="67"/>
      <c r="IPJ1" s="67"/>
      <c r="IPK1" s="67"/>
      <c r="IPL1" s="67"/>
      <c r="IPM1" s="67"/>
      <c r="IPN1" s="67"/>
      <c r="IPO1" s="67"/>
      <c r="IPP1" s="68"/>
      <c r="IPQ1" s="67"/>
      <c r="IPR1" s="67"/>
      <c r="IPS1" s="67"/>
      <c r="IPT1" s="67"/>
      <c r="IPU1" s="67"/>
      <c r="IPV1" s="67"/>
      <c r="IPW1" s="67"/>
      <c r="IPX1" s="68"/>
      <c r="IPY1" s="67"/>
      <c r="IPZ1" s="67"/>
      <c r="IQA1" s="67"/>
      <c r="IQB1" s="67"/>
      <c r="IQC1" s="67"/>
      <c r="IQD1" s="67"/>
      <c r="IQE1" s="67"/>
      <c r="IQF1" s="68"/>
      <c r="IQG1" s="67"/>
      <c r="IQH1" s="67"/>
      <c r="IQI1" s="67"/>
      <c r="IQJ1" s="67"/>
      <c r="IQK1" s="67"/>
      <c r="IQL1" s="67"/>
      <c r="IQM1" s="67"/>
      <c r="IQN1" s="68"/>
      <c r="IQO1" s="67"/>
      <c r="IQP1" s="67"/>
      <c r="IQQ1" s="67"/>
      <c r="IQR1" s="67"/>
      <c r="IQS1" s="67"/>
      <c r="IQT1" s="67"/>
      <c r="IQU1" s="67"/>
      <c r="IQV1" s="68"/>
      <c r="IQW1" s="67"/>
      <c r="IQX1" s="67"/>
      <c r="IQY1" s="67"/>
      <c r="IQZ1" s="67"/>
      <c r="IRA1" s="67"/>
      <c r="IRB1" s="67"/>
      <c r="IRC1" s="67"/>
      <c r="IRD1" s="68"/>
      <c r="IRE1" s="67"/>
      <c r="IRF1" s="67"/>
      <c r="IRG1" s="67"/>
      <c r="IRH1" s="67"/>
      <c r="IRI1" s="67"/>
      <c r="IRJ1" s="67"/>
      <c r="IRK1" s="67"/>
      <c r="IRL1" s="68"/>
      <c r="IRM1" s="67"/>
      <c r="IRN1" s="67"/>
      <c r="IRO1" s="67"/>
      <c r="IRP1" s="67"/>
      <c r="IRQ1" s="67"/>
      <c r="IRR1" s="67"/>
      <c r="IRS1" s="67"/>
      <c r="IRT1" s="68"/>
      <c r="IRU1" s="67"/>
      <c r="IRV1" s="67"/>
      <c r="IRW1" s="67"/>
      <c r="IRX1" s="67"/>
      <c r="IRY1" s="67"/>
      <c r="IRZ1" s="67"/>
      <c r="ISA1" s="67"/>
      <c r="ISB1" s="68"/>
      <c r="ISC1" s="67"/>
      <c r="ISD1" s="67"/>
      <c r="ISE1" s="67"/>
      <c r="ISF1" s="67"/>
      <c r="ISG1" s="67"/>
      <c r="ISH1" s="67"/>
      <c r="ISI1" s="67"/>
      <c r="ISJ1" s="68"/>
      <c r="ISK1" s="67"/>
      <c r="ISL1" s="67"/>
      <c r="ISM1" s="67"/>
      <c r="ISN1" s="67"/>
      <c r="ISO1" s="67"/>
      <c r="ISP1" s="67"/>
      <c r="ISQ1" s="67"/>
      <c r="ISR1" s="68"/>
      <c r="ISS1" s="67"/>
      <c r="IST1" s="67"/>
      <c r="ISU1" s="67"/>
      <c r="ISV1" s="67"/>
      <c r="ISW1" s="67"/>
      <c r="ISX1" s="67"/>
      <c r="ISY1" s="67"/>
      <c r="ISZ1" s="68"/>
      <c r="ITA1" s="67"/>
      <c r="ITB1" s="67"/>
      <c r="ITC1" s="67"/>
      <c r="ITD1" s="67"/>
      <c r="ITE1" s="67"/>
      <c r="ITF1" s="67"/>
      <c r="ITG1" s="67"/>
      <c r="ITH1" s="68"/>
      <c r="ITI1" s="67"/>
      <c r="ITJ1" s="67"/>
      <c r="ITK1" s="67"/>
      <c r="ITL1" s="67"/>
      <c r="ITM1" s="67"/>
      <c r="ITN1" s="67"/>
      <c r="ITO1" s="67"/>
      <c r="ITP1" s="68"/>
      <c r="ITQ1" s="67"/>
      <c r="ITR1" s="67"/>
      <c r="ITS1" s="67"/>
      <c r="ITT1" s="67"/>
      <c r="ITU1" s="67"/>
      <c r="ITV1" s="67"/>
      <c r="ITW1" s="67"/>
      <c r="ITX1" s="68"/>
      <c r="ITY1" s="67"/>
      <c r="ITZ1" s="67"/>
      <c r="IUA1" s="67"/>
      <c r="IUB1" s="67"/>
      <c r="IUC1" s="67"/>
      <c r="IUD1" s="67"/>
      <c r="IUE1" s="67"/>
      <c r="IUF1" s="68"/>
      <c r="IUG1" s="67"/>
      <c r="IUH1" s="67"/>
      <c r="IUI1" s="67"/>
      <c r="IUJ1" s="67"/>
      <c r="IUK1" s="67"/>
      <c r="IUL1" s="67"/>
      <c r="IUM1" s="67"/>
      <c r="IUN1" s="68"/>
      <c r="IUO1" s="67"/>
      <c r="IUP1" s="67"/>
      <c r="IUQ1" s="67"/>
      <c r="IUR1" s="67"/>
      <c r="IUS1" s="67"/>
      <c r="IUT1" s="67"/>
      <c r="IUU1" s="67"/>
      <c r="IUV1" s="68"/>
      <c r="IUW1" s="67"/>
      <c r="IUX1" s="67"/>
      <c r="IUY1" s="67"/>
      <c r="IUZ1" s="67"/>
      <c r="IVA1" s="67"/>
      <c r="IVB1" s="67"/>
      <c r="IVC1" s="67"/>
      <c r="IVD1" s="68"/>
      <c r="IVE1" s="67"/>
      <c r="IVF1" s="67"/>
      <c r="IVG1" s="67"/>
      <c r="IVH1" s="67"/>
      <c r="IVI1" s="67"/>
      <c r="IVJ1" s="67"/>
      <c r="IVK1" s="67"/>
      <c r="IVL1" s="68"/>
      <c r="IVM1" s="67"/>
      <c r="IVN1" s="67"/>
      <c r="IVO1" s="67"/>
      <c r="IVP1" s="67"/>
      <c r="IVQ1" s="67"/>
      <c r="IVR1" s="67"/>
      <c r="IVS1" s="67"/>
      <c r="IVT1" s="68"/>
      <c r="IVU1" s="67"/>
      <c r="IVV1" s="67"/>
      <c r="IVW1" s="67"/>
      <c r="IVX1" s="67"/>
      <c r="IVY1" s="67"/>
      <c r="IVZ1" s="67"/>
      <c r="IWA1" s="67"/>
      <c r="IWB1" s="68"/>
      <c r="IWC1" s="67"/>
      <c r="IWD1" s="67"/>
      <c r="IWE1" s="67"/>
      <c r="IWF1" s="67"/>
      <c r="IWG1" s="67"/>
      <c r="IWH1" s="67"/>
      <c r="IWI1" s="67"/>
      <c r="IWJ1" s="68"/>
      <c r="IWK1" s="67"/>
      <c r="IWL1" s="67"/>
      <c r="IWM1" s="67"/>
      <c r="IWN1" s="67"/>
      <c r="IWO1" s="67"/>
      <c r="IWP1" s="67"/>
      <c r="IWQ1" s="67"/>
      <c r="IWR1" s="68"/>
      <c r="IWS1" s="67"/>
      <c r="IWT1" s="67"/>
      <c r="IWU1" s="67"/>
      <c r="IWV1" s="67"/>
      <c r="IWW1" s="67"/>
      <c r="IWX1" s="67"/>
      <c r="IWY1" s="67"/>
      <c r="IWZ1" s="68"/>
      <c r="IXA1" s="67"/>
      <c r="IXB1" s="67"/>
      <c r="IXC1" s="67"/>
      <c r="IXD1" s="67"/>
      <c r="IXE1" s="67"/>
      <c r="IXF1" s="67"/>
      <c r="IXG1" s="67"/>
      <c r="IXH1" s="68"/>
      <c r="IXI1" s="67"/>
      <c r="IXJ1" s="67"/>
      <c r="IXK1" s="67"/>
      <c r="IXL1" s="67"/>
      <c r="IXM1" s="67"/>
      <c r="IXN1" s="67"/>
      <c r="IXO1" s="67"/>
      <c r="IXP1" s="68"/>
      <c r="IXQ1" s="67"/>
      <c r="IXR1" s="67"/>
      <c r="IXS1" s="67"/>
      <c r="IXT1" s="67"/>
      <c r="IXU1" s="67"/>
      <c r="IXV1" s="67"/>
      <c r="IXW1" s="67"/>
      <c r="IXX1" s="68"/>
      <c r="IXY1" s="67"/>
      <c r="IXZ1" s="67"/>
      <c r="IYA1" s="67"/>
      <c r="IYB1" s="67"/>
      <c r="IYC1" s="67"/>
      <c r="IYD1" s="67"/>
      <c r="IYE1" s="67"/>
      <c r="IYF1" s="68"/>
      <c r="IYG1" s="67"/>
      <c r="IYH1" s="67"/>
      <c r="IYI1" s="67"/>
      <c r="IYJ1" s="67"/>
      <c r="IYK1" s="67"/>
      <c r="IYL1" s="67"/>
      <c r="IYM1" s="67"/>
      <c r="IYN1" s="68"/>
      <c r="IYO1" s="67"/>
      <c r="IYP1" s="67"/>
      <c r="IYQ1" s="67"/>
      <c r="IYR1" s="67"/>
      <c r="IYS1" s="67"/>
      <c r="IYT1" s="67"/>
      <c r="IYU1" s="67"/>
      <c r="IYV1" s="68"/>
      <c r="IYW1" s="67"/>
      <c r="IYX1" s="67"/>
      <c r="IYY1" s="67"/>
      <c r="IYZ1" s="67"/>
      <c r="IZA1" s="67"/>
      <c r="IZB1" s="67"/>
      <c r="IZC1" s="67"/>
      <c r="IZD1" s="68"/>
      <c r="IZE1" s="67"/>
      <c r="IZF1" s="67"/>
      <c r="IZG1" s="67"/>
      <c r="IZH1" s="67"/>
      <c r="IZI1" s="67"/>
      <c r="IZJ1" s="67"/>
      <c r="IZK1" s="67"/>
      <c r="IZL1" s="68"/>
      <c r="IZM1" s="67"/>
      <c r="IZN1" s="67"/>
      <c r="IZO1" s="67"/>
      <c r="IZP1" s="67"/>
      <c r="IZQ1" s="67"/>
      <c r="IZR1" s="67"/>
      <c r="IZS1" s="67"/>
      <c r="IZT1" s="68"/>
      <c r="IZU1" s="67"/>
      <c r="IZV1" s="67"/>
      <c r="IZW1" s="67"/>
      <c r="IZX1" s="67"/>
      <c r="IZY1" s="67"/>
      <c r="IZZ1" s="67"/>
      <c r="JAA1" s="67"/>
      <c r="JAB1" s="68"/>
      <c r="JAC1" s="67"/>
      <c r="JAD1" s="67"/>
      <c r="JAE1" s="67"/>
      <c r="JAF1" s="67"/>
      <c r="JAG1" s="67"/>
      <c r="JAH1" s="67"/>
      <c r="JAI1" s="67"/>
      <c r="JAJ1" s="68"/>
      <c r="JAK1" s="67"/>
      <c r="JAL1" s="67"/>
      <c r="JAM1" s="67"/>
      <c r="JAN1" s="67"/>
      <c r="JAO1" s="67"/>
      <c r="JAP1" s="67"/>
      <c r="JAQ1" s="67"/>
      <c r="JAR1" s="68"/>
      <c r="JAS1" s="67"/>
      <c r="JAT1" s="67"/>
      <c r="JAU1" s="67"/>
      <c r="JAV1" s="67"/>
      <c r="JAW1" s="67"/>
      <c r="JAX1" s="67"/>
      <c r="JAY1" s="67"/>
      <c r="JAZ1" s="68"/>
      <c r="JBA1" s="67"/>
      <c r="JBB1" s="67"/>
      <c r="JBC1" s="67"/>
      <c r="JBD1" s="67"/>
      <c r="JBE1" s="67"/>
      <c r="JBF1" s="67"/>
      <c r="JBG1" s="67"/>
      <c r="JBH1" s="68"/>
      <c r="JBI1" s="67"/>
      <c r="JBJ1" s="67"/>
      <c r="JBK1" s="67"/>
      <c r="JBL1" s="67"/>
      <c r="JBM1" s="67"/>
      <c r="JBN1" s="67"/>
      <c r="JBO1" s="67"/>
      <c r="JBP1" s="68"/>
      <c r="JBQ1" s="67"/>
      <c r="JBR1" s="67"/>
      <c r="JBS1" s="67"/>
      <c r="JBT1" s="67"/>
      <c r="JBU1" s="67"/>
      <c r="JBV1" s="67"/>
      <c r="JBW1" s="67"/>
      <c r="JBX1" s="68"/>
      <c r="JBY1" s="67"/>
      <c r="JBZ1" s="67"/>
      <c r="JCA1" s="67"/>
      <c r="JCB1" s="67"/>
      <c r="JCC1" s="67"/>
      <c r="JCD1" s="67"/>
      <c r="JCE1" s="67"/>
      <c r="JCF1" s="68"/>
      <c r="JCG1" s="67"/>
      <c r="JCH1" s="67"/>
      <c r="JCI1" s="67"/>
      <c r="JCJ1" s="67"/>
      <c r="JCK1" s="67"/>
      <c r="JCL1" s="67"/>
      <c r="JCM1" s="67"/>
      <c r="JCN1" s="68"/>
      <c r="JCO1" s="67"/>
      <c r="JCP1" s="67"/>
      <c r="JCQ1" s="67"/>
      <c r="JCR1" s="67"/>
      <c r="JCS1" s="67"/>
      <c r="JCT1" s="67"/>
      <c r="JCU1" s="67"/>
      <c r="JCV1" s="68"/>
      <c r="JCW1" s="67"/>
      <c r="JCX1" s="67"/>
      <c r="JCY1" s="67"/>
      <c r="JCZ1" s="67"/>
      <c r="JDA1" s="67"/>
      <c r="JDB1" s="67"/>
      <c r="JDC1" s="67"/>
      <c r="JDD1" s="68"/>
      <c r="JDE1" s="67"/>
      <c r="JDF1" s="67"/>
      <c r="JDG1" s="67"/>
      <c r="JDH1" s="67"/>
      <c r="JDI1" s="67"/>
      <c r="JDJ1" s="67"/>
      <c r="JDK1" s="67"/>
      <c r="JDL1" s="68"/>
      <c r="JDM1" s="67"/>
      <c r="JDN1" s="67"/>
      <c r="JDO1" s="67"/>
      <c r="JDP1" s="67"/>
      <c r="JDQ1" s="67"/>
      <c r="JDR1" s="67"/>
      <c r="JDS1" s="67"/>
      <c r="JDT1" s="68"/>
      <c r="JDU1" s="67"/>
      <c r="JDV1" s="67"/>
      <c r="JDW1" s="67"/>
      <c r="JDX1" s="67"/>
      <c r="JDY1" s="67"/>
      <c r="JDZ1" s="67"/>
      <c r="JEA1" s="67"/>
      <c r="JEB1" s="68"/>
      <c r="JEC1" s="67"/>
      <c r="JED1" s="67"/>
      <c r="JEE1" s="67"/>
      <c r="JEF1" s="67"/>
      <c r="JEG1" s="67"/>
      <c r="JEH1" s="67"/>
      <c r="JEI1" s="67"/>
      <c r="JEJ1" s="68"/>
      <c r="JEK1" s="67"/>
      <c r="JEL1" s="67"/>
      <c r="JEM1" s="67"/>
      <c r="JEN1" s="67"/>
      <c r="JEO1" s="67"/>
      <c r="JEP1" s="67"/>
      <c r="JEQ1" s="67"/>
      <c r="JER1" s="68"/>
      <c r="JES1" s="67"/>
      <c r="JET1" s="67"/>
      <c r="JEU1" s="67"/>
      <c r="JEV1" s="67"/>
      <c r="JEW1" s="67"/>
      <c r="JEX1" s="67"/>
      <c r="JEY1" s="67"/>
      <c r="JEZ1" s="68"/>
      <c r="JFA1" s="67"/>
      <c r="JFB1" s="67"/>
      <c r="JFC1" s="67"/>
      <c r="JFD1" s="67"/>
      <c r="JFE1" s="67"/>
      <c r="JFF1" s="67"/>
      <c r="JFG1" s="67"/>
      <c r="JFH1" s="68"/>
      <c r="JFI1" s="67"/>
      <c r="JFJ1" s="67"/>
      <c r="JFK1" s="67"/>
      <c r="JFL1" s="67"/>
      <c r="JFM1" s="67"/>
      <c r="JFN1" s="67"/>
      <c r="JFO1" s="67"/>
      <c r="JFP1" s="68"/>
      <c r="JFQ1" s="67"/>
      <c r="JFR1" s="67"/>
      <c r="JFS1" s="67"/>
      <c r="JFT1" s="67"/>
      <c r="JFU1" s="67"/>
      <c r="JFV1" s="67"/>
      <c r="JFW1" s="67"/>
      <c r="JFX1" s="68"/>
      <c r="JFY1" s="67"/>
      <c r="JFZ1" s="67"/>
      <c r="JGA1" s="67"/>
      <c r="JGB1" s="67"/>
      <c r="JGC1" s="67"/>
      <c r="JGD1" s="67"/>
      <c r="JGE1" s="67"/>
      <c r="JGF1" s="68"/>
      <c r="JGG1" s="67"/>
      <c r="JGH1" s="67"/>
      <c r="JGI1" s="67"/>
      <c r="JGJ1" s="67"/>
      <c r="JGK1" s="67"/>
      <c r="JGL1" s="67"/>
      <c r="JGM1" s="67"/>
      <c r="JGN1" s="68"/>
      <c r="JGO1" s="67"/>
      <c r="JGP1" s="67"/>
      <c r="JGQ1" s="67"/>
      <c r="JGR1" s="67"/>
      <c r="JGS1" s="67"/>
      <c r="JGT1" s="67"/>
      <c r="JGU1" s="67"/>
      <c r="JGV1" s="68"/>
      <c r="JGW1" s="67"/>
      <c r="JGX1" s="67"/>
      <c r="JGY1" s="67"/>
      <c r="JGZ1" s="67"/>
      <c r="JHA1" s="67"/>
      <c r="JHB1" s="67"/>
      <c r="JHC1" s="67"/>
      <c r="JHD1" s="68"/>
      <c r="JHE1" s="67"/>
      <c r="JHF1" s="67"/>
      <c r="JHG1" s="67"/>
      <c r="JHH1" s="67"/>
      <c r="JHI1" s="67"/>
      <c r="JHJ1" s="67"/>
      <c r="JHK1" s="67"/>
      <c r="JHL1" s="68"/>
      <c r="JHM1" s="67"/>
      <c r="JHN1" s="67"/>
      <c r="JHO1" s="67"/>
      <c r="JHP1" s="67"/>
      <c r="JHQ1" s="67"/>
      <c r="JHR1" s="67"/>
      <c r="JHS1" s="67"/>
      <c r="JHT1" s="68"/>
      <c r="JHU1" s="67"/>
      <c r="JHV1" s="67"/>
      <c r="JHW1" s="67"/>
      <c r="JHX1" s="67"/>
      <c r="JHY1" s="67"/>
      <c r="JHZ1" s="67"/>
      <c r="JIA1" s="67"/>
      <c r="JIB1" s="68"/>
      <c r="JIC1" s="67"/>
      <c r="JID1" s="67"/>
      <c r="JIE1" s="67"/>
      <c r="JIF1" s="67"/>
      <c r="JIG1" s="67"/>
      <c r="JIH1" s="67"/>
      <c r="JII1" s="67"/>
      <c r="JIJ1" s="68"/>
      <c r="JIK1" s="67"/>
      <c r="JIL1" s="67"/>
      <c r="JIM1" s="67"/>
      <c r="JIN1" s="67"/>
      <c r="JIO1" s="67"/>
      <c r="JIP1" s="67"/>
      <c r="JIQ1" s="67"/>
      <c r="JIR1" s="68"/>
      <c r="JIS1" s="67"/>
      <c r="JIT1" s="67"/>
      <c r="JIU1" s="67"/>
      <c r="JIV1" s="67"/>
      <c r="JIW1" s="67"/>
      <c r="JIX1" s="67"/>
      <c r="JIY1" s="67"/>
      <c r="JIZ1" s="68"/>
      <c r="JJA1" s="67"/>
      <c r="JJB1" s="67"/>
      <c r="JJC1" s="67"/>
      <c r="JJD1" s="67"/>
      <c r="JJE1" s="67"/>
      <c r="JJF1" s="67"/>
      <c r="JJG1" s="67"/>
      <c r="JJH1" s="68"/>
      <c r="JJI1" s="67"/>
      <c r="JJJ1" s="67"/>
      <c r="JJK1" s="67"/>
      <c r="JJL1" s="67"/>
      <c r="JJM1" s="67"/>
      <c r="JJN1" s="67"/>
      <c r="JJO1" s="67"/>
      <c r="JJP1" s="68"/>
      <c r="JJQ1" s="67"/>
      <c r="JJR1" s="67"/>
      <c r="JJS1" s="67"/>
      <c r="JJT1" s="67"/>
      <c r="JJU1" s="67"/>
      <c r="JJV1" s="67"/>
      <c r="JJW1" s="67"/>
      <c r="JJX1" s="68"/>
      <c r="JJY1" s="67"/>
      <c r="JJZ1" s="67"/>
      <c r="JKA1" s="67"/>
      <c r="JKB1" s="67"/>
      <c r="JKC1" s="67"/>
      <c r="JKD1" s="67"/>
      <c r="JKE1" s="67"/>
      <c r="JKF1" s="68"/>
      <c r="JKG1" s="67"/>
      <c r="JKH1" s="67"/>
      <c r="JKI1" s="67"/>
      <c r="JKJ1" s="67"/>
      <c r="JKK1" s="67"/>
      <c r="JKL1" s="67"/>
      <c r="JKM1" s="67"/>
      <c r="JKN1" s="68"/>
      <c r="JKO1" s="67"/>
      <c r="JKP1" s="67"/>
      <c r="JKQ1" s="67"/>
      <c r="JKR1" s="67"/>
      <c r="JKS1" s="67"/>
      <c r="JKT1" s="67"/>
      <c r="JKU1" s="67"/>
      <c r="JKV1" s="68"/>
      <c r="JKW1" s="67"/>
      <c r="JKX1" s="67"/>
      <c r="JKY1" s="67"/>
      <c r="JKZ1" s="67"/>
      <c r="JLA1" s="67"/>
      <c r="JLB1" s="67"/>
      <c r="JLC1" s="67"/>
      <c r="JLD1" s="68"/>
      <c r="JLE1" s="67"/>
      <c r="JLF1" s="67"/>
      <c r="JLG1" s="67"/>
      <c r="JLH1" s="67"/>
      <c r="JLI1" s="67"/>
      <c r="JLJ1" s="67"/>
      <c r="JLK1" s="67"/>
      <c r="JLL1" s="68"/>
      <c r="JLM1" s="67"/>
      <c r="JLN1" s="67"/>
      <c r="JLO1" s="67"/>
      <c r="JLP1" s="67"/>
      <c r="JLQ1" s="67"/>
      <c r="JLR1" s="67"/>
      <c r="JLS1" s="67"/>
      <c r="JLT1" s="68"/>
      <c r="JLU1" s="67"/>
      <c r="JLV1" s="67"/>
      <c r="JLW1" s="67"/>
      <c r="JLX1" s="67"/>
      <c r="JLY1" s="67"/>
      <c r="JLZ1" s="67"/>
      <c r="JMA1" s="67"/>
      <c r="JMB1" s="68"/>
      <c r="JMC1" s="67"/>
      <c r="JMD1" s="67"/>
      <c r="JME1" s="67"/>
      <c r="JMF1" s="67"/>
      <c r="JMG1" s="67"/>
      <c r="JMH1" s="67"/>
      <c r="JMI1" s="67"/>
      <c r="JMJ1" s="68"/>
      <c r="JMK1" s="67"/>
      <c r="JML1" s="67"/>
      <c r="JMM1" s="67"/>
      <c r="JMN1" s="67"/>
      <c r="JMO1" s="67"/>
      <c r="JMP1" s="67"/>
      <c r="JMQ1" s="67"/>
      <c r="JMR1" s="68"/>
      <c r="JMS1" s="67"/>
      <c r="JMT1" s="67"/>
      <c r="JMU1" s="67"/>
      <c r="JMV1" s="67"/>
      <c r="JMW1" s="67"/>
      <c r="JMX1" s="67"/>
      <c r="JMY1" s="67"/>
      <c r="JMZ1" s="68"/>
      <c r="JNA1" s="67"/>
      <c r="JNB1" s="67"/>
      <c r="JNC1" s="67"/>
      <c r="JND1" s="67"/>
      <c r="JNE1" s="67"/>
      <c r="JNF1" s="67"/>
      <c r="JNG1" s="67"/>
      <c r="JNH1" s="68"/>
      <c r="JNI1" s="67"/>
      <c r="JNJ1" s="67"/>
      <c r="JNK1" s="67"/>
      <c r="JNL1" s="67"/>
      <c r="JNM1" s="67"/>
      <c r="JNN1" s="67"/>
      <c r="JNO1" s="67"/>
      <c r="JNP1" s="68"/>
      <c r="JNQ1" s="67"/>
      <c r="JNR1" s="67"/>
      <c r="JNS1" s="67"/>
      <c r="JNT1" s="67"/>
      <c r="JNU1" s="67"/>
      <c r="JNV1" s="67"/>
      <c r="JNW1" s="67"/>
      <c r="JNX1" s="68"/>
      <c r="JNY1" s="67"/>
      <c r="JNZ1" s="67"/>
      <c r="JOA1" s="67"/>
      <c r="JOB1" s="67"/>
      <c r="JOC1" s="67"/>
      <c r="JOD1" s="67"/>
      <c r="JOE1" s="67"/>
      <c r="JOF1" s="68"/>
      <c r="JOG1" s="67"/>
      <c r="JOH1" s="67"/>
      <c r="JOI1" s="67"/>
      <c r="JOJ1" s="67"/>
      <c r="JOK1" s="67"/>
      <c r="JOL1" s="67"/>
      <c r="JOM1" s="67"/>
      <c r="JON1" s="68"/>
      <c r="JOO1" s="67"/>
      <c r="JOP1" s="67"/>
      <c r="JOQ1" s="67"/>
      <c r="JOR1" s="67"/>
      <c r="JOS1" s="67"/>
      <c r="JOT1" s="67"/>
      <c r="JOU1" s="67"/>
      <c r="JOV1" s="68"/>
      <c r="JOW1" s="67"/>
      <c r="JOX1" s="67"/>
      <c r="JOY1" s="67"/>
      <c r="JOZ1" s="67"/>
      <c r="JPA1" s="67"/>
      <c r="JPB1" s="67"/>
      <c r="JPC1" s="67"/>
      <c r="JPD1" s="68"/>
      <c r="JPE1" s="67"/>
      <c r="JPF1" s="67"/>
      <c r="JPG1" s="67"/>
      <c r="JPH1" s="67"/>
      <c r="JPI1" s="67"/>
      <c r="JPJ1" s="67"/>
      <c r="JPK1" s="67"/>
      <c r="JPL1" s="68"/>
      <c r="JPM1" s="67"/>
      <c r="JPN1" s="67"/>
      <c r="JPO1" s="67"/>
      <c r="JPP1" s="67"/>
      <c r="JPQ1" s="67"/>
      <c r="JPR1" s="67"/>
      <c r="JPS1" s="67"/>
      <c r="JPT1" s="68"/>
      <c r="JPU1" s="67"/>
      <c r="JPV1" s="67"/>
      <c r="JPW1" s="67"/>
      <c r="JPX1" s="67"/>
      <c r="JPY1" s="67"/>
      <c r="JPZ1" s="67"/>
      <c r="JQA1" s="67"/>
      <c r="JQB1" s="68"/>
      <c r="JQC1" s="67"/>
      <c r="JQD1" s="67"/>
      <c r="JQE1" s="67"/>
      <c r="JQF1" s="67"/>
      <c r="JQG1" s="67"/>
      <c r="JQH1" s="67"/>
      <c r="JQI1" s="67"/>
      <c r="JQJ1" s="68"/>
      <c r="JQK1" s="67"/>
      <c r="JQL1" s="67"/>
      <c r="JQM1" s="67"/>
      <c r="JQN1" s="67"/>
      <c r="JQO1" s="67"/>
      <c r="JQP1" s="67"/>
      <c r="JQQ1" s="67"/>
      <c r="JQR1" s="68"/>
      <c r="JQS1" s="67"/>
      <c r="JQT1" s="67"/>
      <c r="JQU1" s="67"/>
      <c r="JQV1" s="67"/>
      <c r="JQW1" s="67"/>
      <c r="JQX1" s="67"/>
      <c r="JQY1" s="67"/>
      <c r="JQZ1" s="68"/>
      <c r="JRA1" s="67"/>
      <c r="JRB1" s="67"/>
      <c r="JRC1" s="67"/>
      <c r="JRD1" s="67"/>
      <c r="JRE1" s="67"/>
      <c r="JRF1" s="67"/>
      <c r="JRG1" s="67"/>
      <c r="JRH1" s="68"/>
      <c r="JRI1" s="67"/>
      <c r="JRJ1" s="67"/>
      <c r="JRK1" s="67"/>
      <c r="JRL1" s="67"/>
      <c r="JRM1" s="67"/>
      <c r="JRN1" s="67"/>
      <c r="JRO1" s="67"/>
      <c r="JRP1" s="68"/>
      <c r="JRQ1" s="67"/>
      <c r="JRR1" s="67"/>
      <c r="JRS1" s="67"/>
      <c r="JRT1" s="67"/>
      <c r="JRU1" s="67"/>
      <c r="JRV1" s="67"/>
      <c r="JRW1" s="67"/>
      <c r="JRX1" s="68"/>
      <c r="JRY1" s="67"/>
      <c r="JRZ1" s="67"/>
      <c r="JSA1" s="67"/>
      <c r="JSB1" s="67"/>
      <c r="JSC1" s="67"/>
      <c r="JSD1" s="67"/>
      <c r="JSE1" s="67"/>
      <c r="JSF1" s="68"/>
      <c r="JSG1" s="67"/>
      <c r="JSH1" s="67"/>
      <c r="JSI1" s="67"/>
      <c r="JSJ1" s="67"/>
      <c r="JSK1" s="67"/>
      <c r="JSL1" s="67"/>
      <c r="JSM1" s="67"/>
      <c r="JSN1" s="68"/>
      <c r="JSO1" s="67"/>
      <c r="JSP1" s="67"/>
      <c r="JSQ1" s="67"/>
      <c r="JSR1" s="67"/>
      <c r="JSS1" s="67"/>
      <c r="JST1" s="67"/>
      <c r="JSU1" s="67"/>
      <c r="JSV1" s="68"/>
      <c r="JSW1" s="67"/>
      <c r="JSX1" s="67"/>
      <c r="JSY1" s="67"/>
      <c r="JSZ1" s="67"/>
      <c r="JTA1" s="67"/>
      <c r="JTB1" s="67"/>
      <c r="JTC1" s="67"/>
      <c r="JTD1" s="68"/>
      <c r="JTE1" s="67"/>
      <c r="JTF1" s="67"/>
      <c r="JTG1" s="67"/>
      <c r="JTH1" s="67"/>
      <c r="JTI1" s="67"/>
      <c r="JTJ1" s="67"/>
      <c r="JTK1" s="67"/>
      <c r="JTL1" s="68"/>
      <c r="JTM1" s="67"/>
      <c r="JTN1" s="67"/>
      <c r="JTO1" s="67"/>
      <c r="JTP1" s="67"/>
      <c r="JTQ1" s="67"/>
      <c r="JTR1" s="67"/>
      <c r="JTS1" s="67"/>
      <c r="JTT1" s="68"/>
      <c r="JTU1" s="67"/>
      <c r="JTV1" s="67"/>
      <c r="JTW1" s="67"/>
      <c r="JTX1" s="67"/>
      <c r="JTY1" s="67"/>
      <c r="JTZ1" s="67"/>
      <c r="JUA1" s="67"/>
      <c r="JUB1" s="68"/>
      <c r="JUC1" s="67"/>
      <c r="JUD1" s="67"/>
      <c r="JUE1" s="67"/>
      <c r="JUF1" s="67"/>
      <c r="JUG1" s="67"/>
      <c r="JUH1" s="67"/>
      <c r="JUI1" s="67"/>
      <c r="JUJ1" s="68"/>
      <c r="JUK1" s="67"/>
      <c r="JUL1" s="67"/>
      <c r="JUM1" s="67"/>
      <c r="JUN1" s="67"/>
      <c r="JUO1" s="67"/>
      <c r="JUP1" s="67"/>
      <c r="JUQ1" s="67"/>
      <c r="JUR1" s="68"/>
      <c r="JUS1" s="67"/>
      <c r="JUT1" s="67"/>
      <c r="JUU1" s="67"/>
      <c r="JUV1" s="67"/>
      <c r="JUW1" s="67"/>
      <c r="JUX1" s="67"/>
      <c r="JUY1" s="67"/>
      <c r="JUZ1" s="68"/>
      <c r="JVA1" s="67"/>
      <c r="JVB1" s="67"/>
      <c r="JVC1" s="67"/>
      <c r="JVD1" s="67"/>
      <c r="JVE1" s="67"/>
      <c r="JVF1" s="67"/>
      <c r="JVG1" s="67"/>
      <c r="JVH1" s="68"/>
      <c r="JVI1" s="67"/>
      <c r="JVJ1" s="67"/>
      <c r="JVK1" s="67"/>
      <c r="JVL1" s="67"/>
      <c r="JVM1" s="67"/>
      <c r="JVN1" s="67"/>
      <c r="JVO1" s="67"/>
      <c r="JVP1" s="68"/>
      <c r="JVQ1" s="67"/>
      <c r="JVR1" s="67"/>
      <c r="JVS1" s="67"/>
      <c r="JVT1" s="67"/>
      <c r="JVU1" s="67"/>
      <c r="JVV1" s="67"/>
      <c r="JVW1" s="67"/>
      <c r="JVX1" s="68"/>
      <c r="JVY1" s="67"/>
      <c r="JVZ1" s="67"/>
      <c r="JWA1" s="67"/>
      <c r="JWB1" s="67"/>
      <c r="JWC1" s="67"/>
      <c r="JWD1" s="67"/>
      <c r="JWE1" s="67"/>
      <c r="JWF1" s="68"/>
      <c r="JWG1" s="67"/>
      <c r="JWH1" s="67"/>
      <c r="JWI1" s="67"/>
      <c r="JWJ1" s="67"/>
      <c r="JWK1" s="67"/>
      <c r="JWL1" s="67"/>
      <c r="JWM1" s="67"/>
      <c r="JWN1" s="68"/>
      <c r="JWO1" s="67"/>
      <c r="JWP1" s="67"/>
      <c r="JWQ1" s="67"/>
      <c r="JWR1" s="67"/>
      <c r="JWS1" s="67"/>
      <c r="JWT1" s="67"/>
      <c r="JWU1" s="67"/>
      <c r="JWV1" s="68"/>
      <c r="JWW1" s="67"/>
      <c r="JWX1" s="67"/>
      <c r="JWY1" s="67"/>
      <c r="JWZ1" s="67"/>
      <c r="JXA1" s="67"/>
      <c r="JXB1" s="67"/>
      <c r="JXC1" s="67"/>
      <c r="JXD1" s="68"/>
      <c r="JXE1" s="67"/>
      <c r="JXF1" s="67"/>
      <c r="JXG1" s="67"/>
      <c r="JXH1" s="67"/>
      <c r="JXI1" s="67"/>
      <c r="JXJ1" s="67"/>
      <c r="JXK1" s="67"/>
      <c r="JXL1" s="68"/>
      <c r="JXM1" s="67"/>
      <c r="JXN1" s="67"/>
      <c r="JXO1" s="67"/>
      <c r="JXP1" s="67"/>
      <c r="JXQ1" s="67"/>
      <c r="JXR1" s="67"/>
      <c r="JXS1" s="67"/>
      <c r="JXT1" s="68"/>
      <c r="JXU1" s="67"/>
      <c r="JXV1" s="67"/>
      <c r="JXW1" s="67"/>
      <c r="JXX1" s="67"/>
      <c r="JXY1" s="67"/>
      <c r="JXZ1" s="67"/>
      <c r="JYA1" s="67"/>
      <c r="JYB1" s="68"/>
      <c r="JYC1" s="67"/>
      <c r="JYD1" s="67"/>
      <c r="JYE1" s="67"/>
      <c r="JYF1" s="67"/>
      <c r="JYG1" s="67"/>
      <c r="JYH1" s="67"/>
      <c r="JYI1" s="67"/>
      <c r="JYJ1" s="68"/>
      <c r="JYK1" s="67"/>
      <c r="JYL1" s="67"/>
      <c r="JYM1" s="67"/>
      <c r="JYN1" s="67"/>
      <c r="JYO1" s="67"/>
      <c r="JYP1" s="67"/>
      <c r="JYQ1" s="67"/>
      <c r="JYR1" s="68"/>
      <c r="JYS1" s="67"/>
      <c r="JYT1" s="67"/>
      <c r="JYU1" s="67"/>
      <c r="JYV1" s="67"/>
      <c r="JYW1" s="67"/>
      <c r="JYX1" s="67"/>
      <c r="JYY1" s="67"/>
      <c r="JYZ1" s="68"/>
      <c r="JZA1" s="67"/>
      <c r="JZB1" s="67"/>
      <c r="JZC1" s="67"/>
      <c r="JZD1" s="67"/>
      <c r="JZE1" s="67"/>
      <c r="JZF1" s="67"/>
      <c r="JZG1" s="67"/>
      <c r="JZH1" s="68"/>
      <c r="JZI1" s="67"/>
      <c r="JZJ1" s="67"/>
      <c r="JZK1" s="67"/>
      <c r="JZL1" s="67"/>
      <c r="JZM1" s="67"/>
      <c r="JZN1" s="67"/>
      <c r="JZO1" s="67"/>
      <c r="JZP1" s="68"/>
      <c r="JZQ1" s="67"/>
      <c r="JZR1" s="67"/>
      <c r="JZS1" s="67"/>
      <c r="JZT1" s="67"/>
      <c r="JZU1" s="67"/>
      <c r="JZV1" s="67"/>
      <c r="JZW1" s="67"/>
      <c r="JZX1" s="68"/>
      <c r="JZY1" s="67"/>
      <c r="JZZ1" s="67"/>
      <c r="KAA1" s="67"/>
      <c r="KAB1" s="67"/>
      <c r="KAC1" s="67"/>
      <c r="KAD1" s="67"/>
      <c r="KAE1" s="67"/>
      <c r="KAF1" s="68"/>
      <c r="KAG1" s="67"/>
      <c r="KAH1" s="67"/>
      <c r="KAI1" s="67"/>
      <c r="KAJ1" s="67"/>
      <c r="KAK1" s="67"/>
      <c r="KAL1" s="67"/>
      <c r="KAM1" s="67"/>
      <c r="KAN1" s="68"/>
      <c r="KAO1" s="67"/>
      <c r="KAP1" s="67"/>
      <c r="KAQ1" s="67"/>
      <c r="KAR1" s="67"/>
      <c r="KAS1" s="67"/>
      <c r="KAT1" s="67"/>
      <c r="KAU1" s="67"/>
      <c r="KAV1" s="68"/>
      <c r="KAW1" s="67"/>
      <c r="KAX1" s="67"/>
      <c r="KAY1" s="67"/>
      <c r="KAZ1" s="67"/>
      <c r="KBA1" s="67"/>
      <c r="KBB1" s="67"/>
      <c r="KBC1" s="67"/>
      <c r="KBD1" s="68"/>
      <c r="KBE1" s="67"/>
      <c r="KBF1" s="67"/>
      <c r="KBG1" s="67"/>
      <c r="KBH1" s="67"/>
      <c r="KBI1" s="67"/>
      <c r="KBJ1" s="67"/>
      <c r="KBK1" s="67"/>
      <c r="KBL1" s="68"/>
      <c r="KBM1" s="67"/>
      <c r="KBN1" s="67"/>
      <c r="KBO1" s="67"/>
      <c r="KBP1" s="67"/>
      <c r="KBQ1" s="67"/>
      <c r="KBR1" s="67"/>
      <c r="KBS1" s="67"/>
      <c r="KBT1" s="68"/>
      <c r="KBU1" s="67"/>
      <c r="KBV1" s="67"/>
      <c r="KBW1" s="67"/>
      <c r="KBX1" s="67"/>
      <c r="KBY1" s="67"/>
      <c r="KBZ1" s="67"/>
      <c r="KCA1" s="67"/>
      <c r="KCB1" s="68"/>
      <c r="KCC1" s="67"/>
      <c r="KCD1" s="67"/>
      <c r="KCE1" s="67"/>
      <c r="KCF1" s="67"/>
      <c r="KCG1" s="67"/>
      <c r="KCH1" s="67"/>
      <c r="KCI1" s="67"/>
      <c r="KCJ1" s="68"/>
      <c r="KCK1" s="67"/>
      <c r="KCL1" s="67"/>
      <c r="KCM1" s="67"/>
      <c r="KCN1" s="67"/>
      <c r="KCO1" s="67"/>
      <c r="KCP1" s="67"/>
      <c r="KCQ1" s="67"/>
      <c r="KCR1" s="68"/>
      <c r="KCS1" s="67"/>
      <c r="KCT1" s="67"/>
      <c r="KCU1" s="67"/>
      <c r="KCV1" s="67"/>
      <c r="KCW1" s="67"/>
      <c r="KCX1" s="67"/>
      <c r="KCY1" s="67"/>
      <c r="KCZ1" s="68"/>
      <c r="KDA1" s="67"/>
      <c r="KDB1" s="67"/>
      <c r="KDC1" s="67"/>
      <c r="KDD1" s="67"/>
      <c r="KDE1" s="67"/>
      <c r="KDF1" s="67"/>
      <c r="KDG1" s="67"/>
      <c r="KDH1" s="68"/>
      <c r="KDI1" s="67"/>
      <c r="KDJ1" s="67"/>
      <c r="KDK1" s="67"/>
      <c r="KDL1" s="67"/>
      <c r="KDM1" s="67"/>
      <c r="KDN1" s="67"/>
      <c r="KDO1" s="67"/>
      <c r="KDP1" s="68"/>
      <c r="KDQ1" s="67"/>
      <c r="KDR1" s="67"/>
      <c r="KDS1" s="67"/>
      <c r="KDT1" s="67"/>
      <c r="KDU1" s="67"/>
      <c r="KDV1" s="67"/>
      <c r="KDW1" s="67"/>
      <c r="KDX1" s="68"/>
      <c r="KDY1" s="67"/>
      <c r="KDZ1" s="67"/>
      <c r="KEA1" s="67"/>
      <c r="KEB1" s="67"/>
      <c r="KEC1" s="67"/>
      <c r="KED1" s="67"/>
      <c r="KEE1" s="67"/>
      <c r="KEF1" s="68"/>
      <c r="KEG1" s="67"/>
      <c r="KEH1" s="67"/>
      <c r="KEI1" s="67"/>
      <c r="KEJ1" s="67"/>
      <c r="KEK1" s="67"/>
      <c r="KEL1" s="67"/>
      <c r="KEM1" s="67"/>
      <c r="KEN1" s="68"/>
      <c r="KEO1" s="67"/>
      <c r="KEP1" s="67"/>
      <c r="KEQ1" s="67"/>
      <c r="KER1" s="67"/>
      <c r="KES1" s="67"/>
      <c r="KET1" s="67"/>
      <c r="KEU1" s="67"/>
      <c r="KEV1" s="68"/>
      <c r="KEW1" s="67"/>
      <c r="KEX1" s="67"/>
      <c r="KEY1" s="67"/>
      <c r="KEZ1" s="67"/>
      <c r="KFA1" s="67"/>
      <c r="KFB1" s="67"/>
      <c r="KFC1" s="67"/>
      <c r="KFD1" s="68"/>
      <c r="KFE1" s="67"/>
      <c r="KFF1" s="67"/>
      <c r="KFG1" s="67"/>
      <c r="KFH1" s="67"/>
      <c r="KFI1" s="67"/>
      <c r="KFJ1" s="67"/>
      <c r="KFK1" s="67"/>
      <c r="KFL1" s="68"/>
      <c r="KFM1" s="67"/>
      <c r="KFN1" s="67"/>
      <c r="KFO1" s="67"/>
      <c r="KFP1" s="67"/>
      <c r="KFQ1" s="67"/>
      <c r="KFR1" s="67"/>
      <c r="KFS1" s="67"/>
      <c r="KFT1" s="68"/>
      <c r="KFU1" s="67"/>
      <c r="KFV1" s="67"/>
      <c r="KFW1" s="67"/>
      <c r="KFX1" s="67"/>
      <c r="KFY1" s="67"/>
      <c r="KFZ1" s="67"/>
      <c r="KGA1" s="67"/>
      <c r="KGB1" s="68"/>
      <c r="KGC1" s="67"/>
      <c r="KGD1" s="67"/>
      <c r="KGE1" s="67"/>
      <c r="KGF1" s="67"/>
      <c r="KGG1" s="67"/>
      <c r="KGH1" s="67"/>
      <c r="KGI1" s="67"/>
      <c r="KGJ1" s="68"/>
      <c r="KGK1" s="67"/>
      <c r="KGL1" s="67"/>
      <c r="KGM1" s="67"/>
      <c r="KGN1" s="67"/>
      <c r="KGO1" s="67"/>
      <c r="KGP1" s="67"/>
      <c r="KGQ1" s="67"/>
      <c r="KGR1" s="68"/>
      <c r="KGS1" s="67"/>
      <c r="KGT1" s="67"/>
      <c r="KGU1" s="67"/>
      <c r="KGV1" s="67"/>
      <c r="KGW1" s="67"/>
      <c r="KGX1" s="67"/>
      <c r="KGY1" s="67"/>
      <c r="KGZ1" s="68"/>
      <c r="KHA1" s="67"/>
      <c r="KHB1" s="67"/>
      <c r="KHC1" s="67"/>
      <c r="KHD1" s="67"/>
      <c r="KHE1" s="67"/>
      <c r="KHF1" s="67"/>
      <c r="KHG1" s="67"/>
      <c r="KHH1" s="68"/>
      <c r="KHI1" s="67"/>
      <c r="KHJ1" s="67"/>
      <c r="KHK1" s="67"/>
      <c r="KHL1" s="67"/>
      <c r="KHM1" s="67"/>
      <c r="KHN1" s="67"/>
      <c r="KHO1" s="67"/>
      <c r="KHP1" s="68"/>
      <c r="KHQ1" s="67"/>
      <c r="KHR1" s="67"/>
      <c r="KHS1" s="67"/>
      <c r="KHT1" s="67"/>
      <c r="KHU1" s="67"/>
      <c r="KHV1" s="67"/>
      <c r="KHW1" s="67"/>
      <c r="KHX1" s="68"/>
      <c r="KHY1" s="67"/>
      <c r="KHZ1" s="67"/>
      <c r="KIA1" s="67"/>
      <c r="KIB1" s="67"/>
      <c r="KIC1" s="67"/>
      <c r="KID1" s="67"/>
      <c r="KIE1" s="67"/>
      <c r="KIF1" s="68"/>
      <c r="KIG1" s="67"/>
      <c r="KIH1" s="67"/>
      <c r="KII1" s="67"/>
      <c r="KIJ1" s="67"/>
      <c r="KIK1" s="67"/>
      <c r="KIL1" s="67"/>
      <c r="KIM1" s="67"/>
      <c r="KIN1" s="68"/>
      <c r="KIO1" s="67"/>
      <c r="KIP1" s="67"/>
      <c r="KIQ1" s="67"/>
      <c r="KIR1" s="67"/>
      <c r="KIS1" s="67"/>
      <c r="KIT1" s="67"/>
      <c r="KIU1" s="67"/>
      <c r="KIV1" s="68"/>
      <c r="KIW1" s="67"/>
      <c r="KIX1" s="67"/>
      <c r="KIY1" s="67"/>
      <c r="KIZ1" s="67"/>
      <c r="KJA1" s="67"/>
      <c r="KJB1" s="67"/>
      <c r="KJC1" s="67"/>
      <c r="KJD1" s="68"/>
      <c r="KJE1" s="67"/>
      <c r="KJF1" s="67"/>
      <c r="KJG1" s="67"/>
      <c r="KJH1" s="67"/>
      <c r="KJI1" s="67"/>
      <c r="KJJ1" s="67"/>
      <c r="KJK1" s="67"/>
      <c r="KJL1" s="68"/>
      <c r="KJM1" s="67"/>
      <c r="KJN1" s="67"/>
      <c r="KJO1" s="67"/>
      <c r="KJP1" s="67"/>
      <c r="KJQ1" s="67"/>
      <c r="KJR1" s="67"/>
      <c r="KJS1" s="67"/>
      <c r="KJT1" s="68"/>
      <c r="KJU1" s="67"/>
      <c r="KJV1" s="67"/>
      <c r="KJW1" s="67"/>
      <c r="KJX1" s="67"/>
      <c r="KJY1" s="67"/>
      <c r="KJZ1" s="67"/>
      <c r="KKA1" s="67"/>
      <c r="KKB1" s="68"/>
      <c r="KKC1" s="67"/>
      <c r="KKD1" s="67"/>
      <c r="KKE1" s="67"/>
      <c r="KKF1" s="67"/>
      <c r="KKG1" s="67"/>
      <c r="KKH1" s="67"/>
      <c r="KKI1" s="67"/>
      <c r="KKJ1" s="68"/>
      <c r="KKK1" s="67"/>
      <c r="KKL1" s="67"/>
      <c r="KKM1" s="67"/>
      <c r="KKN1" s="67"/>
      <c r="KKO1" s="67"/>
      <c r="KKP1" s="67"/>
      <c r="KKQ1" s="67"/>
      <c r="KKR1" s="68"/>
      <c r="KKS1" s="67"/>
      <c r="KKT1" s="67"/>
      <c r="KKU1" s="67"/>
      <c r="KKV1" s="67"/>
      <c r="KKW1" s="67"/>
      <c r="KKX1" s="67"/>
      <c r="KKY1" s="67"/>
      <c r="KKZ1" s="68"/>
      <c r="KLA1" s="67"/>
      <c r="KLB1" s="67"/>
      <c r="KLC1" s="67"/>
      <c r="KLD1" s="67"/>
      <c r="KLE1" s="67"/>
      <c r="KLF1" s="67"/>
      <c r="KLG1" s="67"/>
      <c r="KLH1" s="68"/>
      <c r="KLI1" s="67"/>
      <c r="KLJ1" s="67"/>
      <c r="KLK1" s="67"/>
      <c r="KLL1" s="67"/>
      <c r="KLM1" s="67"/>
      <c r="KLN1" s="67"/>
      <c r="KLO1" s="67"/>
      <c r="KLP1" s="68"/>
      <c r="KLQ1" s="67"/>
      <c r="KLR1" s="67"/>
      <c r="KLS1" s="67"/>
      <c r="KLT1" s="67"/>
      <c r="KLU1" s="67"/>
      <c r="KLV1" s="67"/>
      <c r="KLW1" s="67"/>
      <c r="KLX1" s="68"/>
      <c r="KLY1" s="67"/>
      <c r="KLZ1" s="67"/>
      <c r="KMA1" s="67"/>
      <c r="KMB1" s="67"/>
      <c r="KMC1" s="67"/>
      <c r="KMD1" s="67"/>
      <c r="KME1" s="67"/>
      <c r="KMF1" s="68"/>
      <c r="KMG1" s="67"/>
      <c r="KMH1" s="67"/>
      <c r="KMI1" s="67"/>
      <c r="KMJ1" s="67"/>
      <c r="KMK1" s="67"/>
      <c r="KML1" s="67"/>
      <c r="KMM1" s="67"/>
      <c r="KMN1" s="68"/>
      <c r="KMO1" s="67"/>
      <c r="KMP1" s="67"/>
      <c r="KMQ1" s="67"/>
      <c r="KMR1" s="67"/>
      <c r="KMS1" s="67"/>
      <c r="KMT1" s="67"/>
      <c r="KMU1" s="67"/>
      <c r="KMV1" s="68"/>
      <c r="KMW1" s="67"/>
      <c r="KMX1" s="67"/>
      <c r="KMY1" s="67"/>
      <c r="KMZ1" s="67"/>
      <c r="KNA1" s="67"/>
      <c r="KNB1" s="67"/>
      <c r="KNC1" s="67"/>
      <c r="KND1" s="68"/>
      <c r="KNE1" s="67"/>
      <c r="KNF1" s="67"/>
      <c r="KNG1" s="67"/>
      <c r="KNH1" s="67"/>
      <c r="KNI1" s="67"/>
      <c r="KNJ1" s="67"/>
      <c r="KNK1" s="67"/>
      <c r="KNL1" s="68"/>
      <c r="KNM1" s="67"/>
      <c r="KNN1" s="67"/>
      <c r="KNO1" s="67"/>
      <c r="KNP1" s="67"/>
      <c r="KNQ1" s="67"/>
      <c r="KNR1" s="67"/>
      <c r="KNS1" s="67"/>
      <c r="KNT1" s="68"/>
      <c r="KNU1" s="67"/>
      <c r="KNV1" s="67"/>
      <c r="KNW1" s="67"/>
      <c r="KNX1" s="67"/>
      <c r="KNY1" s="67"/>
      <c r="KNZ1" s="67"/>
      <c r="KOA1" s="67"/>
      <c r="KOB1" s="68"/>
      <c r="KOC1" s="67"/>
      <c r="KOD1" s="67"/>
      <c r="KOE1" s="67"/>
      <c r="KOF1" s="67"/>
      <c r="KOG1" s="67"/>
      <c r="KOH1" s="67"/>
      <c r="KOI1" s="67"/>
      <c r="KOJ1" s="68"/>
      <c r="KOK1" s="67"/>
      <c r="KOL1" s="67"/>
      <c r="KOM1" s="67"/>
      <c r="KON1" s="67"/>
      <c r="KOO1" s="67"/>
      <c r="KOP1" s="67"/>
      <c r="KOQ1" s="67"/>
      <c r="KOR1" s="68"/>
      <c r="KOS1" s="67"/>
      <c r="KOT1" s="67"/>
      <c r="KOU1" s="67"/>
      <c r="KOV1" s="67"/>
      <c r="KOW1" s="67"/>
      <c r="KOX1" s="67"/>
      <c r="KOY1" s="67"/>
      <c r="KOZ1" s="68"/>
      <c r="KPA1" s="67"/>
      <c r="KPB1" s="67"/>
      <c r="KPC1" s="67"/>
      <c r="KPD1" s="67"/>
      <c r="KPE1" s="67"/>
      <c r="KPF1" s="67"/>
      <c r="KPG1" s="67"/>
      <c r="KPH1" s="68"/>
      <c r="KPI1" s="67"/>
      <c r="KPJ1" s="67"/>
      <c r="KPK1" s="67"/>
      <c r="KPL1" s="67"/>
      <c r="KPM1" s="67"/>
      <c r="KPN1" s="67"/>
      <c r="KPO1" s="67"/>
      <c r="KPP1" s="68"/>
      <c r="KPQ1" s="67"/>
      <c r="KPR1" s="67"/>
      <c r="KPS1" s="67"/>
      <c r="KPT1" s="67"/>
      <c r="KPU1" s="67"/>
      <c r="KPV1" s="67"/>
      <c r="KPW1" s="67"/>
      <c r="KPX1" s="68"/>
      <c r="KPY1" s="67"/>
      <c r="KPZ1" s="67"/>
      <c r="KQA1" s="67"/>
      <c r="KQB1" s="67"/>
      <c r="KQC1" s="67"/>
      <c r="KQD1" s="67"/>
      <c r="KQE1" s="67"/>
      <c r="KQF1" s="68"/>
      <c r="KQG1" s="67"/>
      <c r="KQH1" s="67"/>
      <c r="KQI1" s="67"/>
      <c r="KQJ1" s="67"/>
      <c r="KQK1" s="67"/>
      <c r="KQL1" s="67"/>
      <c r="KQM1" s="67"/>
      <c r="KQN1" s="68"/>
      <c r="KQO1" s="67"/>
      <c r="KQP1" s="67"/>
      <c r="KQQ1" s="67"/>
      <c r="KQR1" s="67"/>
      <c r="KQS1" s="67"/>
      <c r="KQT1" s="67"/>
      <c r="KQU1" s="67"/>
      <c r="KQV1" s="68"/>
      <c r="KQW1" s="67"/>
      <c r="KQX1" s="67"/>
      <c r="KQY1" s="67"/>
      <c r="KQZ1" s="67"/>
      <c r="KRA1" s="67"/>
      <c r="KRB1" s="67"/>
      <c r="KRC1" s="67"/>
      <c r="KRD1" s="68"/>
      <c r="KRE1" s="67"/>
      <c r="KRF1" s="67"/>
      <c r="KRG1" s="67"/>
      <c r="KRH1" s="67"/>
      <c r="KRI1" s="67"/>
      <c r="KRJ1" s="67"/>
      <c r="KRK1" s="67"/>
      <c r="KRL1" s="68"/>
      <c r="KRM1" s="67"/>
      <c r="KRN1" s="67"/>
      <c r="KRO1" s="67"/>
      <c r="KRP1" s="67"/>
      <c r="KRQ1" s="67"/>
      <c r="KRR1" s="67"/>
      <c r="KRS1" s="67"/>
      <c r="KRT1" s="68"/>
      <c r="KRU1" s="67"/>
      <c r="KRV1" s="67"/>
      <c r="KRW1" s="67"/>
      <c r="KRX1" s="67"/>
      <c r="KRY1" s="67"/>
      <c r="KRZ1" s="67"/>
      <c r="KSA1" s="67"/>
      <c r="KSB1" s="68"/>
      <c r="KSC1" s="67"/>
      <c r="KSD1" s="67"/>
      <c r="KSE1" s="67"/>
      <c r="KSF1" s="67"/>
      <c r="KSG1" s="67"/>
      <c r="KSH1" s="67"/>
      <c r="KSI1" s="67"/>
      <c r="KSJ1" s="68"/>
      <c r="KSK1" s="67"/>
      <c r="KSL1" s="67"/>
      <c r="KSM1" s="67"/>
      <c r="KSN1" s="67"/>
      <c r="KSO1" s="67"/>
      <c r="KSP1" s="67"/>
      <c r="KSQ1" s="67"/>
      <c r="KSR1" s="68"/>
      <c r="KSS1" s="67"/>
      <c r="KST1" s="67"/>
      <c r="KSU1" s="67"/>
      <c r="KSV1" s="67"/>
      <c r="KSW1" s="67"/>
      <c r="KSX1" s="67"/>
      <c r="KSY1" s="67"/>
      <c r="KSZ1" s="68"/>
      <c r="KTA1" s="67"/>
      <c r="KTB1" s="67"/>
      <c r="KTC1" s="67"/>
      <c r="KTD1" s="67"/>
      <c r="KTE1" s="67"/>
      <c r="KTF1" s="67"/>
      <c r="KTG1" s="67"/>
      <c r="KTH1" s="68"/>
      <c r="KTI1" s="67"/>
      <c r="KTJ1" s="67"/>
      <c r="KTK1" s="67"/>
      <c r="KTL1" s="67"/>
      <c r="KTM1" s="67"/>
      <c r="KTN1" s="67"/>
      <c r="KTO1" s="67"/>
      <c r="KTP1" s="68"/>
      <c r="KTQ1" s="67"/>
      <c r="KTR1" s="67"/>
      <c r="KTS1" s="67"/>
      <c r="KTT1" s="67"/>
      <c r="KTU1" s="67"/>
      <c r="KTV1" s="67"/>
      <c r="KTW1" s="67"/>
      <c r="KTX1" s="68"/>
      <c r="KTY1" s="67"/>
      <c r="KTZ1" s="67"/>
      <c r="KUA1" s="67"/>
      <c r="KUB1" s="67"/>
      <c r="KUC1" s="67"/>
      <c r="KUD1" s="67"/>
      <c r="KUE1" s="67"/>
      <c r="KUF1" s="68"/>
      <c r="KUG1" s="67"/>
      <c r="KUH1" s="67"/>
      <c r="KUI1" s="67"/>
      <c r="KUJ1" s="67"/>
      <c r="KUK1" s="67"/>
      <c r="KUL1" s="67"/>
      <c r="KUM1" s="67"/>
      <c r="KUN1" s="68"/>
      <c r="KUO1" s="67"/>
      <c r="KUP1" s="67"/>
      <c r="KUQ1" s="67"/>
      <c r="KUR1" s="67"/>
      <c r="KUS1" s="67"/>
      <c r="KUT1" s="67"/>
      <c r="KUU1" s="67"/>
      <c r="KUV1" s="68"/>
      <c r="KUW1" s="67"/>
      <c r="KUX1" s="67"/>
      <c r="KUY1" s="67"/>
      <c r="KUZ1" s="67"/>
      <c r="KVA1" s="67"/>
      <c r="KVB1" s="67"/>
      <c r="KVC1" s="67"/>
      <c r="KVD1" s="68"/>
      <c r="KVE1" s="67"/>
      <c r="KVF1" s="67"/>
      <c r="KVG1" s="67"/>
      <c r="KVH1" s="67"/>
      <c r="KVI1" s="67"/>
      <c r="KVJ1" s="67"/>
      <c r="KVK1" s="67"/>
      <c r="KVL1" s="68"/>
      <c r="KVM1" s="67"/>
      <c r="KVN1" s="67"/>
      <c r="KVO1" s="67"/>
      <c r="KVP1" s="67"/>
      <c r="KVQ1" s="67"/>
      <c r="KVR1" s="67"/>
      <c r="KVS1" s="67"/>
      <c r="KVT1" s="68"/>
      <c r="KVU1" s="67"/>
      <c r="KVV1" s="67"/>
      <c r="KVW1" s="67"/>
      <c r="KVX1" s="67"/>
      <c r="KVY1" s="67"/>
      <c r="KVZ1" s="67"/>
      <c r="KWA1" s="67"/>
      <c r="KWB1" s="68"/>
      <c r="KWC1" s="67"/>
      <c r="KWD1" s="67"/>
      <c r="KWE1" s="67"/>
      <c r="KWF1" s="67"/>
      <c r="KWG1" s="67"/>
      <c r="KWH1" s="67"/>
      <c r="KWI1" s="67"/>
      <c r="KWJ1" s="68"/>
      <c r="KWK1" s="67"/>
      <c r="KWL1" s="67"/>
      <c r="KWM1" s="67"/>
      <c r="KWN1" s="67"/>
      <c r="KWO1" s="67"/>
      <c r="KWP1" s="67"/>
      <c r="KWQ1" s="67"/>
      <c r="KWR1" s="68"/>
      <c r="KWS1" s="67"/>
      <c r="KWT1" s="67"/>
      <c r="KWU1" s="67"/>
      <c r="KWV1" s="67"/>
      <c r="KWW1" s="67"/>
      <c r="KWX1" s="67"/>
      <c r="KWY1" s="67"/>
      <c r="KWZ1" s="68"/>
      <c r="KXA1" s="67"/>
      <c r="KXB1" s="67"/>
      <c r="KXC1" s="67"/>
      <c r="KXD1" s="67"/>
      <c r="KXE1" s="67"/>
      <c r="KXF1" s="67"/>
      <c r="KXG1" s="67"/>
      <c r="KXH1" s="68"/>
      <c r="KXI1" s="67"/>
      <c r="KXJ1" s="67"/>
      <c r="KXK1" s="67"/>
      <c r="KXL1" s="67"/>
      <c r="KXM1" s="67"/>
      <c r="KXN1" s="67"/>
      <c r="KXO1" s="67"/>
      <c r="KXP1" s="68"/>
      <c r="KXQ1" s="67"/>
      <c r="KXR1" s="67"/>
      <c r="KXS1" s="67"/>
      <c r="KXT1" s="67"/>
      <c r="KXU1" s="67"/>
      <c r="KXV1" s="67"/>
      <c r="KXW1" s="67"/>
      <c r="KXX1" s="68"/>
      <c r="KXY1" s="67"/>
      <c r="KXZ1" s="67"/>
      <c r="KYA1" s="67"/>
      <c r="KYB1" s="67"/>
      <c r="KYC1" s="67"/>
      <c r="KYD1" s="67"/>
      <c r="KYE1" s="67"/>
      <c r="KYF1" s="68"/>
      <c r="KYG1" s="67"/>
      <c r="KYH1" s="67"/>
      <c r="KYI1" s="67"/>
      <c r="KYJ1" s="67"/>
      <c r="KYK1" s="67"/>
      <c r="KYL1" s="67"/>
      <c r="KYM1" s="67"/>
      <c r="KYN1" s="68"/>
      <c r="KYO1" s="67"/>
      <c r="KYP1" s="67"/>
      <c r="KYQ1" s="67"/>
      <c r="KYR1" s="67"/>
      <c r="KYS1" s="67"/>
      <c r="KYT1" s="67"/>
      <c r="KYU1" s="67"/>
      <c r="KYV1" s="68"/>
      <c r="KYW1" s="67"/>
      <c r="KYX1" s="67"/>
      <c r="KYY1" s="67"/>
      <c r="KYZ1" s="67"/>
      <c r="KZA1" s="67"/>
      <c r="KZB1" s="67"/>
      <c r="KZC1" s="67"/>
      <c r="KZD1" s="68"/>
      <c r="KZE1" s="67"/>
      <c r="KZF1" s="67"/>
      <c r="KZG1" s="67"/>
      <c r="KZH1" s="67"/>
      <c r="KZI1" s="67"/>
      <c r="KZJ1" s="67"/>
      <c r="KZK1" s="67"/>
      <c r="KZL1" s="68"/>
      <c r="KZM1" s="67"/>
      <c r="KZN1" s="67"/>
      <c r="KZO1" s="67"/>
      <c r="KZP1" s="67"/>
      <c r="KZQ1" s="67"/>
      <c r="KZR1" s="67"/>
      <c r="KZS1" s="67"/>
      <c r="KZT1" s="68"/>
      <c r="KZU1" s="67"/>
      <c r="KZV1" s="67"/>
      <c r="KZW1" s="67"/>
      <c r="KZX1" s="67"/>
      <c r="KZY1" s="67"/>
      <c r="KZZ1" s="67"/>
      <c r="LAA1" s="67"/>
      <c r="LAB1" s="68"/>
      <c r="LAC1" s="67"/>
      <c r="LAD1" s="67"/>
      <c r="LAE1" s="67"/>
      <c r="LAF1" s="67"/>
      <c r="LAG1" s="67"/>
      <c r="LAH1" s="67"/>
      <c r="LAI1" s="67"/>
      <c r="LAJ1" s="68"/>
      <c r="LAK1" s="67"/>
      <c r="LAL1" s="67"/>
      <c r="LAM1" s="67"/>
      <c r="LAN1" s="67"/>
      <c r="LAO1" s="67"/>
      <c r="LAP1" s="67"/>
      <c r="LAQ1" s="67"/>
      <c r="LAR1" s="68"/>
      <c r="LAS1" s="67"/>
      <c r="LAT1" s="67"/>
      <c r="LAU1" s="67"/>
      <c r="LAV1" s="67"/>
      <c r="LAW1" s="67"/>
      <c r="LAX1" s="67"/>
      <c r="LAY1" s="67"/>
      <c r="LAZ1" s="68"/>
      <c r="LBA1" s="67"/>
      <c r="LBB1" s="67"/>
      <c r="LBC1" s="67"/>
      <c r="LBD1" s="67"/>
      <c r="LBE1" s="67"/>
      <c r="LBF1" s="67"/>
      <c r="LBG1" s="67"/>
      <c r="LBH1" s="68"/>
      <c r="LBI1" s="67"/>
      <c r="LBJ1" s="67"/>
      <c r="LBK1" s="67"/>
      <c r="LBL1" s="67"/>
      <c r="LBM1" s="67"/>
      <c r="LBN1" s="67"/>
      <c r="LBO1" s="67"/>
      <c r="LBP1" s="68"/>
      <c r="LBQ1" s="67"/>
      <c r="LBR1" s="67"/>
      <c r="LBS1" s="67"/>
      <c r="LBT1" s="67"/>
      <c r="LBU1" s="67"/>
      <c r="LBV1" s="67"/>
      <c r="LBW1" s="67"/>
      <c r="LBX1" s="68"/>
      <c r="LBY1" s="67"/>
      <c r="LBZ1" s="67"/>
      <c r="LCA1" s="67"/>
      <c r="LCB1" s="67"/>
      <c r="LCC1" s="67"/>
      <c r="LCD1" s="67"/>
      <c r="LCE1" s="67"/>
      <c r="LCF1" s="68"/>
      <c r="LCG1" s="67"/>
      <c r="LCH1" s="67"/>
      <c r="LCI1" s="67"/>
      <c r="LCJ1" s="67"/>
      <c r="LCK1" s="67"/>
      <c r="LCL1" s="67"/>
      <c r="LCM1" s="67"/>
      <c r="LCN1" s="68"/>
      <c r="LCO1" s="67"/>
      <c r="LCP1" s="67"/>
      <c r="LCQ1" s="67"/>
      <c r="LCR1" s="67"/>
      <c r="LCS1" s="67"/>
      <c r="LCT1" s="67"/>
      <c r="LCU1" s="67"/>
      <c r="LCV1" s="68"/>
      <c r="LCW1" s="67"/>
      <c r="LCX1" s="67"/>
      <c r="LCY1" s="67"/>
      <c r="LCZ1" s="67"/>
      <c r="LDA1" s="67"/>
      <c r="LDB1" s="67"/>
      <c r="LDC1" s="67"/>
      <c r="LDD1" s="68"/>
      <c r="LDE1" s="67"/>
      <c r="LDF1" s="67"/>
      <c r="LDG1" s="67"/>
      <c r="LDH1" s="67"/>
      <c r="LDI1" s="67"/>
      <c r="LDJ1" s="67"/>
      <c r="LDK1" s="67"/>
      <c r="LDL1" s="68"/>
      <c r="LDM1" s="67"/>
      <c r="LDN1" s="67"/>
      <c r="LDO1" s="67"/>
      <c r="LDP1" s="67"/>
      <c r="LDQ1" s="67"/>
      <c r="LDR1" s="67"/>
      <c r="LDS1" s="67"/>
      <c r="LDT1" s="68"/>
      <c r="LDU1" s="67"/>
      <c r="LDV1" s="67"/>
      <c r="LDW1" s="67"/>
      <c r="LDX1" s="67"/>
      <c r="LDY1" s="67"/>
      <c r="LDZ1" s="67"/>
      <c r="LEA1" s="67"/>
      <c r="LEB1" s="68"/>
      <c r="LEC1" s="67"/>
      <c r="LED1" s="67"/>
      <c r="LEE1" s="67"/>
      <c r="LEF1" s="67"/>
      <c r="LEG1" s="67"/>
      <c r="LEH1" s="67"/>
      <c r="LEI1" s="67"/>
      <c r="LEJ1" s="68"/>
      <c r="LEK1" s="67"/>
      <c r="LEL1" s="67"/>
      <c r="LEM1" s="67"/>
      <c r="LEN1" s="67"/>
      <c r="LEO1" s="67"/>
      <c r="LEP1" s="67"/>
      <c r="LEQ1" s="67"/>
      <c r="LER1" s="68"/>
      <c r="LES1" s="67"/>
      <c r="LET1" s="67"/>
      <c r="LEU1" s="67"/>
      <c r="LEV1" s="67"/>
      <c r="LEW1" s="67"/>
      <c r="LEX1" s="67"/>
      <c r="LEY1" s="67"/>
      <c r="LEZ1" s="68"/>
      <c r="LFA1" s="67"/>
      <c r="LFB1" s="67"/>
      <c r="LFC1" s="67"/>
      <c r="LFD1" s="67"/>
      <c r="LFE1" s="67"/>
      <c r="LFF1" s="67"/>
      <c r="LFG1" s="67"/>
      <c r="LFH1" s="68"/>
      <c r="LFI1" s="67"/>
      <c r="LFJ1" s="67"/>
      <c r="LFK1" s="67"/>
      <c r="LFL1" s="67"/>
      <c r="LFM1" s="67"/>
      <c r="LFN1" s="67"/>
      <c r="LFO1" s="67"/>
      <c r="LFP1" s="68"/>
      <c r="LFQ1" s="67"/>
      <c r="LFR1" s="67"/>
      <c r="LFS1" s="67"/>
      <c r="LFT1" s="67"/>
      <c r="LFU1" s="67"/>
      <c r="LFV1" s="67"/>
      <c r="LFW1" s="67"/>
      <c r="LFX1" s="68"/>
      <c r="LFY1" s="67"/>
      <c r="LFZ1" s="67"/>
      <c r="LGA1" s="67"/>
      <c r="LGB1" s="67"/>
      <c r="LGC1" s="67"/>
      <c r="LGD1" s="67"/>
      <c r="LGE1" s="67"/>
      <c r="LGF1" s="68"/>
      <c r="LGG1" s="67"/>
      <c r="LGH1" s="67"/>
      <c r="LGI1" s="67"/>
      <c r="LGJ1" s="67"/>
      <c r="LGK1" s="67"/>
      <c r="LGL1" s="67"/>
      <c r="LGM1" s="67"/>
      <c r="LGN1" s="68"/>
      <c r="LGO1" s="67"/>
      <c r="LGP1" s="67"/>
      <c r="LGQ1" s="67"/>
      <c r="LGR1" s="67"/>
      <c r="LGS1" s="67"/>
      <c r="LGT1" s="67"/>
      <c r="LGU1" s="67"/>
      <c r="LGV1" s="68"/>
      <c r="LGW1" s="67"/>
      <c r="LGX1" s="67"/>
      <c r="LGY1" s="67"/>
      <c r="LGZ1" s="67"/>
      <c r="LHA1" s="67"/>
      <c r="LHB1" s="67"/>
      <c r="LHC1" s="67"/>
      <c r="LHD1" s="68"/>
      <c r="LHE1" s="67"/>
      <c r="LHF1" s="67"/>
      <c r="LHG1" s="67"/>
      <c r="LHH1" s="67"/>
      <c r="LHI1" s="67"/>
      <c r="LHJ1" s="67"/>
      <c r="LHK1" s="67"/>
      <c r="LHL1" s="68"/>
      <c r="LHM1" s="67"/>
      <c r="LHN1" s="67"/>
      <c r="LHO1" s="67"/>
      <c r="LHP1" s="67"/>
      <c r="LHQ1" s="67"/>
      <c r="LHR1" s="67"/>
      <c r="LHS1" s="67"/>
      <c r="LHT1" s="68"/>
      <c r="LHU1" s="67"/>
      <c r="LHV1" s="67"/>
      <c r="LHW1" s="67"/>
      <c r="LHX1" s="67"/>
      <c r="LHY1" s="67"/>
      <c r="LHZ1" s="67"/>
      <c r="LIA1" s="67"/>
      <c r="LIB1" s="68"/>
      <c r="LIC1" s="67"/>
      <c r="LID1" s="67"/>
      <c r="LIE1" s="67"/>
      <c r="LIF1" s="67"/>
      <c r="LIG1" s="67"/>
      <c r="LIH1" s="67"/>
      <c r="LII1" s="67"/>
      <c r="LIJ1" s="68"/>
      <c r="LIK1" s="67"/>
      <c r="LIL1" s="67"/>
      <c r="LIM1" s="67"/>
      <c r="LIN1" s="67"/>
      <c r="LIO1" s="67"/>
      <c r="LIP1" s="67"/>
      <c r="LIQ1" s="67"/>
      <c r="LIR1" s="68"/>
      <c r="LIS1" s="67"/>
      <c r="LIT1" s="67"/>
      <c r="LIU1" s="67"/>
      <c r="LIV1" s="67"/>
      <c r="LIW1" s="67"/>
      <c r="LIX1" s="67"/>
      <c r="LIY1" s="67"/>
      <c r="LIZ1" s="68"/>
      <c r="LJA1" s="67"/>
      <c r="LJB1" s="67"/>
      <c r="LJC1" s="67"/>
      <c r="LJD1" s="67"/>
      <c r="LJE1" s="67"/>
      <c r="LJF1" s="67"/>
      <c r="LJG1" s="67"/>
      <c r="LJH1" s="68"/>
      <c r="LJI1" s="67"/>
      <c r="LJJ1" s="67"/>
      <c r="LJK1" s="67"/>
      <c r="LJL1" s="67"/>
      <c r="LJM1" s="67"/>
      <c r="LJN1" s="67"/>
      <c r="LJO1" s="67"/>
      <c r="LJP1" s="68"/>
      <c r="LJQ1" s="67"/>
      <c r="LJR1" s="67"/>
      <c r="LJS1" s="67"/>
      <c r="LJT1" s="67"/>
      <c r="LJU1" s="67"/>
      <c r="LJV1" s="67"/>
      <c r="LJW1" s="67"/>
      <c r="LJX1" s="68"/>
      <c r="LJY1" s="67"/>
      <c r="LJZ1" s="67"/>
      <c r="LKA1" s="67"/>
      <c r="LKB1" s="67"/>
      <c r="LKC1" s="67"/>
      <c r="LKD1" s="67"/>
      <c r="LKE1" s="67"/>
      <c r="LKF1" s="68"/>
      <c r="LKG1" s="67"/>
      <c r="LKH1" s="67"/>
      <c r="LKI1" s="67"/>
      <c r="LKJ1" s="67"/>
      <c r="LKK1" s="67"/>
      <c r="LKL1" s="67"/>
      <c r="LKM1" s="67"/>
      <c r="LKN1" s="68"/>
      <c r="LKO1" s="67"/>
      <c r="LKP1" s="67"/>
      <c r="LKQ1" s="67"/>
      <c r="LKR1" s="67"/>
      <c r="LKS1" s="67"/>
      <c r="LKT1" s="67"/>
      <c r="LKU1" s="67"/>
      <c r="LKV1" s="68"/>
      <c r="LKW1" s="67"/>
      <c r="LKX1" s="67"/>
      <c r="LKY1" s="67"/>
      <c r="LKZ1" s="67"/>
      <c r="LLA1" s="67"/>
      <c r="LLB1" s="67"/>
      <c r="LLC1" s="67"/>
      <c r="LLD1" s="68"/>
      <c r="LLE1" s="67"/>
      <c r="LLF1" s="67"/>
      <c r="LLG1" s="67"/>
      <c r="LLH1" s="67"/>
      <c r="LLI1" s="67"/>
      <c r="LLJ1" s="67"/>
      <c r="LLK1" s="67"/>
      <c r="LLL1" s="68"/>
      <c r="LLM1" s="67"/>
      <c r="LLN1" s="67"/>
      <c r="LLO1" s="67"/>
      <c r="LLP1" s="67"/>
      <c r="LLQ1" s="67"/>
      <c r="LLR1" s="67"/>
      <c r="LLS1" s="67"/>
      <c r="LLT1" s="68"/>
      <c r="LLU1" s="67"/>
      <c r="LLV1" s="67"/>
      <c r="LLW1" s="67"/>
      <c r="LLX1" s="67"/>
      <c r="LLY1" s="67"/>
      <c r="LLZ1" s="67"/>
      <c r="LMA1" s="67"/>
      <c r="LMB1" s="68"/>
      <c r="LMC1" s="67"/>
      <c r="LMD1" s="67"/>
      <c r="LME1" s="67"/>
      <c r="LMF1" s="67"/>
      <c r="LMG1" s="67"/>
      <c r="LMH1" s="67"/>
      <c r="LMI1" s="67"/>
      <c r="LMJ1" s="68"/>
      <c r="LMK1" s="67"/>
      <c r="LML1" s="67"/>
      <c r="LMM1" s="67"/>
      <c r="LMN1" s="67"/>
      <c r="LMO1" s="67"/>
      <c r="LMP1" s="67"/>
      <c r="LMQ1" s="67"/>
      <c r="LMR1" s="68"/>
      <c r="LMS1" s="67"/>
      <c r="LMT1" s="67"/>
      <c r="LMU1" s="67"/>
      <c r="LMV1" s="67"/>
      <c r="LMW1" s="67"/>
      <c r="LMX1" s="67"/>
      <c r="LMY1" s="67"/>
      <c r="LMZ1" s="68"/>
      <c r="LNA1" s="67"/>
      <c r="LNB1" s="67"/>
      <c r="LNC1" s="67"/>
      <c r="LND1" s="67"/>
      <c r="LNE1" s="67"/>
      <c r="LNF1" s="67"/>
      <c r="LNG1" s="67"/>
      <c r="LNH1" s="68"/>
      <c r="LNI1" s="67"/>
      <c r="LNJ1" s="67"/>
      <c r="LNK1" s="67"/>
      <c r="LNL1" s="67"/>
      <c r="LNM1" s="67"/>
      <c r="LNN1" s="67"/>
      <c r="LNO1" s="67"/>
      <c r="LNP1" s="68"/>
      <c r="LNQ1" s="67"/>
      <c r="LNR1" s="67"/>
      <c r="LNS1" s="67"/>
      <c r="LNT1" s="67"/>
      <c r="LNU1" s="67"/>
      <c r="LNV1" s="67"/>
      <c r="LNW1" s="67"/>
      <c r="LNX1" s="68"/>
      <c r="LNY1" s="67"/>
      <c r="LNZ1" s="67"/>
      <c r="LOA1" s="67"/>
      <c r="LOB1" s="67"/>
      <c r="LOC1" s="67"/>
      <c r="LOD1" s="67"/>
      <c r="LOE1" s="67"/>
      <c r="LOF1" s="68"/>
      <c r="LOG1" s="67"/>
      <c r="LOH1" s="67"/>
      <c r="LOI1" s="67"/>
      <c r="LOJ1" s="67"/>
      <c r="LOK1" s="67"/>
      <c r="LOL1" s="67"/>
      <c r="LOM1" s="67"/>
      <c r="LON1" s="68"/>
      <c r="LOO1" s="67"/>
      <c r="LOP1" s="67"/>
      <c r="LOQ1" s="67"/>
      <c r="LOR1" s="67"/>
      <c r="LOS1" s="67"/>
      <c r="LOT1" s="67"/>
      <c r="LOU1" s="67"/>
      <c r="LOV1" s="68"/>
      <c r="LOW1" s="67"/>
      <c r="LOX1" s="67"/>
      <c r="LOY1" s="67"/>
      <c r="LOZ1" s="67"/>
      <c r="LPA1" s="67"/>
      <c r="LPB1" s="67"/>
      <c r="LPC1" s="67"/>
      <c r="LPD1" s="68"/>
      <c r="LPE1" s="67"/>
      <c r="LPF1" s="67"/>
      <c r="LPG1" s="67"/>
      <c r="LPH1" s="67"/>
      <c r="LPI1" s="67"/>
      <c r="LPJ1" s="67"/>
      <c r="LPK1" s="67"/>
      <c r="LPL1" s="68"/>
      <c r="LPM1" s="67"/>
      <c r="LPN1" s="67"/>
      <c r="LPO1" s="67"/>
      <c r="LPP1" s="67"/>
      <c r="LPQ1" s="67"/>
      <c r="LPR1" s="67"/>
      <c r="LPS1" s="67"/>
      <c r="LPT1" s="68"/>
      <c r="LPU1" s="67"/>
      <c r="LPV1" s="67"/>
      <c r="LPW1" s="67"/>
      <c r="LPX1" s="67"/>
      <c r="LPY1" s="67"/>
      <c r="LPZ1" s="67"/>
      <c r="LQA1" s="67"/>
      <c r="LQB1" s="68"/>
      <c r="LQC1" s="67"/>
      <c r="LQD1" s="67"/>
      <c r="LQE1" s="67"/>
      <c r="LQF1" s="67"/>
      <c r="LQG1" s="67"/>
      <c r="LQH1" s="67"/>
      <c r="LQI1" s="67"/>
      <c r="LQJ1" s="68"/>
      <c r="LQK1" s="67"/>
      <c r="LQL1" s="67"/>
      <c r="LQM1" s="67"/>
      <c r="LQN1" s="67"/>
      <c r="LQO1" s="67"/>
      <c r="LQP1" s="67"/>
      <c r="LQQ1" s="67"/>
      <c r="LQR1" s="68"/>
      <c r="LQS1" s="67"/>
      <c r="LQT1" s="67"/>
      <c r="LQU1" s="67"/>
      <c r="LQV1" s="67"/>
      <c r="LQW1" s="67"/>
      <c r="LQX1" s="67"/>
      <c r="LQY1" s="67"/>
      <c r="LQZ1" s="68"/>
      <c r="LRA1" s="67"/>
      <c r="LRB1" s="67"/>
      <c r="LRC1" s="67"/>
      <c r="LRD1" s="67"/>
      <c r="LRE1" s="67"/>
      <c r="LRF1" s="67"/>
      <c r="LRG1" s="67"/>
      <c r="LRH1" s="68"/>
      <c r="LRI1" s="67"/>
      <c r="LRJ1" s="67"/>
      <c r="LRK1" s="67"/>
      <c r="LRL1" s="67"/>
      <c r="LRM1" s="67"/>
      <c r="LRN1" s="67"/>
      <c r="LRO1" s="67"/>
      <c r="LRP1" s="68"/>
      <c r="LRQ1" s="67"/>
      <c r="LRR1" s="67"/>
      <c r="LRS1" s="67"/>
      <c r="LRT1" s="67"/>
      <c r="LRU1" s="67"/>
      <c r="LRV1" s="67"/>
      <c r="LRW1" s="67"/>
      <c r="LRX1" s="68"/>
      <c r="LRY1" s="67"/>
      <c r="LRZ1" s="67"/>
      <c r="LSA1" s="67"/>
      <c r="LSB1" s="67"/>
      <c r="LSC1" s="67"/>
      <c r="LSD1" s="67"/>
      <c r="LSE1" s="67"/>
      <c r="LSF1" s="68"/>
      <c r="LSG1" s="67"/>
      <c r="LSH1" s="67"/>
      <c r="LSI1" s="67"/>
      <c r="LSJ1" s="67"/>
      <c r="LSK1" s="67"/>
      <c r="LSL1" s="67"/>
      <c r="LSM1" s="67"/>
      <c r="LSN1" s="68"/>
      <c r="LSO1" s="67"/>
      <c r="LSP1" s="67"/>
      <c r="LSQ1" s="67"/>
      <c r="LSR1" s="67"/>
      <c r="LSS1" s="67"/>
      <c r="LST1" s="67"/>
      <c r="LSU1" s="67"/>
      <c r="LSV1" s="68"/>
      <c r="LSW1" s="67"/>
      <c r="LSX1" s="67"/>
      <c r="LSY1" s="67"/>
      <c r="LSZ1" s="67"/>
      <c r="LTA1" s="67"/>
      <c r="LTB1" s="67"/>
      <c r="LTC1" s="67"/>
      <c r="LTD1" s="68"/>
      <c r="LTE1" s="67"/>
      <c r="LTF1" s="67"/>
      <c r="LTG1" s="67"/>
      <c r="LTH1" s="67"/>
      <c r="LTI1" s="67"/>
      <c r="LTJ1" s="67"/>
      <c r="LTK1" s="67"/>
      <c r="LTL1" s="68"/>
      <c r="LTM1" s="67"/>
      <c r="LTN1" s="67"/>
      <c r="LTO1" s="67"/>
      <c r="LTP1" s="67"/>
      <c r="LTQ1" s="67"/>
      <c r="LTR1" s="67"/>
      <c r="LTS1" s="67"/>
      <c r="LTT1" s="68"/>
      <c r="LTU1" s="67"/>
      <c r="LTV1" s="67"/>
      <c r="LTW1" s="67"/>
      <c r="LTX1" s="67"/>
      <c r="LTY1" s="67"/>
      <c r="LTZ1" s="67"/>
      <c r="LUA1" s="67"/>
      <c r="LUB1" s="68"/>
      <c r="LUC1" s="67"/>
      <c r="LUD1" s="67"/>
      <c r="LUE1" s="67"/>
      <c r="LUF1" s="67"/>
      <c r="LUG1" s="67"/>
      <c r="LUH1" s="67"/>
      <c r="LUI1" s="67"/>
      <c r="LUJ1" s="68"/>
      <c r="LUK1" s="67"/>
      <c r="LUL1" s="67"/>
      <c r="LUM1" s="67"/>
      <c r="LUN1" s="67"/>
      <c r="LUO1" s="67"/>
      <c r="LUP1" s="67"/>
      <c r="LUQ1" s="67"/>
      <c r="LUR1" s="68"/>
      <c r="LUS1" s="67"/>
      <c r="LUT1" s="67"/>
      <c r="LUU1" s="67"/>
      <c r="LUV1" s="67"/>
      <c r="LUW1" s="67"/>
      <c r="LUX1" s="67"/>
      <c r="LUY1" s="67"/>
      <c r="LUZ1" s="68"/>
      <c r="LVA1" s="67"/>
      <c r="LVB1" s="67"/>
      <c r="LVC1" s="67"/>
      <c r="LVD1" s="67"/>
      <c r="LVE1" s="67"/>
      <c r="LVF1" s="67"/>
      <c r="LVG1" s="67"/>
      <c r="LVH1" s="68"/>
      <c r="LVI1" s="67"/>
      <c r="LVJ1" s="67"/>
      <c r="LVK1" s="67"/>
      <c r="LVL1" s="67"/>
      <c r="LVM1" s="67"/>
      <c r="LVN1" s="67"/>
      <c r="LVO1" s="67"/>
      <c r="LVP1" s="68"/>
      <c r="LVQ1" s="67"/>
      <c r="LVR1" s="67"/>
      <c r="LVS1" s="67"/>
      <c r="LVT1" s="67"/>
      <c r="LVU1" s="67"/>
      <c r="LVV1" s="67"/>
      <c r="LVW1" s="67"/>
      <c r="LVX1" s="68"/>
      <c r="LVY1" s="67"/>
      <c r="LVZ1" s="67"/>
      <c r="LWA1" s="67"/>
      <c r="LWB1" s="67"/>
      <c r="LWC1" s="67"/>
      <c r="LWD1" s="67"/>
      <c r="LWE1" s="67"/>
      <c r="LWF1" s="68"/>
      <c r="LWG1" s="67"/>
      <c r="LWH1" s="67"/>
      <c r="LWI1" s="67"/>
      <c r="LWJ1" s="67"/>
      <c r="LWK1" s="67"/>
      <c r="LWL1" s="67"/>
      <c r="LWM1" s="67"/>
      <c r="LWN1" s="68"/>
      <c r="LWO1" s="67"/>
      <c r="LWP1" s="67"/>
      <c r="LWQ1" s="67"/>
      <c r="LWR1" s="67"/>
      <c r="LWS1" s="67"/>
      <c r="LWT1" s="67"/>
      <c r="LWU1" s="67"/>
      <c r="LWV1" s="68"/>
      <c r="LWW1" s="67"/>
      <c r="LWX1" s="67"/>
      <c r="LWY1" s="67"/>
      <c r="LWZ1" s="67"/>
      <c r="LXA1" s="67"/>
      <c r="LXB1" s="67"/>
      <c r="LXC1" s="67"/>
      <c r="LXD1" s="68"/>
      <c r="LXE1" s="67"/>
      <c r="LXF1" s="67"/>
      <c r="LXG1" s="67"/>
      <c r="LXH1" s="67"/>
      <c r="LXI1" s="67"/>
      <c r="LXJ1" s="67"/>
      <c r="LXK1" s="67"/>
      <c r="LXL1" s="68"/>
      <c r="LXM1" s="67"/>
      <c r="LXN1" s="67"/>
      <c r="LXO1" s="67"/>
      <c r="LXP1" s="67"/>
      <c r="LXQ1" s="67"/>
      <c r="LXR1" s="67"/>
      <c r="LXS1" s="67"/>
      <c r="LXT1" s="68"/>
      <c r="LXU1" s="67"/>
      <c r="LXV1" s="67"/>
      <c r="LXW1" s="67"/>
      <c r="LXX1" s="67"/>
      <c r="LXY1" s="67"/>
      <c r="LXZ1" s="67"/>
      <c r="LYA1" s="67"/>
      <c r="LYB1" s="68"/>
      <c r="LYC1" s="67"/>
      <c r="LYD1" s="67"/>
      <c r="LYE1" s="67"/>
      <c r="LYF1" s="67"/>
      <c r="LYG1" s="67"/>
      <c r="LYH1" s="67"/>
      <c r="LYI1" s="67"/>
      <c r="LYJ1" s="68"/>
      <c r="LYK1" s="67"/>
      <c r="LYL1" s="67"/>
      <c r="LYM1" s="67"/>
      <c r="LYN1" s="67"/>
      <c r="LYO1" s="67"/>
      <c r="LYP1" s="67"/>
      <c r="LYQ1" s="67"/>
      <c r="LYR1" s="68"/>
      <c r="LYS1" s="67"/>
      <c r="LYT1" s="67"/>
      <c r="LYU1" s="67"/>
      <c r="LYV1" s="67"/>
      <c r="LYW1" s="67"/>
      <c r="LYX1" s="67"/>
      <c r="LYY1" s="67"/>
      <c r="LYZ1" s="68"/>
      <c r="LZA1" s="67"/>
      <c r="LZB1" s="67"/>
      <c r="LZC1" s="67"/>
      <c r="LZD1" s="67"/>
      <c r="LZE1" s="67"/>
      <c r="LZF1" s="67"/>
      <c r="LZG1" s="67"/>
      <c r="LZH1" s="68"/>
      <c r="LZI1" s="67"/>
      <c r="LZJ1" s="67"/>
      <c r="LZK1" s="67"/>
      <c r="LZL1" s="67"/>
      <c r="LZM1" s="67"/>
      <c r="LZN1" s="67"/>
      <c r="LZO1" s="67"/>
      <c r="LZP1" s="68"/>
      <c r="LZQ1" s="67"/>
      <c r="LZR1" s="67"/>
      <c r="LZS1" s="67"/>
      <c r="LZT1" s="67"/>
      <c r="LZU1" s="67"/>
      <c r="LZV1" s="67"/>
      <c r="LZW1" s="67"/>
      <c r="LZX1" s="68"/>
      <c r="LZY1" s="67"/>
      <c r="LZZ1" s="67"/>
      <c r="MAA1" s="67"/>
      <c r="MAB1" s="67"/>
      <c r="MAC1" s="67"/>
      <c r="MAD1" s="67"/>
      <c r="MAE1" s="67"/>
      <c r="MAF1" s="68"/>
      <c r="MAG1" s="67"/>
      <c r="MAH1" s="67"/>
      <c r="MAI1" s="67"/>
      <c r="MAJ1" s="67"/>
      <c r="MAK1" s="67"/>
      <c r="MAL1" s="67"/>
      <c r="MAM1" s="67"/>
      <c r="MAN1" s="68"/>
      <c r="MAO1" s="67"/>
      <c r="MAP1" s="67"/>
      <c r="MAQ1" s="67"/>
      <c r="MAR1" s="67"/>
      <c r="MAS1" s="67"/>
      <c r="MAT1" s="67"/>
      <c r="MAU1" s="67"/>
      <c r="MAV1" s="68"/>
      <c r="MAW1" s="67"/>
      <c r="MAX1" s="67"/>
      <c r="MAY1" s="67"/>
      <c r="MAZ1" s="67"/>
      <c r="MBA1" s="67"/>
      <c r="MBB1" s="67"/>
      <c r="MBC1" s="67"/>
      <c r="MBD1" s="68"/>
      <c r="MBE1" s="67"/>
      <c r="MBF1" s="67"/>
      <c r="MBG1" s="67"/>
      <c r="MBH1" s="67"/>
      <c r="MBI1" s="67"/>
      <c r="MBJ1" s="67"/>
      <c r="MBK1" s="67"/>
      <c r="MBL1" s="68"/>
      <c r="MBM1" s="67"/>
      <c r="MBN1" s="67"/>
      <c r="MBO1" s="67"/>
      <c r="MBP1" s="67"/>
      <c r="MBQ1" s="67"/>
      <c r="MBR1" s="67"/>
      <c r="MBS1" s="67"/>
      <c r="MBT1" s="68"/>
      <c r="MBU1" s="67"/>
      <c r="MBV1" s="67"/>
      <c r="MBW1" s="67"/>
      <c r="MBX1" s="67"/>
      <c r="MBY1" s="67"/>
      <c r="MBZ1" s="67"/>
      <c r="MCA1" s="67"/>
      <c r="MCB1" s="68"/>
      <c r="MCC1" s="67"/>
      <c r="MCD1" s="67"/>
      <c r="MCE1" s="67"/>
      <c r="MCF1" s="67"/>
      <c r="MCG1" s="67"/>
      <c r="MCH1" s="67"/>
      <c r="MCI1" s="67"/>
      <c r="MCJ1" s="68"/>
      <c r="MCK1" s="67"/>
      <c r="MCL1" s="67"/>
      <c r="MCM1" s="67"/>
      <c r="MCN1" s="67"/>
      <c r="MCO1" s="67"/>
      <c r="MCP1" s="67"/>
      <c r="MCQ1" s="67"/>
      <c r="MCR1" s="68"/>
      <c r="MCS1" s="67"/>
      <c r="MCT1" s="67"/>
      <c r="MCU1" s="67"/>
      <c r="MCV1" s="67"/>
      <c r="MCW1" s="67"/>
      <c r="MCX1" s="67"/>
      <c r="MCY1" s="67"/>
      <c r="MCZ1" s="68"/>
      <c r="MDA1" s="67"/>
      <c r="MDB1" s="67"/>
      <c r="MDC1" s="67"/>
      <c r="MDD1" s="67"/>
      <c r="MDE1" s="67"/>
      <c r="MDF1" s="67"/>
      <c r="MDG1" s="67"/>
      <c r="MDH1" s="68"/>
      <c r="MDI1" s="67"/>
      <c r="MDJ1" s="67"/>
      <c r="MDK1" s="67"/>
      <c r="MDL1" s="67"/>
      <c r="MDM1" s="67"/>
      <c r="MDN1" s="67"/>
      <c r="MDO1" s="67"/>
      <c r="MDP1" s="68"/>
      <c r="MDQ1" s="67"/>
      <c r="MDR1" s="67"/>
      <c r="MDS1" s="67"/>
      <c r="MDT1" s="67"/>
      <c r="MDU1" s="67"/>
      <c r="MDV1" s="67"/>
      <c r="MDW1" s="67"/>
      <c r="MDX1" s="68"/>
      <c r="MDY1" s="67"/>
      <c r="MDZ1" s="67"/>
      <c r="MEA1" s="67"/>
      <c r="MEB1" s="67"/>
      <c r="MEC1" s="67"/>
      <c r="MED1" s="67"/>
      <c r="MEE1" s="67"/>
      <c r="MEF1" s="68"/>
      <c r="MEG1" s="67"/>
      <c r="MEH1" s="67"/>
      <c r="MEI1" s="67"/>
      <c r="MEJ1" s="67"/>
      <c r="MEK1" s="67"/>
      <c r="MEL1" s="67"/>
      <c r="MEM1" s="67"/>
      <c r="MEN1" s="68"/>
      <c r="MEO1" s="67"/>
      <c r="MEP1" s="67"/>
      <c r="MEQ1" s="67"/>
      <c r="MER1" s="67"/>
      <c r="MES1" s="67"/>
      <c r="MET1" s="67"/>
      <c r="MEU1" s="67"/>
      <c r="MEV1" s="68"/>
      <c r="MEW1" s="67"/>
      <c r="MEX1" s="67"/>
      <c r="MEY1" s="67"/>
      <c r="MEZ1" s="67"/>
      <c r="MFA1" s="67"/>
      <c r="MFB1" s="67"/>
      <c r="MFC1" s="67"/>
      <c r="MFD1" s="68"/>
      <c r="MFE1" s="67"/>
      <c r="MFF1" s="67"/>
      <c r="MFG1" s="67"/>
      <c r="MFH1" s="67"/>
      <c r="MFI1" s="67"/>
      <c r="MFJ1" s="67"/>
      <c r="MFK1" s="67"/>
      <c r="MFL1" s="68"/>
      <c r="MFM1" s="67"/>
      <c r="MFN1" s="67"/>
      <c r="MFO1" s="67"/>
      <c r="MFP1" s="67"/>
      <c r="MFQ1" s="67"/>
      <c r="MFR1" s="67"/>
      <c r="MFS1" s="67"/>
      <c r="MFT1" s="68"/>
      <c r="MFU1" s="67"/>
      <c r="MFV1" s="67"/>
      <c r="MFW1" s="67"/>
      <c r="MFX1" s="67"/>
      <c r="MFY1" s="67"/>
      <c r="MFZ1" s="67"/>
      <c r="MGA1" s="67"/>
      <c r="MGB1" s="68"/>
      <c r="MGC1" s="67"/>
      <c r="MGD1" s="67"/>
      <c r="MGE1" s="67"/>
      <c r="MGF1" s="67"/>
      <c r="MGG1" s="67"/>
      <c r="MGH1" s="67"/>
      <c r="MGI1" s="67"/>
      <c r="MGJ1" s="68"/>
      <c r="MGK1" s="67"/>
      <c r="MGL1" s="67"/>
      <c r="MGM1" s="67"/>
      <c r="MGN1" s="67"/>
      <c r="MGO1" s="67"/>
      <c r="MGP1" s="67"/>
      <c r="MGQ1" s="67"/>
      <c r="MGR1" s="68"/>
      <c r="MGS1" s="67"/>
      <c r="MGT1" s="67"/>
      <c r="MGU1" s="67"/>
      <c r="MGV1" s="67"/>
      <c r="MGW1" s="67"/>
      <c r="MGX1" s="67"/>
      <c r="MGY1" s="67"/>
      <c r="MGZ1" s="68"/>
      <c r="MHA1" s="67"/>
      <c r="MHB1" s="67"/>
      <c r="MHC1" s="67"/>
      <c r="MHD1" s="67"/>
      <c r="MHE1" s="67"/>
      <c r="MHF1" s="67"/>
      <c r="MHG1" s="67"/>
      <c r="MHH1" s="68"/>
      <c r="MHI1" s="67"/>
      <c r="MHJ1" s="67"/>
      <c r="MHK1" s="67"/>
      <c r="MHL1" s="67"/>
      <c r="MHM1" s="67"/>
      <c r="MHN1" s="67"/>
      <c r="MHO1" s="67"/>
      <c r="MHP1" s="68"/>
      <c r="MHQ1" s="67"/>
      <c r="MHR1" s="67"/>
      <c r="MHS1" s="67"/>
      <c r="MHT1" s="67"/>
      <c r="MHU1" s="67"/>
      <c r="MHV1" s="67"/>
      <c r="MHW1" s="67"/>
      <c r="MHX1" s="68"/>
      <c r="MHY1" s="67"/>
      <c r="MHZ1" s="67"/>
      <c r="MIA1" s="67"/>
      <c r="MIB1" s="67"/>
      <c r="MIC1" s="67"/>
      <c r="MID1" s="67"/>
      <c r="MIE1" s="67"/>
      <c r="MIF1" s="68"/>
      <c r="MIG1" s="67"/>
      <c r="MIH1" s="67"/>
      <c r="MII1" s="67"/>
      <c r="MIJ1" s="67"/>
      <c r="MIK1" s="67"/>
      <c r="MIL1" s="67"/>
      <c r="MIM1" s="67"/>
      <c r="MIN1" s="68"/>
      <c r="MIO1" s="67"/>
      <c r="MIP1" s="67"/>
      <c r="MIQ1" s="67"/>
      <c r="MIR1" s="67"/>
      <c r="MIS1" s="67"/>
      <c r="MIT1" s="67"/>
      <c r="MIU1" s="67"/>
      <c r="MIV1" s="68"/>
      <c r="MIW1" s="67"/>
      <c r="MIX1" s="67"/>
      <c r="MIY1" s="67"/>
      <c r="MIZ1" s="67"/>
      <c r="MJA1" s="67"/>
      <c r="MJB1" s="67"/>
      <c r="MJC1" s="67"/>
      <c r="MJD1" s="68"/>
      <c r="MJE1" s="67"/>
      <c r="MJF1" s="67"/>
      <c r="MJG1" s="67"/>
      <c r="MJH1" s="67"/>
      <c r="MJI1" s="67"/>
      <c r="MJJ1" s="67"/>
      <c r="MJK1" s="67"/>
      <c r="MJL1" s="68"/>
      <c r="MJM1" s="67"/>
      <c r="MJN1" s="67"/>
      <c r="MJO1" s="67"/>
      <c r="MJP1" s="67"/>
      <c r="MJQ1" s="67"/>
      <c r="MJR1" s="67"/>
      <c r="MJS1" s="67"/>
      <c r="MJT1" s="68"/>
      <c r="MJU1" s="67"/>
      <c r="MJV1" s="67"/>
      <c r="MJW1" s="67"/>
      <c r="MJX1" s="67"/>
      <c r="MJY1" s="67"/>
      <c r="MJZ1" s="67"/>
      <c r="MKA1" s="67"/>
      <c r="MKB1" s="68"/>
      <c r="MKC1" s="67"/>
      <c r="MKD1" s="67"/>
      <c r="MKE1" s="67"/>
      <c r="MKF1" s="67"/>
      <c r="MKG1" s="67"/>
      <c r="MKH1" s="67"/>
      <c r="MKI1" s="67"/>
      <c r="MKJ1" s="68"/>
      <c r="MKK1" s="67"/>
      <c r="MKL1" s="67"/>
      <c r="MKM1" s="67"/>
      <c r="MKN1" s="67"/>
      <c r="MKO1" s="67"/>
      <c r="MKP1" s="67"/>
      <c r="MKQ1" s="67"/>
      <c r="MKR1" s="68"/>
      <c r="MKS1" s="67"/>
      <c r="MKT1" s="67"/>
      <c r="MKU1" s="67"/>
      <c r="MKV1" s="67"/>
      <c r="MKW1" s="67"/>
      <c r="MKX1" s="67"/>
      <c r="MKY1" s="67"/>
      <c r="MKZ1" s="68"/>
      <c r="MLA1" s="67"/>
      <c r="MLB1" s="67"/>
      <c r="MLC1" s="67"/>
      <c r="MLD1" s="67"/>
      <c r="MLE1" s="67"/>
      <c r="MLF1" s="67"/>
      <c r="MLG1" s="67"/>
      <c r="MLH1" s="68"/>
      <c r="MLI1" s="67"/>
      <c r="MLJ1" s="67"/>
      <c r="MLK1" s="67"/>
      <c r="MLL1" s="67"/>
      <c r="MLM1" s="67"/>
      <c r="MLN1" s="67"/>
      <c r="MLO1" s="67"/>
      <c r="MLP1" s="68"/>
      <c r="MLQ1" s="67"/>
      <c r="MLR1" s="67"/>
      <c r="MLS1" s="67"/>
      <c r="MLT1" s="67"/>
      <c r="MLU1" s="67"/>
      <c r="MLV1" s="67"/>
      <c r="MLW1" s="67"/>
      <c r="MLX1" s="68"/>
      <c r="MLY1" s="67"/>
      <c r="MLZ1" s="67"/>
      <c r="MMA1" s="67"/>
      <c r="MMB1" s="67"/>
      <c r="MMC1" s="67"/>
      <c r="MMD1" s="67"/>
      <c r="MME1" s="67"/>
      <c r="MMF1" s="68"/>
      <c r="MMG1" s="67"/>
      <c r="MMH1" s="67"/>
      <c r="MMI1" s="67"/>
      <c r="MMJ1" s="67"/>
      <c r="MMK1" s="67"/>
      <c r="MML1" s="67"/>
      <c r="MMM1" s="67"/>
      <c r="MMN1" s="68"/>
      <c r="MMO1" s="67"/>
      <c r="MMP1" s="67"/>
      <c r="MMQ1" s="67"/>
      <c r="MMR1" s="67"/>
      <c r="MMS1" s="67"/>
      <c r="MMT1" s="67"/>
      <c r="MMU1" s="67"/>
      <c r="MMV1" s="68"/>
      <c r="MMW1" s="67"/>
      <c r="MMX1" s="67"/>
      <c r="MMY1" s="67"/>
      <c r="MMZ1" s="67"/>
      <c r="MNA1" s="67"/>
      <c r="MNB1" s="67"/>
      <c r="MNC1" s="67"/>
      <c r="MND1" s="68"/>
      <c r="MNE1" s="67"/>
      <c r="MNF1" s="67"/>
      <c r="MNG1" s="67"/>
      <c r="MNH1" s="67"/>
      <c r="MNI1" s="67"/>
      <c r="MNJ1" s="67"/>
      <c r="MNK1" s="67"/>
      <c r="MNL1" s="68"/>
      <c r="MNM1" s="67"/>
      <c r="MNN1" s="67"/>
      <c r="MNO1" s="67"/>
      <c r="MNP1" s="67"/>
      <c r="MNQ1" s="67"/>
      <c r="MNR1" s="67"/>
      <c r="MNS1" s="67"/>
      <c r="MNT1" s="68"/>
      <c r="MNU1" s="67"/>
      <c r="MNV1" s="67"/>
      <c r="MNW1" s="67"/>
      <c r="MNX1" s="67"/>
      <c r="MNY1" s="67"/>
      <c r="MNZ1" s="67"/>
      <c r="MOA1" s="67"/>
      <c r="MOB1" s="68"/>
      <c r="MOC1" s="67"/>
      <c r="MOD1" s="67"/>
      <c r="MOE1" s="67"/>
      <c r="MOF1" s="67"/>
      <c r="MOG1" s="67"/>
      <c r="MOH1" s="67"/>
      <c r="MOI1" s="67"/>
      <c r="MOJ1" s="68"/>
      <c r="MOK1" s="67"/>
      <c r="MOL1" s="67"/>
      <c r="MOM1" s="67"/>
      <c r="MON1" s="67"/>
      <c r="MOO1" s="67"/>
      <c r="MOP1" s="67"/>
      <c r="MOQ1" s="67"/>
      <c r="MOR1" s="68"/>
      <c r="MOS1" s="67"/>
      <c r="MOT1" s="67"/>
      <c r="MOU1" s="67"/>
      <c r="MOV1" s="67"/>
      <c r="MOW1" s="67"/>
      <c r="MOX1" s="67"/>
      <c r="MOY1" s="67"/>
      <c r="MOZ1" s="68"/>
      <c r="MPA1" s="67"/>
      <c r="MPB1" s="67"/>
      <c r="MPC1" s="67"/>
      <c r="MPD1" s="67"/>
      <c r="MPE1" s="67"/>
      <c r="MPF1" s="67"/>
      <c r="MPG1" s="67"/>
      <c r="MPH1" s="68"/>
      <c r="MPI1" s="67"/>
      <c r="MPJ1" s="67"/>
      <c r="MPK1" s="67"/>
      <c r="MPL1" s="67"/>
      <c r="MPM1" s="67"/>
      <c r="MPN1" s="67"/>
      <c r="MPO1" s="67"/>
      <c r="MPP1" s="68"/>
      <c r="MPQ1" s="67"/>
      <c r="MPR1" s="67"/>
      <c r="MPS1" s="67"/>
      <c r="MPT1" s="67"/>
      <c r="MPU1" s="67"/>
      <c r="MPV1" s="67"/>
      <c r="MPW1" s="67"/>
      <c r="MPX1" s="68"/>
      <c r="MPY1" s="67"/>
      <c r="MPZ1" s="67"/>
      <c r="MQA1" s="67"/>
      <c r="MQB1" s="67"/>
      <c r="MQC1" s="67"/>
      <c r="MQD1" s="67"/>
      <c r="MQE1" s="67"/>
      <c r="MQF1" s="68"/>
      <c r="MQG1" s="67"/>
      <c r="MQH1" s="67"/>
      <c r="MQI1" s="67"/>
      <c r="MQJ1" s="67"/>
      <c r="MQK1" s="67"/>
      <c r="MQL1" s="67"/>
      <c r="MQM1" s="67"/>
      <c r="MQN1" s="68"/>
      <c r="MQO1" s="67"/>
      <c r="MQP1" s="67"/>
      <c r="MQQ1" s="67"/>
      <c r="MQR1" s="67"/>
      <c r="MQS1" s="67"/>
      <c r="MQT1" s="67"/>
      <c r="MQU1" s="67"/>
      <c r="MQV1" s="68"/>
      <c r="MQW1" s="67"/>
      <c r="MQX1" s="67"/>
      <c r="MQY1" s="67"/>
      <c r="MQZ1" s="67"/>
      <c r="MRA1" s="67"/>
      <c r="MRB1" s="67"/>
      <c r="MRC1" s="67"/>
      <c r="MRD1" s="68"/>
      <c r="MRE1" s="67"/>
      <c r="MRF1" s="67"/>
      <c r="MRG1" s="67"/>
      <c r="MRH1" s="67"/>
      <c r="MRI1" s="67"/>
      <c r="MRJ1" s="67"/>
      <c r="MRK1" s="67"/>
      <c r="MRL1" s="68"/>
      <c r="MRM1" s="67"/>
      <c r="MRN1" s="67"/>
      <c r="MRO1" s="67"/>
      <c r="MRP1" s="67"/>
      <c r="MRQ1" s="67"/>
      <c r="MRR1" s="67"/>
      <c r="MRS1" s="67"/>
      <c r="MRT1" s="68"/>
      <c r="MRU1" s="67"/>
      <c r="MRV1" s="67"/>
      <c r="MRW1" s="67"/>
      <c r="MRX1" s="67"/>
      <c r="MRY1" s="67"/>
      <c r="MRZ1" s="67"/>
      <c r="MSA1" s="67"/>
      <c r="MSB1" s="68"/>
      <c r="MSC1" s="67"/>
      <c r="MSD1" s="67"/>
      <c r="MSE1" s="67"/>
      <c r="MSF1" s="67"/>
      <c r="MSG1" s="67"/>
      <c r="MSH1" s="67"/>
      <c r="MSI1" s="67"/>
      <c r="MSJ1" s="68"/>
      <c r="MSK1" s="67"/>
      <c r="MSL1" s="67"/>
      <c r="MSM1" s="67"/>
      <c r="MSN1" s="67"/>
      <c r="MSO1" s="67"/>
      <c r="MSP1" s="67"/>
      <c r="MSQ1" s="67"/>
      <c r="MSR1" s="68"/>
      <c r="MSS1" s="67"/>
      <c r="MST1" s="67"/>
      <c r="MSU1" s="67"/>
      <c r="MSV1" s="67"/>
      <c r="MSW1" s="67"/>
      <c r="MSX1" s="67"/>
      <c r="MSY1" s="67"/>
      <c r="MSZ1" s="68"/>
      <c r="MTA1" s="67"/>
      <c r="MTB1" s="67"/>
      <c r="MTC1" s="67"/>
      <c r="MTD1" s="67"/>
      <c r="MTE1" s="67"/>
      <c r="MTF1" s="67"/>
      <c r="MTG1" s="67"/>
      <c r="MTH1" s="68"/>
      <c r="MTI1" s="67"/>
      <c r="MTJ1" s="67"/>
      <c r="MTK1" s="67"/>
      <c r="MTL1" s="67"/>
      <c r="MTM1" s="67"/>
      <c r="MTN1" s="67"/>
      <c r="MTO1" s="67"/>
      <c r="MTP1" s="68"/>
      <c r="MTQ1" s="67"/>
      <c r="MTR1" s="67"/>
      <c r="MTS1" s="67"/>
      <c r="MTT1" s="67"/>
      <c r="MTU1" s="67"/>
      <c r="MTV1" s="67"/>
      <c r="MTW1" s="67"/>
      <c r="MTX1" s="68"/>
      <c r="MTY1" s="67"/>
      <c r="MTZ1" s="67"/>
      <c r="MUA1" s="67"/>
      <c r="MUB1" s="67"/>
      <c r="MUC1" s="67"/>
      <c r="MUD1" s="67"/>
      <c r="MUE1" s="67"/>
      <c r="MUF1" s="68"/>
      <c r="MUG1" s="67"/>
      <c r="MUH1" s="67"/>
      <c r="MUI1" s="67"/>
      <c r="MUJ1" s="67"/>
      <c r="MUK1" s="67"/>
      <c r="MUL1" s="67"/>
      <c r="MUM1" s="67"/>
      <c r="MUN1" s="68"/>
      <c r="MUO1" s="67"/>
      <c r="MUP1" s="67"/>
      <c r="MUQ1" s="67"/>
      <c r="MUR1" s="67"/>
      <c r="MUS1" s="67"/>
      <c r="MUT1" s="67"/>
      <c r="MUU1" s="67"/>
      <c r="MUV1" s="68"/>
      <c r="MUW1" s="67"/>
      <c r="MUX1" s="67"/>
      <c r="MUY1" s="67"/>
      <c r="MUZ1" s="67"/>
      <c r="MVA1" s="67"/>
      <c r="MVB1" s="67"/>
      <c r="MVC1" s="67"/>
      <c r="MVD1" s="68"/>
      <c r="MVE1" s="67"/>
      <c r="MVF1" s="67"/>
      <c r="MVG1" s="67"/>
      <c r="MVH1" s="67"/>
      <c r="MVI1" s="67"/>
      <c r="MVJ1" s="67"/>
      <c r="MVK1" s="67"/>
      <c r="MVL1" s="68"/>
      <c r="MVM1" s="67"/>
      <c r="MVN1" s="67"/>
      <c r="MVO1" s="67"/>
      <c r="MVP1" s="67"/>
      <c r="MVQ1" s="67"/>
      <c r="MVR1" s="67"/>
      <c r="MVS1" s="67"/>
      <c r="MVT1" s="68"/>
      <c r="MVU1" s="67"/>
      <c r="MVV1" s="67"/>
      <c r="MVW1" s="67"/>
      <c r="MVX1" s="67"/>
      <c r="MVY1" s="67"/>
      <c r="MVZ1" s="67"/>
      <c r="MWA1" s="67"/>
      <c r="MWB1" s="68"/>
      <c r="MWC1" s="67"/>
      <c r="MWD1" s="67"/>
      <c r="MWE1" s="67"/>
      <c r="MWF1" s="67"/>
      <c r="MWG1" s="67"/>
      <c r="MWH1" s="67"/>
      <c r="MWI1" s="67"/>
      <c r="MWJ1" s="68"/>
      <c r="MWK1" s="67"/>
      <c r="MWL1" s="67"/>
      <c r="MWM1" s="67"/>
      <c r="MWN1" s="67"/>
      <c r="MWO1" s="67"/>
      <c r="MWP1" s="67"/>
      <c r="MWQ1" s="67"/>
      <c r="MWR1" s="68"/>
      <c r="MWS1" s="67"/>
      <c r="MWT1" s="67"/>
      <c r="MWU1" s="67"/>
      <c r="MWV1" s="67"/>
      <c r="MWW1" s="67"/>
      <c r="MWX1" s="67"/>
      <c r="MWY1" s="67"/>
      <c r="MWZ1" s="68"/>
      <c r="MXA1" s="67"/>
      <c r="MXB1" s="67"/>
      <c r="MXC1" s="67"/>
      <c r="MXD1" s="67"/>
      <c r="MXE1" s="67"/>
      <c r="MXF1" s="67"/>
      <c r="MXG1" s="67"/>
      <c r="MXH1" s="68"/>
      <c r="MXI1" s="67"/>
      <c r="MXJ1" s="67"/>
      <c r="MXK1" s="67"/>
      <c r="MXL1" s="67"/>
      <c r="MXM1" s="67"/>
      <c r="MXN1" s="67"/>
      <c r="MXO1" s="67"/>
      <c r="MXP1" s="68"/>
      <c r="MXQ1" s="67"/>
      <c r="MXR1" s="67"/>
      <c r="MXS1" s="67"/>
      <c r="MXT1" s="67"/>
      <c r="MXU1" s="67"/>
      <c r="MXV1" s="67"/>
      <c r="MXW1" s="67"/>
      <c r="MXX1" s="68"/>
      <c r="MXY1" s="67"/>
      <c r="MXZ1" s="67"/>
      <c r="MYA1" s="67"/>
      <c r="MYB1" s="67"/>
      <c r="MYC1" s="67"/>
      <c r="MYD1" s="67"/>
      <c r="MYE1" s="67"/>
      <c r="MYF1" s="68"/>
      <c r="MYG1" s="67"/>
      <c r="MYH1" s="67"/>
      <c r="MYI1" s="67"/>
      <c r="MYJ1" s="67"/>
      <c r="MYK1" s="67"/>
      <c r="MYL1" s="67"/>
      <c r="MYM1" s="67"/>
      <c r="MYN1" s="68"/>
      <c r="MYO1" s="67"/>
      <c r="MYP1" s="67"/>
      <c r="MYQ1" s="67"/>
      <c r="MYR1" s="67"/>
      <c r="MYS1" s="67"/>
      <c r="MYT1" s="67"/>
      <c r="MYU1" s="67"/>
      <c r="MYV1" s="68"/>
      <c r="MYW1" s="67"/>
      <c r="MYX1" s="67"/>
      <c r="MYY1" s="67"/>
      <c r="MYZ1" s="67"/>
      <c r="MZA1" s="67"/>
      <c r="MZB1" s="67"/>
      <c r="MZC1" s="67"/>
      <c r="MZD1" s="68"/>
      <c r="MZE1" s="67"/>
      <c r="MZF1" s="67"/>
      <c r="MZG1" s="67"/>
      <c r="MZH1" s="67"/>
      <c r="MZI1" s="67"/>
      <c r="MZJ1" s="67"/>
      <c r="MZK1" s="67"/>
      <c r="MZL1" s="68"/>
      <c r="MZM1" s="67"/>
      <c r="MZN1" s="67"/>
      <c r="MZO1" s="67"/>
      <c r="MZP1" s="67"/>
      <c r="MZQ1" s="67"/>
      <c r="MZR1" s="67"/>
      <c r="MZS1" s="67"/>
      <c r="MZT1" s="68"/>
      <c r="MZU1" s="67"/>
      <c r="MZV1" s="67"/>
      <c r="MZW1" s="67"/>
      <c r="MZX1" s="67"/>
      <c r="MZY1" s="67"/>
      <c r="MZZ1" s="67"/>
      <c r="NAA1" s="67"/>
      <c r="NAB1" s="68"/>
      <c r="NAC1" s="67"/>
      <c r="NAD1" s="67"/>
      <c r="NAE1" s="67"/>
      <c r="NAF1" s="67"/>
      <c r="NAG1" s="67"/>
      <c r="NAH1" s="67"/>
      <c r="NAI1" s="67"/>
      <c r="NAJ1" s="68"/>
      <c r="NAK1" s="67"/>
      <c r="NAL1" s="67"/>
      <c r="NAM1" s="67"/>
      <c r="NAN1" s="67"/>
      <c r="NAO1" s="67"/>
      <c r="NAP1" s="67"/>
      <c r="NAQ1" s="67"/>
      <c r="NAR1" s="68"/>
      <c r="NAS1" s="67"/>
      <c r="NAT1" s="67"/>
      <c r="NAU1" s="67"/>
      <c r="NAV1" s="67"/>
      <c r="NAW1" s="67"/>
      <c r="NAX1" s="67"/>
      <c r="NAY1" s="67"/>
      <c r="NAZ1" s="68"/>
      <c r="NBA1" s="67"/>
      <c r="NBB1" s="67"/>
      <c r="NBC1" s="67"/>
      <c r="NBD1" s="67"/>
      <c r="NBE1" s="67"/>
      <c r="NBF1" s="67"/>
      <c r="NBG1" s="67"/>
      <c r="NBH1" s="68"/>
      <c r="NBI1" s="67"/>
      <c r="NBJ1" s="67"/>
      <c r="NBK1" s="67"/>
      <c r="NBL1" s="67"/>
      <c r="NBM1" s="67"/>
      <c r="NBN1" s="67"/>
      <c r="NBO1" s="67"/>
      <c r="NBP1" s="68"/>
      <c r="NBQ1" s="67"/>
      <c r="NBR1" s="67"/>
      <c r="NBS1" s="67"/>
      <c r="NBT1" s="67"/>
      <c r="NBU1" s="67"/>
      <c r="NBV1" s="67"/>
      <c r="NBW1" s="67"/>
      <c r="NBX1" s="68"/>
      <c r="NBY1" s="67"/>
      <c r="NBZ1" s="67"/>
      <c r="NCA1" s="67"/>
      <c r="NCB1" s="67"/>
      <c r="NCC1" s="67"/>
      <c r="NCD1" s="67"/>
      <c r="NCE1" s="67"/>
      <c r="NCF1" s="68"/>
      <c r="NCG1" s="67"/>
      <c r="NCH1" s="67"/>
      <c r="NCI1" s="67"/>
      <c r="NCJ1" s="67"/>
      <c r="NCK1" s="67"/>
      <c r="NCL1" s="67"/>
      <c r="NCM1" s="67"/>
      <c r="NCN1" s="68"/>
      <c r="NCO1" s="67"/>
      <c r="NCP1" s="67"/>
      <c r="NCQ1" s="67"/>
      <c r="NCR1" s="67"/>
      <c r="NCS1" s="67"/>
      <c r="NCT1" s="67"/>
      <c r="NCU1" s="67"/>
      <c r="NCV1" s="68"/>
      <c r="NCW1" s="67"/>
      <c r="NCX1" s="67"/>
      <c r="NCY1" s="67"/>
      <c r="NCZ1" s="67"/>
      <c r="NDA1" s="67"/>
      <c r="NDB1" s="67"/>
      <c r="NDC1" s="67"/>
      <c r="NDD1" s="68"/>
      <c r="NDE1" s="67"/>
      <c r="NDF1" s="67"/>
      <c r="NDG1" s="67"/>
      <c r="NDH1" s="67"/>
      <c r="NDI1" s="67"/>
      <c r="NDJ1" s="67"/>
      <c r="NDK1" s="67"/>
      <c r="NDL1" s="68"/>
      <c r="NDM1" s="67"/>
      <c r="NDN1" s="67"/>
      <c r="NDO1" s="67"/>
      <c r="NDP1" s="67"/>
      <c r="NDQ1" s="67"/>
      <c r="NDR1" s="67"/>
      <c r="NDS1" s="67"/>
      <c r="NDT1" s="68"/>
      <c r="NDU1" s="67"/>
      <c r="NDV1" s="67"/>
      <c r="NDW1" s="67"/>
      <c r="NDX1" s="67"/>
      <c r="NDY1" s="67"/>
      <c r="NDZ1" s="67"/>
      <c r="NEA1" s="67"/>
      <c r="NEB1" s="68"/>
      <c r="NEC1" s="67"/>
      <c r="NED1" s="67"/>
      <c r="NEE1" s="67"/>
      <c r="NEF1" s="67"/>
      <c r="NEG1" s="67"/>
      <c r="NEH1" s="67"/>
      <c r="NEI1" s="67"/>
      <c r="NEJ1" s="68"/>
      <c r="NEK1" s="67"/>
      <c r="NEL1" s="67"/>
      <c r="NEM1" s="67"/>
      <c r="NEN1" s="67"/>
      <c r="NEO1" s="67"/>
      <c r="NEP1" s="67"/>
      <c r="NEQ1" s="67"/>
      <c r="NER1" s="68"/>
      <c r="NES1" s="67"/>
      <c r="NET1" s="67"/>
      <c r="NEU1" s="67"/>
      <c r="NEV1" s="67"/>
      <c r="NEW1" s="67"/>
      <c r="NEX1" s="67"/>
      <c r="NEY1" s="67"/>
      <c r="NEZ1" s="68"/>
      <c r="NFA1" s="67"/>
      <c r="NFB1" s="67"/>
      <c r="NFC1" s="67"/>
      <c r="NFD1" s="67"/>
      <c r="NFE1" s="67"/>
      <c r="NFF1" s="67"/>
      <c r="NFG1" s="67"/>
      <c r="NFH1" s="68"/>
      <c r="NFI1" s="67"/>
      <c r="NFJ1" s="67"/>
      <c r="NFK1" s="67"/>
      <c r="NFL1" s="67"/>
      <c r="NFM1" s="67"/>
      <c r="NFN1" s="67"/>
      <c r="NFO1" s="67"/>
      <c r="NFP1" s="68"/>
      <c r="NFQ1" s="67"/>
      <c r="NFR1" s="67"/>
      <c r="NFS1" s="67"/>
      <c r="NFT1" s="67"/>
      <c r="NFU1" s="67"/>
      <c r="NFV1" s="67"/>
      <c r="NFW1" s="67"/>
      <c r="NFX1" s="68"/>
      <c r="NFY1" s="67"/>
      <c r="NFZ1" s="67"/>
      <c r="NGA1" s="67"/>
      <c r="NGB1" s="67"/>
      <c r="NGC1" s="67"/>
      <c r="NGD1" s="67"/>
      <c r="NGE1" s="67"/>
      <c r="NGF1" s="68"/>
      <c r="NGG1" s="67"/>
      <c r="NGH1" s="67"/>
      <c r="NGI1" s="67"/>
      <c r="NGJ1" s="67"/>
      <c r="NGK1" s="67"/>
      <c r="NGL1" s="67"/>
      <c r="NGM1" s="67"/>
      <c r="NGN1" s="68"/>
      <c r="NGO1" s="67"/>
      <c r="NGP1" s="67"/>
      <c r="NGQ1" s="67"/>
      <c r="NGR1" s="67"/>
      <c r="NGS1" s="67"/>
      <c r="NGT1" s="67"/>
      <c r="NGU1" s="67"/>
      <c r="NGV1" s="68"/>
      <c r="NGW1" s="67"/>
      <c r="NGX1" s="67"/>
      <c r="NGY1" s="67"/>
      <c r="NGZ1" s="67"/>
      <c r="NHA1" s="67"/>
      <c r="NHB1" s="67"/>
      <c r="NHC1" s="67"/>
      <c r="NHD1" s="68"/>
      <c r="NHE1" s="67"/>
      <c r="NHF1" s="67"/>
      <c r="NHG1" s="67"/>
      <c r="NHH1" s="67"/>
      <c r="NHI1" s="67"/>
      <c r="NHJ1" s="67"/>
      <c r="NHK1" s="67"/>
      <c r="NHL1" s="68"/>
      <c r="NHM1" s="67"/>
      <c r="NHN1" s="67"/>
      <c r="NHO1" s="67"/>
      <c r="NHP1" s="67"/>
      <c r="NHQ1" s="67"/>
      <c r="NHR1" s="67"/>
      <c r="NHS1" s="67"/>
      <c r="NHT1" s="68"/>
      <c r="NHU1" s="67"/>
      <c r="NHV1" s="67"/>
      <c r="NHW1" s="67"/>
      <c r="NHX1" s="67"/>
      <c r="NHY1" s="67"/>
      <c r="NHZ1" s="67"/>
      <c r="NIA1" s="67"/>
      <c r="NIB1" s="68"/>
      <c r="NIC1" s="67"/>
      <c r="NID1" s="67"/>
      <c r="NIE1" s="67"/>
      <c r="NIF1" s="67"/>
      <c r="NIG1" s="67"/>
      <c r="NIH1" s="67"/>
      <c r="NII1" s="67"/>
      <c r="NIJ1" s="68"/>
      <c r="NIK1" s="67"/>
      <c r="NIL1" s="67"/>
      <c r="NIM1" s="67"/>
      <c r="NIN1" s="67"/>
      <c r="NIO1" s="67"/>
      <c r="NIP1" s="67"/>
      <c r="NIQ1" s="67"/>
      <c r="NIR1" s="68"/>
      <c r="NIS1" s="67"/>
      <c r="NIT1" s="67"/>
      <c r="NIU1" s="67"/>
      <c r="NIV1" s="67"/>
      <c r="NIW1" s="67"/>
      <c r="NIX1" s="67"/>
      <c r="NIY1" s="67"/>
      <c r="NIZ1" s="68"/>
      <c r="NJA1" s="67"/>
      <c r="NJB1" s="67"/>
      <c r="NJC1" s="67"/>
      <c r="NJD1" s="67"/>
      <c r="NJE1" s="67"/>
      <c r="NJF1" s="67"/>
      <c r="NJG1" s="67"/>
      <c r="NJH1" s="68"/>
      <c r="NJI1" s="67"/>
      <c r="NJJ1" s="67"/>
      <c r="NJK1" s="67"/>
      <c r="NJL1" s="67"/>
      <c r="NJM1" s="67"/>
      <c r="NJN1" s="67"/>
      <c r="NJO1" s="67"/>
      <c r="NJP1" s="68"/>
      <c r="NJQ1" s="67"/>
      <c r="NJR1" s="67"/>
      <c r="NJS1" s="67"/>
      <c r="NJT1" s="67"/>
      <c r="NJU1" s="67"/>
      <c r="NJV1" s="67"/>
      <c r="NJW1" s="67"/>
      <c r="NJX1" s="68"/>
      <c r="NJY1" s="67"/>
      <c r="NJZ1" s="67"/>
      <c r="NKA1" s="67"/>
      <c r="NKB1" s="67"/>
      <c r="NKC1" s="67"/>
      <c r="NKD1" s="67"/>
      <c r="NKE1" s="67"/>
      <c r="NKF1" s="68"/>
      <c r="NKG1" s="67"/>
      <c r="NKH1" s="67"/>
      <c r="NKI1" s="67"/>
      <c r="NKJ1" s="67"/>
      <c r="NKK1" s="67"/>
      <c r="NKL1" s="67"/>
      <c r="NKM1" s="67"/>
      <c r="NKN1" s="68"/>
      <c r="NKO1" s="67"/>
      <c r="NKP1" s="67"/>
      <c r="NKQ1" s="67"/>
      <c r="NKR1" s="67"/>
      <c r="NKS1" s="67"/>
      <c r="NKT1" s="67"/>
      <c r="NKU1" s="67"/>
      <c r="NKV1" s="68"/>
      <c r="NKW1" s="67"/>
      <c r="NKX1" s="67"/>
      <c r="NKY1" s="67"/>
      <c r="NKZ1" s="67"/>
      <c r="NLA1" s="67"/>
      <c r="NLB1" s="67"/>
      <c r="NLC1" s="67"/>
      <c r="NLD1" s="68"/>
      <c r="NLE1" s="67"/>
      <c r="NLF1" s="67"/>
      <c r="NLG1" s="67"/>
      <c r="NLH1" s="67"/>
      <c r="NLI1" s="67"/>
      <c r="NLJ1" s="67"/>
      <c r="NLK1" s="67"/>
      <c r="NLL1" s="68"/>
      <c r="NLM1" s="67"/>
      <c r="NLN1" s="67"/>
      <c r="NLO1" s="67"/>
      <c r="NLP1" s="67"/>
      <c r="NLQ1" s="67"/>
      <c r="NLR1" s="67"/>
      <c r="NLS1" s="67"/>
      <c r="NLT1" s="68"/>
      <c r="NLU1" s="67"/>
      <c r="NLV1" s="67"/>
      <c r="NLW1" s="67"/>
      <c r="NLX1" s="67"/>
      <c r="NLY1" s="67"/>
      <c r="NLZ1" s="67"/>
      <c r="NMA1" s="67"/>
      <c r="NMB1" s="68"/>
      <c r="NMC1" s="67"/>
      <c r="NMD1" s="67"/>
      <c r="NME1" s="67"/>
      <c r="NMF1" s="67"/>
      <c r="NMG1" s="67"/>
      <c r="NMH1" s="67"/>
      <c r="NMI1" s="67"/>
      <c r="NMJ1" s="68"/>
      <c r="NMK1" s="67"/>
      <c r="NML1" s="67"/>
      <c r="NMM1" s="67"/>
      <c r="NMN1" s="67"/>
      <c r="NMO1" s="67"/>
      <c r="NMP1" s="67"/>
      <c r="NMQ1" s="67"/>
      <c r="NMR1" s="68"/>
      <c r="NMS1" s="67"/>
      <c r="NMT1" s="67"/>
      <c r="NMU1" s="67"/>
      <c r="NMV1" s="67"/>
      <c r="NMW1" s="67"/>
      <c r="NMX1" s="67"/>
      <c r="NMY1" s="67"/>
      <c r="NMZ1" s="68"/>
      <c r="NNA1" s="67"/>
      <c r="NNB1" s="67"/>
      <c r="NNC1" s="67"/>
      <c r="NND1" s="67"/>
      <c r="NNE1" s="67"/>
      <c r="NNF1" s="67"/>
      <c r="NNG1" s="67"/>
      <c r="NNH1" s="68"/>
      <c r="NNI1" s="67"/>
      <c r="NNJ1" s="67"/>
      <c r="NNK1" s="67"/>
      <c r="NNL1" s="67"/>
      <c r="NNM1" s="67"/>
      <c r="NNN1" s="67"/>
      <c r="NNO1" s="67"/>
      <c r="NNP1" s="68"/>
      <c r="NNQ1" s="67"/>
      <c r="NNR1" s="67"/>
      <c r="NNS1" s="67"/>
      <c r="NNT1" s="67"/>
      <c r="NNU1" s="67"/>
      <c r="NNV1" s="67"/>
      <c r="NNW1" s="67"/>
      <c r="NNX1" s="68"/>
      <c r="NNY1" s="67"/>
      <c r="NNZ1" s="67"/>
      <c r="NOA1" s="67"/>
      <c r="NOB1" s="67"/>
      <c r="NOC1" s="67"/>
      <c r="NOD1" s="67"/>
      <c r="NOE1" s="67"/>
      <c r="NOF1" s="68"/>
      <c r="NOG1" s="67"/>
      <c r="NOH1" s="67"/>
      <c r="NOI1" s="67"/>
      <c r="NOJ1" s="67"/>
      <c r="NOK1" s="67"/>
      <c r="NOL1" s="67"/>
      <c r="NOM1" s="67"/>
      <c r="NON1" s="68"/>
      <c r="NOO1" s="67"/>
      <c r="NOP1" s="67"/>
      <c r="NOQ1" s="67"/>
      <c r="NOR1" s="67"/>
      <c r="NOS1" s="67"/>
      <c r="NOT1" s="67"/>
      <c r="NOU1" s="67"/>
      <c r="NOV1" s="68"/>
      <c r="NOW1" s="67"/>
      <c r="NOX1" s="67"/>
      <c r="NOY1" s="67"/>
      <c r="NOZ1" s="67"/>
      <c r="NPA1" s="67"/>
      <c r="NPB1" s="67"/>
      <c r="NPC1" s="67"/>
      <c r="NPD1" s="68"/>
      <c r="NPE1" s="67"/>
      <c r="NPF1" s="67"/>
      <c r="NPG1" s="67"/>
      <c r="NPH1" s="67"/>
      <c r="NPI1" s="67"/>
      <c r="NPJ1" s="67"/>
      <c r="NPK1" s="67"/>
      <c r="NPL1" s="68"/>
      <c r="NPM1" s="67"/>
      <c r="NPN1" s="67"/>
      <c r="NPO1" s="67"/>
      <c r="NPP1" s="67"/>
      <c r="NPQ1" s="67"/>
      <c r="NPR1" s="67"/>
      <c r="NPS1" s="67"/>
      <c r="NPT1" s="68"/>
      <c r="NPU1" s="67"/>
      <c r="NPV1" s="67"/>
      <c r="NPW1" s="67"/>
      <c r="NPX1" s="67"/>
      <c r="NPY1" s="67"/>
      <c r="NPZ1" s="67"/>
      <c r="NQA1" s="67"/>
      <c r="NQB1" s="68"/>
      <c r="NQC1" s="67"/>
      <c r="NQD1" s="67"/>
      <c r="NQE1" s="67"/>
      <c r="NQF1" s="67"/>
      <c r="NQG1" s="67"/>
      <c r="NQH1" s="67"/>
      <c r="NQI1" s="67"/>
      <c r="NQJ1" s="68"/>
      <c r="NQK1" s="67"/>
      <c r="NQL1" s="67"/>
      <c r="NQM1" s="67"/>
      <c r="NQN1" s="67"/>
      <c r="NQO1" s="67"/>
      <c r="NQP1" s="67"/>
      <c r="NQQ1" s="67"/>
      <c r="NQR1" s="68"/>
      <c r="NQS1" s="67"/>
      <c r="NQT1" s="67"/>
      <c r="NQU1" s="67"/>
      <c r="NQV1" s="67"/>
      <c r="NQW1" s="67"/>
      <c r="NQX1" s="67"/>
      <c r="NQY1" s="67"/>
      <c r="NQZ1" s="68"/>
      <c r="NRA1" s="67"/>
      <c r="NRB1" s="67"/>
      <c r="NRC1" s="67"/>
      <c r="NRD1" s="67"/>
      <c r="NRE1" s="67"/>
      <c r="NRF1" s="67"/>
      <c r="NRG1" s="67"/>
      <c r="NRH1" s="68"/>
      <c r="NRI1" s="67"/>
      <c r="NRJ1" s="67"/>
      <c r="NRK1" s="67"/>
      <c r="NRL1" s="67"/>
      <c r="NRM1" s="67"/>
      <c r="NRN1" s="67"/>
      <c r="NRO1" s="67"/>
      <c r="NRP1" s="68"/>
      <c r="NRQ1" s="67"/>
      <c r="NRR1" s="67"/>
      <c r="NRS1" s="67"/>
      <c r="NRT1" s="67"/>
      <c r="NRU1" s="67"/>
      <c r="NRV1" s="67"/>
      <c r="NRW1" s="67"/>
      <c r="NRX1" s="68"/>
      <c r="NRY1" s="67"/>
      <c r="NRZ1" s="67"/>
      <c r="NSA1" s="67"/>
      <c r="NSB1" s="67"/>
      <c r="NSC1" s="67"/>
      <c r="NSD1" s="67"/>
      <c r="NSE1" s="67"/>
      <c r="NSF1" s="68"/>
      <c r="NSG1" s="67"/>
      <c r="NSH1" s="67"/>
      <c r="NSI1" s="67"/>
      <c r="NSJ1" s="67"/>
      <c r="NSK1" s="67"/>
      <c r="NSL1" s="67"/>
      <c r="NSM1" s="67"/>
      <c r="NSN1" s="68"/>
      <c r="NSO1" s="67"/>
      <c r="NSP1" s="67"/>
      <c r="NSQ1" s="67"/>
      <c r="NSR1" s="67"/>
      <c r="NSS1" s="67"/>
      <c r="NST1" s="67"/>
      <c r="NSU1" s="67"/>
      <c r="NSV1" s="68"/>
      <c r="NSW1" s="67"/>
      <c r="NSX1" s="67"/>
      <c r="NSY1" s="67"/>
      <c r="NSZ1" s="67"/>
      <c r="NTA1" s="67"/>
      <c r="NTB1" s="67"/>
      <c r="NTC1" s="67"/>
      <c r="NTD1" s="68"/>
      <c r="NTE1" s="67"/>
      <c r="NTF1" s="67"/>
      <c r="NTG1" s="67"/>
      <c r="NTH1" s="67"/>
      <c r="NTI1" s="67"/>
      <c r="NTJ1" s="67"/>
      <c r="NTK1" s="67"/>
      <c r="NTL1" s="68"/>
      <c r="NTM1" s="67"/>
      <c r="NTN1" s="67"/>
      <c r="NTO1" s="67"/>
      <c r="NTP1" s="67"/>
      <c r="NTQ1" s="67"/>
      <c r="NTR1" s="67"/>
      <c r="NTS1" s="67"/>
      <c r="NTT1" s="68"/>
      <c r="NTU1" s="67"/>
      <c r="NTV1" s="67"/>
      <c r="NTW1" s="67"/>
      <c r="NTX1" s="67"/>
      <c r="NTY1" s="67"/>
      <c r="NTZ1" s="67"/>
      <c r="NUA1" s="67"/>
      <c r="NUB1" s="68"/>
      <c r="NUC1" s="67"/>
      <c r="NUD1" s="67"/>
      <c r="NUE1" s="67"/>
      <c r="NUF1" s="67"/>
      <c r="NUG1" s="67"/>
      <c r="NUH1" s="67"/>
      <c r="NUI1" s="67"/>
      <c r="NUJ1" s="68"/>
      <c r="NUK1" s="67"/>
      <c r="NUL1" s="67"/>
      <c r="NUM1" s="67"/>
      <c r="NUN1" s="67"/>
      <c r="NUO1" s="67"/>
      <c r="NUP1" s="67"/>
      <c r="NUQ1" s="67"/>
      <c r="NUR1" s="68"/>
      <c r="NUS1" s="67"/>
      <c r="NUT1" s="67"/>
      <c r="NUU1" s="67"/>
      <c r="NUV1" s="67"/>
      <c r="NUW1" s="67"/>
      <c r="NUX1" s="67"/>
      <c r="NUY1" s="67"/>
      <c r="NUZ1" s="68"/>
      <c r="NVA1" s="67"/>
      <c r="NVB1" s="67"/>
      <c r="NVC1" s="67"/>
      <c r="NVD1" s="67"/>
      <c r="NVE1" s="67"/>
      <c r="NVF1" s="67"/>
      <c r="NVG1" s="67"/>
      <c r="NVH1" s="68"/>
      <c r="NVI1" s="67"/>
      <c r="NVJ1" s="67"/>
      <c r="NVK1" s="67"/>
      <c r="NVL1" s="67"/>
      <c r="NVM1" s="67"/>
      <c r="NVN1" s="67"/>
      <c r="NVO1" s="67"/>
      <c r="NVP1" s="68"/>
      <c r="NVQ1" s="67"/>
      <c r="NVR1" s="67"/>
      <c r="NVS1" s="67"/>
      <c r="NVT1" s="67"/>
      <c r="NVU1" s="67"/>
      <c r="NVV1" s="67"/>
      <c r="NVW1" s="67"/>
      <c r="NVX1" s="68"/>
      <c r="NVY1" s="67"/>
      <c r="NVZ1" s="67"/>
      <c r="NWA1" s="67"/>
      <c r="NWB1" s="67"/>
      <c r="NWC1" s="67"/>
      <c r="NWD1" s="67"/>
      <c r="NWE1" s="67"/>
      <c r="NWF1" s="68"/>
      <c r="NWG1" s="67"/>
      <c r="NWH1" s="67"/>
      <c r="NWI1" s="67"/>
      <c r="NWJ1" s="67"/>
      <c r="NWK1" s="67"/>
      <c r="NWL1" s="67"/>
      <c r="NWM1" s="67"/>
      <c r="NWN1" s="68"/>
      <c r="NWO1" s="67"/>
      <c r="NWP1" s="67"/>
      <c r="NWQ1" s="67"/>
      <c r="NWR1" s="67"/>
      <c r="NWS1" s="67"/>
      <c r="NWT1" s="67"/>
      <c r="NWU1" s="67"/>
      <c r="NWV1" s="68"/>
      <c r="NWW1" s="67"/>
      <c r="NWX1" s="67"/>
      <c r="NWY1" s="67"/>
      <c r="NWZ1" s="67"/>
      <c r="NXA1" s="67"/>
      <c r="NXB1" s="67"/>
      <c r="NXC1" s="67"/>
      <c r="NXD1" s="68"/>
      <c r="NXE1" s="67"/>
      <c r="NXF1" s="67"/>
      <c r="NXG1" s="67"/>
      <c r="NXH1" s="67"/>
      <c r="NXI1" s="67"/>
      <c r="NXJ1" s="67"/>
      <c r="NXK1" s="67"/>
      <c r="NXL1" s="68"/>
      <c r="NXM1" s="67"/>
      <c r="NXN1" s="67"/>
      <c r="NXO1" s="67"/>
      <c r="NXP1" s="67"/>
      <c r="NXQ1" s="67"/>
      <c r="NXR1" s="67"/>
      <c r="NXS1" s="67"/>
      <c r="NXT1" s="68"/>
      <c r="NXU1" s="67"/>
      <c r="NXV1" s="67"/>
      <c r="NXW1" s="67"/>
      <c r="NXX1" s="67"/>
      <c r="NXY1" s="67"/>
      <c r="NXZ1" s="67"/>
      <c r="NYA1" s="67"/>
      <c r="NYB1" s="68"/>
      <c r="NYC1" s="67"/>
      <c r="NYD1" s="67"/>
      <c r="NYE1" s="67"/>
      <c r="NYF1" s="67"/>
      <c r="NYG1" s="67"/>
      <c r="NYH1" s="67"/>
      <c r="NYI1" s="67"/>
      <c r="NYJ1" s="68"/>
      <c r="NYK1" s="67"/>
      <c r="NYL1" s="67"/>
      <c r="NYM1" s="67"/>
      <c r="NYN1" s="67"/>
      <c r="NYO1" s="67"/>
      <c r="NYP1" s="67"/>
      <c r="NYQ1" s="67"/>
      <c r="NYR1" s="68"/>
      <c r="NYS1" s="67"/>
      <c r="NYT1" s="67"/>
      <c r="NYU1" s="67"/>
      <c r="NYV1" s="67"/>
      <c r="NYW1" s="67"/>
      <c r="NYX1" s="67"/>
      <c r="NYY1" s="67"/>
      <c r="NYZ1" s="68"/>
      <c r="NZA1" s="67"/>
      <c r="NZB1" s="67"/>
      <c r="NZC1" s="67"/>
      <c r="NZD1" s="67"/>
      <c r="NZE1" s="67"/>
      <c r="NZF1" s="67"/>
      <c r="NZG1" s="67"/>
      <c r="NZH1" s="68"/>
      <c r="NZI1" s="67"/>
      <c r="NZJ1" s="67"/>
      <c r="NZK1" s="67"/>
      <c r="NZL1" s="67"/>
      <c r="NZM1" s="67"/>
      <c r="NZN1" s="67"/>
      <c r="NZO1" s="67"/>
      <c r="NZP1" s="68"/>
      <c r="NZQ1" s="67"/>
      <c r="NZR1" s="67"/>
      <c r="NZS1" s="67"/>
      <c r="NZT1" s="67"/>
      <c r="NZU1" s="67"/>
      <c r="NZV1" s="67"/>
      <c r="NZW1" s="67"/>
      <c r="NZX1" s="68"/>
      <c r="NZY1" s="67"/>
      <c r="NZZ1" s="67"/>
      <c r="OAA1" s="67"/>
      <c r="OAB1" s="67"/>
      <c r="OAC1" s="67"/>
      <c r="OAD1" s="67"/>
      <c r="OAE1" s="67"/>
      <c r="OAF1" s="68"/>
      <c r="OAG1" s="67"/>
      <c r="OAH1" s="67"/>
      <c r="OAI1" s="67"/>
      <c r="OAJ1" s="67"/>
      <c r="OAK1" s="67"/>
      <c r="OAL1" s="67"/>
      <c r="OAM1" s="67"/>
      <c r="OAN1" s="68"/>
      <c r="OAO1" s="67"/>
      <c r="OAP1" s="67"/>
      <c r="OAQ1" s="67"/>
      <c r="OAR1" s="67"/>
      <c r="OAS1" s="67"/>
      <c r="OAT1" s="67"/>
      <c r="OAU1" s="67"/>
      <c r="OAV1" s="68"/>
      <c r="OAW1" s="67"/>
      <c r="OAX1" s="67"/>
      <c r="OAY1" s="67"/>
      <c r="OAZ1" s="67"/>
      <c r="OBA1" s="67"/>
      <c r="OBB1" s="67"/>
      <c r="OBC1" s="67"/>
      <c r="OBD1" s="68"/>
      <c r="OBE1" s="67"/>
      <c r="OBF1" s="67"/>
      <c r="OBG1" s="67"/>
      <c r="OBH1" s="67"/>
      <c r="OBI1" s="67"/>
      <c r="OBJ1" s="67"/>
      <c r="OBK1" s="67"/>
      <c r="OBL1" s="68"/>
      <c r="OBM1" s="67"/>
      <c r="OBN1" s="67"/>
      <c r="OBO1" s="67"/>
      <c r="OBP1" s="67"/>
      <c r="OBQ1" s="67"/>
      <c r="OBR1" s="67"/>
      <c r="OBS1" s="67"/>
      <c r="OBT1" s="68"/>
      <c r="OBU1" s="67"/>
      <c r="OBV1" s="67"/>
      <c r="OBW1" s="67"/>
      <c r="OBX1" s="67"/>
      <c r="OBY1" s="67"/>
      <c r="OBZ1" s="67"/>
      <c r="OCA1" s="67"/>
      <c r="OCB1" s="68"/>
      <c r="OCC1" s="67"/>
      <c r="OCD1" s="67"/>
      <c r="OCE1" s="67"/>
      <c r="OCF1" s="67"/>
      <c r="OCG1" s="67"/>
      <c r="OCH1" s="67"/>
      <c r="OCI1" s="67"/>
      <c r="OCJ1" s="68"/>
      <c r="OCK1" s="67"/>
      <c r="OCL1" s="67"/>
      <c r="OCM1" s="67"/>
      <c r="OCN1" s="67"/>
      <c r="OCO1" s="67"/>
      <c r="OCP1" s="67"/>
      <c r="OCQ1" s="67"/>
      <c r="OCR1" s="68"/>
      <c r="OCS1" s="67"/>
      <c r="OCT1" s="67"/>
      <c r="OCU1" s="67"/>
      <c r="OCV1" s="67"/>
      <c r="OCW1" s="67"/>
      <c r="OCX1" s="67"/>
      <c r="OCY1" s="67"/>
      <c r="OCZ1" s="68"/>
      <c r="ODA1" s="67"/>
      <c r="ODB1" s="67"/>
      <c r="ODC1" s="67"/>
      <c r="ODD1" s="67"/>
      <c r="ODE1" s="67"/>
      <c r="ODF1" s="67"/>
      <c r="ODG1" s="67"/>
      <c r="ODH1" s="68"/>
      <c r="ODI1" s="67"/>
      <c r="ODJ1" s="67"/>
      <c r="ODK1" s="67"/>
      <c r="ODL1" s="67"/>
      <c r="ODM1" s="67"/>
      <c r="ODN1" s="67"/>
      <c r="ODO1" s="67"/>
      <c r="ODP1" s="68"/>
      <c r="ODQ1" s="67"/>
      <c r="ODR1" s="67"/>
      <c r="ODS1" s="67"/>
      <c r="ODT1" s="67"/>
      <c r="ODU1" s="67"/>
      <c r="ODV1" s="67"/>
      <c r="ODW1" s="67"/>
      <c r="ODX1" s="68"/>
      <c r="ODY1" s="67"/>
      <c r="ODZ1" s="67"/>
      <c r="OEA1" s="67"/>
      <c r="OEB1" s="67"/>
      <c r="OEC1" s="67"/>
      <c r="OED1" s="67"/>
      <c r="OEE1" s="67"/>
      <c r="OEF1" s="68"/>
      <c r="OEG1" s="67"/>
      <c r="OEH1" s="67"/>
      <c r="OEI1" s="67"/>
      <c r="OEJ1" s="67"/>
      <c r="OEK1" s="67"/>
      <c r="OEL1" s="67"/>
      <c r="OEM1" s="67"/>
      <c r="OEN1" s="68"/>
      <c r="OEO1" s="67"/>
      <c r="OEP1" s="67"/>
      <c r="OEQ1" s="67"/>
      <c r="OER1" s="67"/>
      <c r="OES1" s="67"/>
      <c r="OET1" s="67"/>
      <c r="OEU1" s="67"/>
      <c r="OEV1" s="68"/>
      <c r="OEW1" s="67"/>
      <c r="OEX1" s="67"/>
      <c r="OEY1" s="67"/>
      <c r="OEZ1" s="67"/>
      <c r="OFA1" s="67"/>
      <c r="OFB1" s="67"/>
      <c r="OFC1" s="67"/>
      <c r="OFD1" s="68"/>
      <c r="OFE1" s="67"/>
      <c r="OFF1" s="67"/>
      <c r="OFG1" s="67"/>
      <c r="OFH1" s="67"/>
      <c r="OFI1" s="67"/>
      <c r="OFJ1" s="67"/>
      <c r="OFK1" s="67"/>
      <c r="OFL1" s="68"/>
      <c r="OFM1" s="67"/>
      <c r="OFN1" s="67"/>
      <c r="OFO1" s="67"/>
      <c r="OFP1" s="67"/>
      <c r="OFQ1" s="67"/>
      <c r="OFR1" s="67"/>
      <c r="OFS1" s="67"/>
      <c r="OFT1" s="68"/>
      <c r="OFU1" s="67"/>
      <c r="OFV1" s="67"/>
      <c r="OFW1" s="67"/>
      <c r="OFX1" s="67"/>
      <c r="OFY1" s="67"/>
      <c r="OFZ1" s="67"/>
      <c r="OGA1" s="67"/>
      <c r="OGB1" s="68"/>
      <c r="OGC1" s="67"/>
      <c r="OGD1" s="67"/>
      <c r="OGE1" s="67"/>
      <c r="OGF1" s="67"/>
      <c r="OGG1" s="67"/>
      <c r="OGH1" s="67"/>
      <c r="OGI1" s="67"/>
      <c r="OGJ1" s="68"/>
      <c r="OGK1" s="67"/>
      <c r="OGL1" s="67"/>
      <c r="OGM1" s="67"/>
      <c r="OGN1" s="67"/>
      <c r="OGO1" s="67"/>
      <c r="OGP1" s="67"/>
      <c r="OGQ1" s="67"/>
      <c r="OGR1" s="68"/>
      <c r="OGS1" s="67"/>
      <c r="OGT1" s="67"/>
      <c r="OGU1" s="67"/>
      <c r="OGV1" s="67"/>
      <c r="OGW1" s="67"/>
      <c r="OGX1" s="67"/>
      <c r="OGY1" s="67"/>
      <c r="OGZ1" s="68"/>
      <c r="OHA1" s="67"/>
      <c r="OHB1" s="67"/>
      <c r="OHC1" s="67"/>
      <c r="OHD1" s="67"/>
      <c r="OHE1" s="67"/>
      <c r="OHF1" s="67"/>
      <c r="OHG1" s="67"/>
      <c r="OHH1" s="68"/>
      <c r="OHI1" s="67"/>
      <c r="OHJ1" s="67"/>
      <c r="OHK1" s="67"/>
      <c r="OHL1" s="67"/>
      <c r="OHM1" s="67"/>
      <c r="OHN1" s="67"/>
      <c r="OHO1" s="67"/>
      <c r="OHP1" s="68"/>
      <c r="OHQ1" s="67"/>
      <c r="OHR1" s="67"/>
      <c r="OHS1" s="67"/>
      <c r="OHT1" s="67"/>
      <c r="OHU1" s="67"/>
      <c r="OHV1" s="67"/>
      <c r="OHW1" s="67"/>
      <c r="OHX1" s="68"/>
      <c r="OHY1" s="67"/>
      <c r="OHZ1" s="67"/>
      <c r="OIA1" s="67"/>
      <c r="OIB1" s="67"/>
      <c r="OIC1" s="67"/>
      <c r="OID1" s="67"/>
      <c r="OIE1" s="67"/>
      <c r="OIF1" s="68"/>
      <c r="OIG1" s="67"/>
      <c r="OIH1" s="67"/>
      <c r="OII1" s="67"/>
      <c r="OIJ1" s="67"/>
      <c r="OIK1" s="67"/>
      <c r="OIL1" s="67"/>
      <c r="OIM1" s="67"/>
      <c r="OIN1" s="68"/>
      <c r="OIO1" s="67"/>
      <c r="OIP1" s="67"/>
      <c r="OIQ1" s="67"/>
      <c r="OIR1" s="67"/>
      <c r="OIS1" s="67"/>
      <c r="OIT1" s="67"/>
      <c r="OIU1" s="67"/>
      <c r="OIV1" s="68"/>
      <c r="OIW1" s="67"/>
      <c r="OIX1" s="67"/>
      <c r="OIY1" s="67"/>
      <c r="OIZ1" s="67"/>
      <c r="OJA1" s="67"/>
      <c r="OJB1" s="67"/>
      <c r="OJC1" s="67"/>
      <c r="OJD1" s="68"/>
      <c r="OJE1" s="67"/>
      <c r="OJF1" s="67"/>
      <c r="OJG1" s="67"/>
      <c r="OJH1" s="67"/>
      <c r="OJI1" s="67"/>
      <c r="OJJ1" s="67"/>
      <c r="OJK1" s="67"/>
      <c r="OJL1" s="68"/>
      <c r="OJM1" s="67"/>
      <c r="OJN1" s="67"/>
      <c r="OJO1" s="67"/>
      <c r="OJP1" s="67"/>
      <c r="OJQ1" s="67"/>
      <c r="OJR1" s="67"/>
      <c r="OJS1" s="67"/>
      <c r="OJT1" s="68"/>
      <c r="OJU1" s="67"/>
      <c r="OJV1" s="67"/>
      <c r="OJW1" s="67"/>
      <c r="OJX1" s="67"/>
      <c r="OJY1" s="67"/>
      <c r="OJZ1" s="67"/>
      <c r="OKA1" s="67"/>
      <c r="OKB1" s="68"/>
      <c r="OKC1" s="67"/>
      <c r="OKD1" s="67"/>
      <c r="OKE1" s="67"/>
      <c r="OKF1" s="67"/>
      <c r="OKG1" s="67"/>
      <c r="OKH1" s="67"/>
      <c r="OKI1" s="67"/>
      <c r="OKJ1" s="68"/>
      <c r="OKK1" s="67"/>
      <c r="OKL1" s="67"/>
      <c r="OKM1" s="67"/>
      <c r="OKN1" s="67"/>
      <c r="OKO1" s="67"/>
      <c r="OKP1" s="67"/>
      <c r="OKQ1" s="67"/>
      <c r="OKR1" s="68"/>
      <c r="OKS1" s="67"/>
      <c r="OKT1" s="67"/>
      <c r="OKU1" s="67"/>
      <c r="OKV1" s="67"/>
      <c r="OKW1" s="67"/>
      <c r="OKX1" s="67"/>
      <c r="OKY1" s="67"/>
      <c r="OKZ1" s="68"/>
      <c r="OLA1" s="67"/>
      <c r="OLB1" s="67"/>
      <c r="OLC1" s="67"/>
      <c r="OLD1" s="67"/>
      <c r="OLE1" s="67"/>
      <c r="OLF1" s="67"/>
      <c r="OLG1" s="67"/>
      <c r="OLH1" s="68"/>
      <c r="OLI1" s="67"/>
      <c r="OLJ1" s="67"/>
      <c r="OLK1" s="67"/>
      <c r="OLL1" s="67"/>
      <c r="OLM1" s="67"/>
      <c r="OLN1" s="67"/>
      <c r="OLO1" s="67"/>
      <c r="OLP1" s="68"/>
      <c r="OLQ1" s="67"/>
      <c r="OLR1" s="67"/>
      <c r="OLS1" s="67"/>
      <c r="OLT1" s="67"/>
      <c r="OLU1" s="67"/>
      <c r="OLV1" s="67"/>
      <c r="OLW1" s="67"/>
      <c r="OLX1" s="68"/>
      <c r="OLY1" s="67"/>
      <c r="OLZ1" s="67"/>
      <c r="OMA1" s="67"/>
      <c r="OMB1" s="67"/>
      <c r="OMC1" s="67"/>
      <c r="OMD1" s="67"/>
      <c r="OME1" s="67"/>
      <c r="OMF1" s="68"/>
      <c r="OMG1" s="67"/>
      <c r="OMH1" s="67"/>
      <c r="OMI1" s="67"/>
      <c r="OMJ1" s="67"/>
      <c r="OMK1" s="67"/>
      <c r="OML1" s="67"/>
      <c r="OMM1" s="67"/>
      <c r="OMN1" s="68"/>
      <c r="OMO1" s="67"/>
      <c r="OMP1" s="67"/>
      <c r="OMQ1" s="67"/>
      <c r="OMR1" s="67"/>
      <c r="OMS1" s="67"/>
      <c r="OMT1" s="67"/>
      <c r="OMU1" s="67"/>
      <c r="OMV1" s="68"/>
      <c r="OMW1" s="67"/>
      <c r="OMX1" s="67"/>
      <c r="OMY1" s="67"/>
      <c r="OMZ1" s="67"/>
      <c r="ONA1" s="67"/>
      <c r="ONB1" s="67"/>
      <c r="ONC1" s="67"/>
      <c r="OND1" s="68"/>
      <c r="ONE1" s="67"/>
      <c r="ONF1" s="67"/>
      <c r="ONG1" s="67"/>
      <c r="ONH1" s="67"/>
      <c r="ONI1" s="67"/>
      <c r="ONJ1" s="67"/>
      <c r="ONK1" s="67"/>
      <c r="ONL1" s="68"/>
      <c r="ONM1" s="67"/>
      <c r="ONN1" s="67"/>
      <c r="ONO1" s="67"/>
      <c r="ONP1" s="67"/>
      <c r="ONQ1" s="67"/>
      <c r="ONR1" s="67"/>
      <c r="ONS1" s="67"/>
      <c r="ONT1" s="68"/>
      <c r="ONU1" s="67"/>
      <c r="ONV1" s="67"/>
      <c r="ONW1" s="67"/>
      <c r="ONX1" s="67"/>
      <c r="ONY1" s="67"/>
      <c r="ONZ1" s="67"/>
      <c r="OOA1" s="67"/>
      <c r="OOB1" s="68"/>
      <c r="OOC1" s="67"/>
      <c r="OOD1" s="67"/>
      <c r="OOE1" s="67"/>
      <c r="OOF1" s="67"/>
      <c r="OOG1" s="67"/>
      <c r="OOH1" s="67"/>
      <c r="OOI1" s="67"/>
      <c r="OOJ1" s="68"/>
      <c r="OOK1" s="67"/>
      <c r="OOL1" s="67"/>
      <c r="OOM1" s="67"/>
      <c r="OON1" s="67"/>
      <c r="OOO1" s="67"/>
      <c r="OOP1" s="67"/>
      <c r="OOQ1" s="67"/>
      <c r="OOR1" s="68"/>
      <c r="OOS1" s="67"/>
      <c r="OOT1" s="67"/>
      <c r="OOU1" s="67"/>
      <c r="OOV1" s="67"/>
      <c r="OOW1" s="67"/>
      <c r="OOX1" s="67"/>
      <c r="OOY1" s="67"/>
      <c r="OOZ1" s="68"/>
      <c r="OPA1" s="67"/>
      <c r="OPB1" s="67"/>
      <c r="OPC1" s="67"/>
      <c r="OPD1" s="67"/>
      <c r="OPE1" s="67"/>
      <c r="OPF1" s="67"/>
      <c r="OPG1" s="67"/>
      <c r="OPH1" s="68"/>
      <c r="OPI1" s="67"/>
      <c r="OPJ1" s="67"/>
      <c r="OPK1" s="67"/>
      <c r="OPL1" s="67"/>
      <c r="OPM1" s="67"/>
      <c r="OPN1" s="67"/>
      <c r="OPO1" s="67"/>
      <c r="OPP1" s="68"/>
      <c r="OPQ1" s="67"/>
      <c r="OPR1" s="67"/>
      <c r="OPS1" s="67"/>
      <c r="OPT1" s="67"/>
      <c r="OPU1" s="67"/>
      <c r="OPV1" s="67"/>
      <c r="OPW1" s="67"/>
      <c r="OPX1" s="68"/>
      <c r="OPY1" s="67"/>
      <c r="OPZ1" s="67"/>
      <c r="OQA1" s="67"/>
      <c r="OQB1" s="67"/>
      <c r="OQC1" s="67"/>
      <c r="OQD1" s="67"/>
      <c r="OQE1" s="67"/>
      <c r="OQF1" s="68"/>
      <c r="OQG1" s="67"/>
      <c r="OQH1" s="67"/>
      <c r="OQI1" s="67"/>
      <c r="OQJ1" s="67"/>
      <c r="OQK1" s="67"/>
      <c r="OQL1" s="67"/>
      <c r="OQM1" s="67"/>
      <c r="OQN1" s="68"/>
      <c r="OQO1" s="67"/>
      <c r="OQP1" s="67"/>
      <c r="OQQ1" s="67"/>
      <c r="OQR1" s="67"/>
      <c r="OQS1" s="67"/>
      <c r="OQT1" s="67"/>
      <c r="OQU1" s="67"/>
      <c r="OQV1" s="68"/>
      <c r="OQW1" s="67"/>
      <c r="OQX1" s="67"/>
      <c r="OQY1" s="67"/>
      <c r="OQZ1" s="67"/>
      <c r="ORA1" s="67"/>
      <c r="ORB1" s="67"/>
      <c r="ORC1" s="67"/>
      <c r="ORD1" s="68"/>
      <c r="ORE1" s="67"/>
      <c r="ORF1" s="67"/>
      <c r="ORG1" s="67"/>
      <c r="ORH1" s="67"/>
      <c r="ORI1" s="67"/>
      <c r="ORJ1" s="67"/>
      <c r="ORK1" s="67"/>
      <c r="ORL1" s="68"/>
      <c r="ORM1" s="67"/>
      <c r="ORN1" s="67"/>
      <c r="ORO1" s="67"/>
      <c r="ORP1" s="67"/>
      <c r="ORQ1" s="67"/>
      <c r="ORR1" s="67"/>
      <c r="ORS1" s="67"/>
      <c r="ORT1" s="68"/>
      <c r="ORU1" s="67"/>
      <c r="ORV1" s="67"/>
      <c r="ORW1" s="67"/>
      <c r="ORX1" s="67"/>
      <c r="ORY1" s="67"/>
      <c r="ORZ1" s="67"/>
      <c r="OSA1" s="67"/>
      <c r="OSB1" s="68"/>
      <c r="OSC1" s="67"/>
      <c r="OSD1" s="67"/>
      <c r="OSE1" s="67"/>
      <c r="OSF1" s="67"/>
      <c r="OSG1" s="67"/>
      <c r="OSH1" s="67"/>
      <c r="OSI1" s="67"/>
      <c r="OSJ1" s="68"/>
      <c r="OSK1" s="67"/>
      <c r="OSL1" s="67"/>
      <c r="OSM1" s="67"/>
      <c r="OSN1" s="67"/>
      <c r="OSO1" s="67"/>
      <c r="OSP1" s="67"/>
      <c r="OSQ1" s="67"/>
      <c r="OSR1" s="68"/>
      <c r="OSS1" s="67"/>
      <c r="OST1" s="67"/>
      <c r="OSU1" s="67"/>
      <c r="OSV1" s="67"/>
      <c r="OSW1" s="67"/>
      <c r="OSX1" s="67"/>
      <c r="OSY1" s="67"/>
      <c r="OSZ1" s="68"/>
      <c r="OTA1" s="67"/>
      <c r="OTB1" s="67"/>
      <c r="OTC1" s="67"/>
      <c r="OTD1" s="67"/>
      <c r="OTE1" s="67"/>
      <c r="OTF1" s="67"/>
      <c r="OTG1" s="67"/>
      <c r="OTH1" s="68"/>
      <c r="OTI1" s="67"/>
      <c r="OTJ1" s="67"/>
      <c r="OTK1" s="67"/>
      <c r="OTL1" s="67"/>
      <c r="OTM1" s="67"/>
      <c r="OTN1" s="67"/>
      <c r="OTO1" s="67"/>
      <c r="OTP1" s="68"/>
      <c r="OTQ1" s="67"/>
      <c r="OTR1" s="67"/>
      <c r="OTS1" s="67"/>
      <c r="OTT1" s="67"/>
      <c r="OTU1" s="67"/>
      <c r="OTV1" s="67"/>
      <c r="OTW1" s="67"/>
      <c r="OTX1" s="68"/>
      <c r="OTY1" s="67"/>
      <c r="OTZ1" s="67"/>
      <c r="OUA1" s="67"/>
      <c r="OUB1" s="67"/>
      <c r="OUC1" s="67"/>
      <c r="OUD1" s="67"/>
      <c r="OUE1" s="67"/>
      <c r="OUF1" s="68"/>
      <c r="OUG1" s="67"/>
      <c r="OUH1" s="67"/>
      <c r="OUI1" s="67"/>
      <c r="OUJ1" s="67"/>
      <c r="OUK1" s="67"/>
      <c r="OUL1" s="67"/>
      <c r="OUM1" s="67"/>
      <c r="OUN1" s="68"/>
      <c r="OUO1" s="67"/>
      <c r="OUP1" s="67"/>
      <c r="OUQ1" s="67"/>
      <c r="OUR1" s="67"/>
      <c r="OUS1" s="67"/>
      <c r="OUT1" s="67"/>
      <c r="OUU1" s="67"/>
      <c r="OUV1" s="68"/>
      <c r="OUW1" s="67"/>
      <c r="OUX1" s="67"/>
      <c r="OUY1" s="67"/>
      <c r="OUZ1" s="67"/>
      <c r="OVA1" s="67"/>
      <c r="OVB1" s="67"/>
      <c r="OVC1" s="67"/>
      <c r="OVD1" s="68"/>
      <c r="OVE1" s="67"/>
      <c r="OVF1" s="67"/>
      <c r="OVG1" s="67"/>
      <c r="OVH1" s="67"/>
      <c r="OVI1" s="67"/>
      <c r="OVJ1" s="67"/>
      <c r="OVK1" s="67"/>
      <c r="OVL1" s="68"/>
      <c r="OVM1" s="67"/>
      <c r="OVN1" s="67"/>
      <c r="OVO1" s="67"/>
      <c r="OVP1" s="67"/>
      <c r="OVQ1" s="67"/>
      <c r="OVR1" s="67"/>
      <c r="OVS1" s="67"/>
      <c r="OVT1" s="68"/>
      <c r="OVU1" s="67"/>
      <c r="OVV1" s="67"/>
      <c r="OVW1" s="67"/>
      <c r="OVX1" s="67"/>
      <c r="OVY1" s="67"/>
      <c r="OVZ1" s="67"/>
      <c r="OWA1" s="67"/>
      <c r="OWB1" s="68"/>
      <c r="OWC1" s="67"/>
      <c r="OWD1" s="67"/>
      <c r="OWE1" s="67"/>
      <c r="OWF1" s="67"/>
      <c r="OWG1" s="67"/>
      <c r="OWH1" s="67"/>
      <c r="OWI1" s="67"/>
      <c r="OWJ1" s="68"/>
      <c r="OWK1" s="67"/>
      <c r="OWL1" s="67"/>
      <c r="OWM1" s="67"/>
      <c r="OWN1" s="67"/>
      <c r="OWO1" s="67"/>
      <c r="OWP1" s="67"/>
      <c r="OWQ1" s="67"/>
      <c r="OWR1" s="68"/>
      <c r="OWS1" s="67"/>
      <c r="OWT1" s="67"/>
      <c r="OWU1" s="67"/>
      <c r="OWV1" s="67"/>
      <c r="OWW1" s="67"/>
      <c r="OWX1" s="67"/>
      <c r="OWY1" s="67"/>
      <c r="OWZ1" s="68"/>
      <c r="OXA1" s="67"/>
      <c r="OXB1" s="67"/>
      <c r="OXC1" s="67"/>
      <c r="OXD1" s="67"/>
      <c r="OXE1" s="67"/>
      <c r="OXF1" s="67"/>
      <c r="OXG1" s="67"/>
      <c r="OXH1" s="68"/>
      <c r="OXI1" s="67"/>
      <c r="OXJ1" s="67"/>
      <c r="OXK1" s="67"/>
      <c r="OXL1" s="67"/>
      <c r="OXM1" s="67"/>
      <c r="OXN1" s="67"/>
      <c r="OXO1" s="67"/>
      <c r="OXP1" s="68"/>
      <c r="OXQ1" s="67"/>
      <c r="OXR1" s="67"/>
      <c r="OXS1" s="67"/>
      <c r="OXT1" s="67"/>
      <c r="OXU1" s="67"/>
      <c r="OXV1" s="67"/>
      <c r="OXW1" s="67"/>
      <c r="OXX1" s="68"/>
      <c r="OXY1" s="67"/>
      <c r="OXZ1" s="67"/>
      <c r="OYA1" s="67"/>
      <c r="OYB1" s="67"/>
      <c r="OYC1" s="67"/>
      <c r="OYD1" s="67"/>
      <c r="OYE1" s="67"/>
      <c r="OYF1" s="68"/>
      <c r="OYG1" s="67"/>
      <c r="OYH1" s="67"/>
      <c r="OYI1" s="67"/>
      <c r="OYJ1" s="67"/>
      <c r="OYK1" s="67"/>
      <c r="OYL1" s="67"/>
      <c r="OYM1" s="67"/>
      <c r="OYN1" s="68"/>
      <c r="OYO1" s="67"/>
      <c r="OYP1" s="67"/>
      <c r="OYQ1" s="67"/>
      <c r="OYR1" s="67"/>
      <c r="OYS1" s="67"/>
      <c r="OYT1" s="67"/>
      <c r="OYU1" s="67"/>
      <c r="OYV1" s="68"/>
      <c r="OYW1" s="67"/>
      <c r="OYX1" s="67"/>
      <c r="OYY1" s="67"/>
      <c r="OYZ1" s="67"/>
      <c r="OZA1" s="67"/>
      <c r="OZB1" s="67"/>
      <c r="OZC1" s="67"/>
      <c r="OZD1" s="68"/>
      <c r="OZE1" s="67"/>
      <c r="OZF1" s="67"/>
      <c r="OZG1" s="67"/>
      <c r="OZH1" s="67"/>
      <c r="OZI1" s="67"/>
      <c r="OZJ1" s="67"/>
      <c r="OZK1" s="67"/>
      <c r="OZL1" s="68"/>
      <c r="OZM1" s="67"/>
      <c r="OZN1" s="67"/>
      <c r="OZO1" s="67"/>
      <c r="OZP1" s="67"/>
      <c r="OZQ1" s="67"/>
      <c r="OZR1" s="67"/>
      <c r="OZS1" s="67"/>
      <c r="OZT1" s="68"/>
      <c r="OZU1" s="67"/>
      <c r="OZV1" s="67"/>
      <c r="OZW1" s="67"/>
      <c r="OZX1" s="67"/>
      <c r="OZY1" s="67"/>
      <c r="OZZ1" s="67"/>
      <c r="PAA1" s="67"/>
      <c r="PAB1" s="68"/>
      <c r="PAC1" s="67"/>
      <c r="PAD1" s="67"/>
      <c r="PAE1" s="67"/>
      <c r="PAF1" s="67"/>
      <c r="PAG1" s="67"/>
      <c r="PAH1" s="67"/>
      <c r="PAI1" s="67"/>
      <c r="PAJ1" s="68"/>
      <c r="PAK1" s="67"/>
      <c r="PAL1" s="67"/>
      <c r="PAM1" s="67"/>
      <c r="PAN1" s="67"/>
      <c r="PAO1" s="67"/>
      <c r="PAP1" s="67"/>
      <c r="PAQ1" s="67"/>
      <c r="PAR1" s="68"/>
      <c r="PAS1" s="67"/>
      <c r="PAT1" s="67"/>
      <c r="PAU1" s="67"/>
      <c r="PAV1" s="67"/>
      <c r="PAW1" s="67"/>
      <c r="PAX1" s="67"/>
      <c r="PAY1" s="67"/>
      <c r="PAZ1" s="68"/>
      <c r="PBA1" s="67"/>
      <c r="PBB1" s="67"/>
      <c r="PBC1" s="67"/>
      <c r="PBD1" s="67"/>
      <c r="PBE1" s="67"/>
      <c r="PBF1" s="67"/>
      <c r="PBG1" s="67"/>
      <c r="PBH1" s="68"/>
      <c r="PBI1" s="67"/>
      <c r="PBJ1" s="67"/>
      <c r="PBK1" s="67"/>
      <c r="PBL1" s="67"/>
      <c r="PBM1" s="67"/>
      <c r="PBN1" s="67"/>
      <c r="PBO1" s="67"/>
      <c r="PBP1" s="68"/>
      <c r="PBQ1" s="67"/>
      <c r="PBR1" s="67"/>
      <c r="PBS1" s="67"/>
      <c r="PBT1" s="67"/>
      <c r="PBU1" s="67"/>
      <c r="PBV1" s="67"/>
      <c r="PBW1" s="67"/>
      <c r="PBX1" s="68"/>
      <c r="PBY1" s="67"/>
      <c r="PBZ1" s="67"/>
      <c r="PCA1" s="67"/>
      <c r="PCB1" s="67"/>
      <c r="PCC1" s="67"/>
      <c r="PCD1" s="67"/>
      <c r="PCE1" s="67"/>
      <c r="PCF1" s="68"/>
      <c r="PCG1" s="67"/>
      <c r="PCH1" s="67"/>
      <c r="PCI1" s="67"/>
      <c r="PCJ1" s="67"/>
      <c r="PCK1" s="67"/>
      <c r="PCL1" s="67"/>
      <c r="PCM1" s="67"/>
      <c r="PCN1" s="68"/>
      <c r="PCO1" s="67"/>
      <c r="PCP1" s="67"/>
      <c r="PCQ1" s="67"/>
      <c r="PCR1" s="67"/>
      <c r="PCS1" s="67"/>
      <c r="PCT1" s="67"/>
      <c r="PCU1" s="67"/>
      <c r="PCV1" s="68"/>
      <c r="PCW1" s="67"/>
      <c r="PCX1" s="67"/>
      <c r="PCY1" s="67"/>
      <c r="PCZ1" s="67"/>
      <c r="PDA1" s="67"/>
      <c r="PDB1" s="67"/>
      <c r="PDC1" s="67"/>
      <c r="PDD1" s="68"/>
      <c r="PDE1" s="67"/>
      <c r="PDF1" s="67"/>
      <c r="PDG1" s="67"/>
      <c r="PDH1" s="67"/>
      <c r="PDI1" s="67"/>
      <c r="PDJ1" s="67"/>
      <c r="PDK1" s="67"/>
      <c r="PDL1" s="68"/>
      <c r="PDM1" s="67"/>
      <c r="PDN1" s="67"/>
      <c r="PDO1" s="67"/>
      <c r="PDP1" s="67"/>
      <c r="PDQ1" s="67"/>
      <c r="PDR1" s="67"/>
      <c r="PDS1" s="67"/>
      <c r="PDT1" s="68"/>
      <c r="PDU1" s="67"/>
      <c r="PDV1" s="67"/>
      <c r="PDW1" s="67"/>
      <c r="PDX1" s="67"/>
      <c r="PDY1" s="67"/>
      <c r="PDZ1" s="67"/>
      <c r="PEA1" s="67"/>
      <c r="PEB1" s="68"/>
      <c r="PEC1" s="67"/>
      <c r="PED1" s="67"/>
      <c r="PEE1" s="67"/>
      <c r="PEF1" s="67"/>
      <c r="PEG1" s="67"/>
      <c r="PEH1" s="67"/>
      <c r="PEI1" s="67"/>
      <c r="PEJ1" s="68"/>
      <c r="PEK1" s="67"/>
      <c r="PEL1" s="67"/>
      <c r="PEM1" s="67"/>
      <c r="PEN1" s="67"/>
      <c r="PEO1" s="67"/>
      <c r="PEP1" s="67"/>
      <c r="PEQ1" s="67"/>
      <c r="PER1" s="68"/>
      <c r="PES1" s="67"/>
      <c r="PET1" s="67"/>
      <c r="PEU1" s="67"/>
      <c r="PEV1" s="67"/>
      <c r="PEW1" s="67"/>
      <c r="PEX1" s="67"/>
      <c r="PEY1" s="67"/>
      <c r="PEZ1" s="68"/>
      <c r="PFA1" s="67"/>
      <c r="PFB1" s="67"/>
      <c r="PFC1" s="67"/>
      <c r="PFD1" s="67"/>
      <c r="PFE1" s="67"/>
      <c r="PFF1" s="67"/>
      <c r="PFG1" s="67"/>
      <c r="PFH1" s="68"/>
      <c r="PFI1" s="67"/>
      <c r="PFJ1" s="67"/>
      <c r="PFK1" s="67"/>
      <c r="PFL1" s="67"/>
      <c r="PFM1" s="67"/>
      <c r="PFN1" s="67"/>
      <c r="PFO1" s="67"/>
      <c r="PFP1" s="68"/>
      <c r="PFQ1" s="67"/>
      <c r="PFR1" s="67"/>
      <c r="PFS1" s="67"/>
      <c r="PFT1" s="67"/>
      <c r="PFU1" s="67"/>
      <c r="PFV1" s="67"/>
      <c r="PFW1" s="67"/>
      <c r="PFX1" s="68"/>
      <c r="PFY1" s="67"/>
      <c r="PFZ1" s="67"/>
      <c r="PGA1" s="67"/>
      <c r="PGB1" s="67"/>
      <c r="PGC1" s="67"/>
      <c r="PGD1" s="67"/>
      <c r="PGE1" s="67"/>
      <c r="PGF1" s="68"/>
      <c r="PGG1" s="67"/>
      <c r="PGH1" s="67"/>
      <c r="PGI1" s="67"/>
      <c r="PGJ1" s="67"/>
      <c r="PGK1" s="67"/>
      <c r="PGL1" s="67"/>
      <c r="PGM1" s="67"/>
      <c r="PGN1" s="68"/>
      <c r="PGO1" s="67"/>
      <c r="PGP1" s="67"/>
      <c r="PGQ1" s="67"/>
      <c r="PGR1" s="67"/>
      <c r="PGS1" s="67"/>
      <c r="PGT1" s="67"/>
      <c r="PGU1" s="67"/>
      <c r="PGV1" s="68"/>
      <c r="PGW1" s="67"/>
      <c r="PGX1" s="67"/>
      <c r="PGY1" s="67"/>
      <c r="PGZ1" s="67"/>
      <c r="PHA1" s="67"/>
      <c r="PHB1" s="67"/>
      <c r="PHC1" s="67"/>
      <c r="PHD1" s="68"/>
      <c r="PHE1" s="67"/>
      <c r="PHF1" s="67"/>
      <c r="PHG1" s="67"/>
      <c r="PHH1" s="67"/>
      <c r="PHI1" s="67"/>
      <c r="PHJ1" s="67"/>
      <c r="PHK1" s="67"/>
      <c r="PHL1" s="68"/>
      <c r="PHM1" s="67"/>
      <c r="PHN1" s="67"/>
      <c r="PHO1" s="67"/>
      <c r="PHP1" s="67"/>
      <c r="PHQ1" s="67"/>
      <c r="PHR1" s="67"/>
      <c r="PHS1" s="67"/>
      <c r="PHT1" s="68"/>
      <c r="PHU1" s="67"/>
      <c r="PHV1" s="67"/>
      <c r="PHW1" s="67"/>
      <c r="PHX1" s="67"/>
      <c r="PHY1" s="67"/>
      <c r="PHZ1" s="67"/>
      <c r="PIA1" s="67"/>
      <c r="PIB1" s="68"/>
      <c r="PIC1" s="67"/>
      <c r="PID1" s="67"/>
      <c r="PIE1" s="67"/>
      <c r="PIF1" s="67"/>
      <c r="PIG1" s="67"/>
      <c r="PIH1" s="67"/>
      <c r="PII1" s="67"/>
      <c r="PIJ1" s="68"/>
      <c r="PIK1" s="67"/>
      <c r="PIL1" s="67"/>
      <c r="PIM1" s="67"/>
      <c r="PIN1" s="67"/>
      <c r="PIO1" s="67"/>
      <c r="PIP1" s="67"/>
      <c r="PIQ1" s="67"/>
      <c r="PIR1" s="68"/>
      <c r="PIS1" s="67"/>
      <c r="PIT1" s="67"/>
      <c r="PIU1" s="67"/>
      <c r="PIV1" s="67"/>
      <c r="PIW1" s="67"/>
      <c r="PIX1" s="67"/>
      <c r="PIY1" s="67"/>
      <c r="PIZ1" s="68"/>
      <c r="PJA1" s="67"/>
      <c r="PJB1" s="67"/>
      <c r="PJC1" s="67"/>
      <c r="PJD1" s="67"/>
      <c r="PJE1" s="67"/>
      <c r="PJF1" s="67"/>
      <c r="PJG1" s="67"/>
      <c r="PJH1" s="68"/>
      <c r="PJI1" s="67"/>
      <c r="PJJ1" s="67"/>
      <c r="PJK1" s="67"/>
      <c r="PJL1" s="67"/>
      <c r="PJM1" s="67"/>
      <c r="PJN1" s="67"/>
      <c r="PJO1" s="67"/>
      <c r="PJP1" s="68"/>
      <c r="PJQ1" s="67"/>
      <c r="PJR1" s="67"/>
      <c r="PJS1" s="67"/>
      <c r="PJT1" s="67"/>
      <c r="PJU1" s="67"/>
      <c r="PJV1" s="67"/>
      <c r="PJW1" s="67"/>
      <c r="PJX1" s="68"/>
      <c r="PJY1" s="67"/>
      <c r="PJZ1" s="67"/>
      <c r="PKA1" s="67"/>
      <c r="PKB1" s="67"/>
      <c r="PKC1" s="67"/>
      <c r="PKD1" s="67"/>
      <c r="PKE1" s="67"/>
      <c r="PKF1" s="68"/>
      <c r="PKG1" s="67"/>
      <c r="PKH1" s="67"/>
      <c r="PKI1" s="67"/>
      <c r="PKJ1" s="67"/>
      <c r="PKK1" s="67"/>
      <c r="PKL1" s="67"/>
      <c r="PKM1" s="67"/>
      <c r="PKN1" s="68"/>
      <c r="PKO1" s="67"/>
      <c r="PKP1" s="67"/>
      <c r="PKQ1" s="67"/>
      <c r="PKR1" s="67"/>
      <c r="PKS1" s="67"/>
      <c r="PKT1" s="67"/>
      <c r="PKU1" s="67"/>
      <c r="PKV1" s="68"/>
      <c r="PKW1" s="67"/>
      <c r="PKX1" s="67"/>
      <c r="PKY1" s="67"/>
      <c r="PKZ1" s="67"/>
      <c r="PLA1" s="67"/>
      <c r="PLB1" s="67"/>
      <c r="PLC1" s="67"/>
      <c r="PLD1" s="68"/>
      <c r="PLE1" s="67"/>
      <c r="PLF1" s="67"/>
      <c r="PLG1" s="67"/>
      <c r="PLH1" s="67"/>
      <c r="PLI1" s="67"/>
      <c r="PLJ1" s="67"/>
      <c r="PLK1" s="67"/>
      <c r="PLL1" s="68"/>
      <c r="PLM1" s="67"/>
      <c r="PLN1" s="67"/>
      <c r="PLO1" s="67"/>
      <c r="PLP1" s="67"/>
      <c r="PLQ1" s="67"/>
      <c r="PLR1" s="67"/>
      <c r="PLS1" s="67"/>
      <c r="PLT1" s="68"/>
      <c r="PLU1" s="67"/>
      <c r="PLV1" s="67"/>
      <c r="PLW1" s="67"/>
      <c r="PLX1" s="67"/>
      <c r="PLY1" s="67"/>
      <c r="PLZ1" s="67"/>
      <c r="PMA1" s="67"/>
      <c r="PMB1" s="68"/>
      <c r="PMC1" s="67"/>
      <c r="PMD1" s="67"/>
      <c r="PME1" s="67"/>
      <c r="PMF1" s="67"/>
      <c r="PMG1" s="67"/>
      <c r="PMH1" s="67"/>
      <c r="PMI1" s="67"/>
      <c r="PMJ1" s="68"/>
      <c r="PMK1" s="67"/>
      <c r="PML1" s="67"/>
      <c r="PMM1" s="67"/>
      <c r="PMN1" s="67"/>
      <c r="PMO1" s="67"/>
      <c r="PMP1" s="67"/>
      <c r="PMQ1" s="67"/>
      <c r="PMR1" s="68"/>
      <c r="PMS1" s="67"/>
      <c r="PMT1" s="67"/>
      <c r="PMU1" s="67"/>
      <c r="PMV1" s="67"/>
      <c r="PMW1" s="67"/>
      <c r="PMX1" s="67"/>
      <c r="PMY1" s="67"/>
      <c r="PMZ1" s="68"/>
      <c r="PNA1" s="67"/>
      <c r="PNB1" s="67"/>
      <c r="PNC1" s="67"/>
      <c r="PND1" s="67"/>
      <c r="PNE1" s="67"/>
      <c r="PNF1" s="67"/>
      <c r="PNG1" s="67"/>
      <c r="PNH1" s="68"/>
      <c r="PNI1" s="67"/>
      <c r="PNJ1" s="67"/>
      <c r="PNK1" s="67"/>
      <c r="PNL1" s="67"/>
      <c r="PNM1" s="67"/>
      <c r="PNN1" s="67"/>
      <c r="PNO1" s="67"/>
      <c r="PNP1" s="68"/>
      <c r="PNQ1" s="67"/>
      <c r="PNR1" s="67"/>
      <c r="PNS1" s="67"/>
      <c r="PNT1" s="67"/>
      <c r="PNU1" s="67"/>
      <c r="PNV1" s="67"/>
      <c r="PNW1" s="67"/>
      <c r="PNX1" s="68"/>
      <c r="PNY1" s="67"/>
      <c r="PNZ1" s="67"/>
      <c r="POA1" s="67"/>
      <c r="POB1" s="67"/>
      <c r="POC1" s="67"/>
      <c r="POD1" s="67"/>
      <c r="POE1" s="67"/>
      <c r="POF1" s="68"/>
      <c r="POG1" s="67"/>
      <c r="POH1" s="67"/>
      <c r="POI1" s="67"/>
      <c r="POJ1" s="67"/>
      <c r="POK1" s="67"/>
      <c r="POL1" s="67"/>
      <c r="POM1" s="67"/>
      <c r="PON1" s="68"/>
      <c r="POO1" s="67"/>
      <c r="POP1" s="67"/>
      <c r="POQ1" s="67"/>
      <c r="POR1" s="67"/>
      <c r="POS1" s="67"/>
      <c r="POT1" s="67"/>
      <c r="POU1" s="67"/>
      <c r="POV1" s="68"/>
      <c r="POW1" s="67"/>
      <c r="POX1" s="67"/>
      <c r="POY1" s="67"/>
      <c r="POZ1" s="67"/>
      <c r="PPA1" s="67"/>
      <c r="PPB1" s="67"/>
      <c r="PPC1" s="67"/>
      <c r="PPD1" s="68"/>
      <c r="PPE1" s="67"/>
      <c r="PPF1" s="67"/>
      <c r="PPG1" s="67"/>
      <c r="PPH1" s="67"/>
      <c r="PPI1" s="67"/>
      <c r="PPJ1" s="67"/>
      <c r="PPK1" s="67"/>
      <c r="PPL1" s="68"/>
      <c r="PPM1" s="67"/>
      <c r="PPN1" s="67"/>
      <c r="PPO1" s="67"/>
      <c r="PPP1" s="67"/>
      <c r="PPQ1" s="67"/>
      <c r="PPR1" s="67"/>
      <c r="PPS1" s="67"/>
      <c r="PPT1" s="68"/>
      <c r="PPU1" s="67"/>
      <c r="PPV1" s="67"/>
      <c r="PPW1" s="67"/>
      <c r="PPX1" s="67"/>
      <c r="PPY1" s="67"/>
      <c r="PPZ1" s="67"/>
      <c r="PQA1" s="67"/>
      <c r="PQB1" s="68"/>
      <c r="PQC1" s="67"/>
      <c r="PQD1" s="67"/>
      <c r="PQE1" s="67"/>
      <c r="PQF1" s="67"/>
      <c r="PQG1" s="67"/>
      <c r="PQH1" s="67"/>
      <c r="PQI1" s="67"/>
      <c r="PQJ1" s="68"/>
      <c r="PQK1" s="67"/>
      <c r="PQL1" s="67"/>
      <c r="PQM1" s="67"/>
      <c r="PQN1" s="67"/>
      <c r="PQO1" s="67"/>
      <c r="PQP1" s="67"/>
      <c r="PQQ1" s="67"/>
      <c r="PQR1" s="68"/>
      <c r="PQS1" s="67"/>
      <c r="PQT1" s="67"/>
      <c r="PQU1" s="67"/>
      <c r="PQV1" s="67"/>
      <c r="PQW1" s="67"/>
      <c r="PQX1" s="67"/>
      <c r="PQY1" s="67"/>
      <c r="PQZ1" s="68"/>
      <c r="PRA1" s="67"/>
      <c r="PRB1" s="67"/>
      <c r="PRC1" s="67"/>
      <c r="PRD1" s="67"/>
      <c r="PRE1" s="67"/>
      <c r="PRF1" s="67"/>
      <c r="PRG1" s="67"/>
      <c r="PRH1" s="68"/>
      <c r="PRI1" s="67"/>
      <c r="PRJ1" s="67"/>
      <c r="PRK1" s="67"/>
      <c r="PRL1" s="67"/>
      <c r="PRM1" s="67"/>
      <c r="PRN1" s="67"/>
      <c r="PRO1" s="67"/>
      <c r="PRP1" s="68"/>
      <c r="PRQ1" s="67"/>
      <c r="PRR1" s="67"/>
      <c r="PRS1" s="67"/>
      <c r="PRT1" s="67"/>
      <c r="PRU1" s="67"/>
      <c r="PRV1" s="67"/>
      <c r="PRW1" s="67"/>
      <c r="PRX1" s="68"/>
      <c r="PRY1" s="67"/>
      <c r="PRZ1" s="67"/>
      <c r="PSA1" s="67"/>
      <c r="PSB1" s="67"/>
      <c r="PSC1" s="67"/>
      <c r="PSD1" s="67"/>
      <c r="PSE1" s="67"/>
      <c r="PSF1" s="68"/>
      <c r="PSG1" s="67"/>
      <c r="PSH1" s="67"/>
      <c r="PSI1" s="67"/>
      <c r="PSJ1" s="67"/>
      <c r="PSK1" s="67"/>
      <c r="PSL1" s="67"/>
      <c r="PSM1" s="67"/>
      <c r="PSN1" s="68"/>
      <c r="PSO1" s="67"/>
      <c r="PSP1" s="67"/>
      <c r="PSQ1" s="67"/>
      <c r="PSR1" s="67"/>
      <c r="PSS1" s="67"/>
      <c r="PST1" s="67"/>
      <c r="PSU1" s="67"/>
      <c r="PSV1" s="68"/>
      <c r="PSW1" s="67"/>
      <c r="PSX1" s="67"/>
      <c r="PSY1" s="67"/>
      <c r="PSZ1" s="67"/>
      <c r="PTA1" s="67"/>
      <c r="PTB1" s="67"/>
      <c r="PTC1" s="67"/>
      <c r="PTD1" s="68"/>
      <c r="PTE1" s="67"/>
      <c r="PTF1" s="67"/>
      <c r="PTG1" s="67"/>
      <c r="PTH1" s="67"/>
      <c r="PTI1" s="67"/>
      <c r="PTJ1" s="67"/>
      <c r="PTK1" s="67"/>
      <c r="PTL1" s="68"/>
      <c r="PTM1" s="67"/>
      <c r="PTN1" s="67"/>
      <c r="PTO1" s="67"/>
      <c r="PTP1" s="67"/>
      <c r="PTQ1" s="67"/>
      <c r="PTR1" s="67"/>
      <c r="PTS1" s="67"/>
      <c r="PTT1" s="68"/>
      <c r="PTU1" s="67"/>
      <c r="PTV1" s="67"/>
      <c r="PTW1" s="67"/>
      <c r="PTX1" s="67"/>
      <c r="PTY1" s="67"/>
      <c r="PTZ1" s="67"/>
      <c r="PUA1" s="67"/>
      <c r="PUB1" s="68"/>
      <c r="PUC1" s="67"/>
      <c r="PUD1" s="67"/>
      <c r="PUE1" s="67"/>
      <c r="PUF1" s="67"/>
      <c r="PUG1" s="67"/>
      <c r="PUH1" s="67"/>
      <c r="PUI1" s="67"/>
      <c r="PUJ1" s="68"/>
      <c r="PUK1" s="67"/>
      <c r="PUL1" s="67"/>
      <c r="PUM1" s="67"/>
      <c r="PUN1" s="67"/>
      <c r="PUO1" s="67"/>
      <c r="PUP1" s="67"/>
      <c r="PUQ1" s="67"/>
      <c r="PUR1" s="68"/>
      <c r="PUS1" s="67"/>
      <c r="PUT1" s="67"/>
      <c r="PUU1" s="67"/>
      <c r="PUV1" s="67"/>
      <c r="PUW1" s="67"/>
      <c r="PUX1" s="67"/>
      <c r="PUY1" s="67"/>
      <c r="PUZ1" s="68"/>
      <c r="PVA1" s="67"/>
      <c r="PVB1" s="67"/>
      <c r="PVC1" s="67"/>
      <c r="PVD1" s="67"/>
      <c r="PVE1" s="67"/>
      <c r="PVF1" s="67"/>
      <c r="PVG1" s="67"/>
      <c r="PVH1" s="68"/>
      <c r="PVI1" s="67"/>
      <c r="PVJ1" s="67"/>
      <c r="PVK1" s="67"/>
      <c r="PVL1" s="67"/>
      <c r="PVM1" s="67"/>
      <c r="PVN1" s="67"/>
      <c r="PVO1" s="67"/>
      <c r="PVP1" s="68"/>
      <c r="PVQ1" s="67"/>
      <c r="PVR1" s="67"/>
      <c r="PVS1" s="67"/>
      <c r="PVT1" s="67"/>
      <c r="PVU1" s="67"/>
      <c r="PVV1" s="67"/>
      <c r="PVW1" s="67"/>
      <c r="PVX1" s="68"/>
      <c r="PVY1" s="67"/>
      <c r="PVZ1" s="67"/>
      <c r="PWA1" s="67"/>
      <c r="PWB1" s="67"/>
      <c r="PWC1" s="67"/>
      <c r="PWD1" s="67"/>
      <c r="PWE1" s="67"/>
      <c r="PWF1" s="68"/>
      <c r="PWG1" s="67"/>
      <c r="PWH1" s="67"/>
      <c r="PWI1" s="67"/>
      <c r="PWJ1" s="67"/>
      <c r="PWK1" s="67"/>
      <c r="PWL1" s="67"/>
      <c r="PWM1" s="67"/>
      <c r="PWN1" s="68"/>
      <c r="PWO1" s="67"/>
      <c r="PWP1" s="67"/>
      <c r="PWQ1" s="67"/>
      <c r="PWR1" s="67"/>
      <c r="PWS1" s="67"/>
      <c r="PWT1" s="67"/>
      <c r="PWU1" s="67"/>
      <c r="PWV1" s="68"/>
      <c r="PWW1" s="67"/>
      <c r="PWX1" s="67"/>
      <c r="PWY1" s="67"/>
      <c r="PWZ1" s="67"/>
      <c r="PXA1" s="67"/>
      <c r="PXB1" s="67"/>
      <c r="PXC1" s="67"/>
      <c r="PXD1" s="68"/>
      <c r="PXE1" s="67"/>
      <c r="PXF1" s="67"/>
      <c r="PXG1" s="67"/>
      <c r="PXH1" s="67"/>
      <c r="PXI1" s="67"/>
      <c r="PXJ1" s="67"/>
      <c r="PXK1" s="67"/>
      <c r="PXL1" s="68"/>
      <c r="PXM1" s="67"/>
      <c r="PXN1" s="67"/>
      <c r="PXO1" s="67"/>
      <c r="PXP1" s="67"/>
      <c r="PXQ1" s="67"/>
      <c r="PXR1" s="67"/>
      <c r="PXS1" s="67"/>
      <c r="PXT1" s="68"/>
      <c r="PXU1" s="67"/>
      <c r="PXV1" s="67"/>
      <c r="PXW1" s="67"/>
      <c r="PXX1" s="67"/>
      <c r="PXY1" s="67"/>
      <c r="PXZ1" s="67"/>
      <c r="PYA1" s="67"/>
      <c r="PYB1" s="68"/>
      <c r="PYC1" s="67"/>
      <c r="PYD1" s="67"/>
      <c r="PYE1" s="67"/>
      <c r="PYF1" s="67"/>
      <c r="PYG1" s="67"/>
      <c r="PYH1" s="67"/>
      <c r="PYI1" s="67"/>
      <c r="PYJ1" s="68"/>
      <c r="PYK1" s="67"/>
      <c r="PYL1" s="67"/>
      <c r="PYM1" s="67"/>
      <c r="PYN1" s="67"/>
      <c r="PYO1" s="67"/>
      <c r="PYP1" s="67"/>
      <c r="PYQ1" s="67"/>
      <c r="PYR1" s="68"/>
      <c r="PYS1" s="67"/>
      <c r="PYT1" s="67"/>
      <c r="PYU1" s="67"/>
      <c r="PYV1" s="67"/>
      <c r="PYW1" s="67"/>
      <c r="PYX1" s="67"/>
      <c r="PYY1" s="67"/>
      <c r="PYZ1" s="68"/>
      <c r="PZA1" s="67"/>
      <c r="PZB1" s="67"/>
      <c r="PZC1" s="67"/>
      <c r="PZD1" s="67"/>
      <c r="PZE1" s="67"/>
      <c r="PZF1" s="67"/>
      <c r="PZG1" s="67"/>
      <c r="PZH1" s="68"/>
      <c r="PZI1" s="67"/>
      <c r="PZJ1" s="67"/>
      <c r="PZK1" s="67"/>
      <c r="PZL1" s="67"/>
      <c r="PZM1" s="67"/>
      <c r="PZN1" s="67"/>
      <c r="PZO1" s="67"/>
      <c r="PZP1" s="68"/>
      <c r="PZQ1" s="67"/>
      <c r="PZR1" s="67"/>
      <c r="PZS1" s="67"/>
      <c r="PZT1" s="67"/>
      <c r="PZU1" s="67"/>
      <c r="PZV1" s="67"/>
      <c r="PZW1" s="67"/>
      <c r="PZX1" s="68"/>
      <c r="PZY1" s="67"/>
      <c r="PZZ1" s="67"/>
      <c r="QAA1" s="67"/>
      <c r="QAB1" s="67"/>
      <c r="QAC1" s="67"/>
      <c r="QAD1" s="67"/>
      <c r="QAE1" s="67"/>
      <c r="QAF1" s="68"/>
      <c r="QAG1" s="67"/>
      <c r="QAH1" s="67"/>
      <c r="QAI1" s="67"/>
      <c r="QAJ1" s="67"/>
      <c r="QAK1" s="67"/>
      <c r="QAL1" s="67"/>
      <c r="QAM1" s="67"/>
      <c r="QAN1" s="68"/>
      <c r="QAO1" s="67"/>
      <c r="QAP1" s="67"/>
      <c r="QAQ1" s="67"/>
      <c r="QAR1" s="67"/>
      <c r="QAS1" s="67"/>
      <c r="QAT1" s="67"/>
      <c r="QAU1" s="67"/>
      <c r="QAV1" s="68"/>
      <c r="QAW1" s="67"/>
      <c r="QAX1" s="67"/>
      <c r="QAY1" s="67"/>
      <c r="QAZ1" s="67"/>
      <c r="QBA1" s="67"/>
      <c r="QBB1" s="67"/>
      <c r="QBC1" s="67"/>
      <c r="QBD1" s="68"/>
      <c r="QBE1" s="67"/>
      <c r="QBF1" s="67"/>
      <c r="QBG1" s="67"/>
      <c r="QBH1" s="67"/>
      <c r="QBI1" s="67"/>
      <c r="QBJ1" s="67"/>
      <c r="QBK1" s="67"/>
      <c r="QBL1" s="68"/>
      <c r="QBM1" s="67"/>
      <c r="QBN1" s="67"/>
      <c r="QBO1" s="67"/>
      <c r="QBP1" s="67"/>
      <c r="QBQ1" s="67"/>
      <c r="QBR1" s="67"/>
      <c r="QBS1" s="67"/>
      <c r="QBT1" s="68"/>
      <c r="QBU1" s="67"/>
      <c r="QBV1" s="67"/>
      <c r="QBW1" s="67"/>
      <c r="QBX1" s="67"/>
      <c r="QBY1" s="67"/>
      <c r="QBZ1" s="67"/>
      <c r="QCA1" s="67"/>
      <c r="QCB1" s="68"/>
      <c r="QCC1" s="67"/>
      <c r="QCD1" s="67"/>
      <c r="QCE1" s="67"/>
      <c r="QCF1" s="67"/>
      <c r="QCG1" s="67"/>
      <c r="QCH1" s="67"/>
      <c r="QCI1" s="67"/>
      <c r="QCJ1" s="68"/>
      <c r="QCK1" s="67"/>
      <c r="QCL1" s="67"/>
      <c r="QCM1" s="67"/>
      <c r="QCN1" s="67"/>
      <c r="QCO1" s="67"/>
      <c r="QCP1" s="67"/>
      <c r="QCQ1" s="67"/>
      <c r="QCR1" s="68"/>
      <c r="QCS1" s="67"/>
      <c r="QCT1" s="67"/>
      <c r="QCU1" s="67"/>
      <c r="QCV1" s="67"/>
      <c r="QCW1" s="67"/>
      <c r="QCX1" s="67"/>
      <c r="QCY1" s="67"/>
      <c r="QCZ1" s="68"/>
      <c r="QDA1" s="67"/>
      <c r="QDB1" s="67"/>
      <c r="QDC1" s="67"/>
      <c r="QDD1" s="67"/>
      <c r="QDE1" s="67"/>
      <c r="QDF1" s="67"/>
      <c r="QDG1" s="67"/>
      <c r="QDH1" s="68"/>
      <c r="QDI1" s="67"/>
      <c r="QDJ1" s="67"/>
      <c r="QDK1" s="67"/>
      <c r="QDL1" s="67"/>
      <c r="QDM1" s="67"/>
      <c r="QDN1" s="67"/>
      <c r="QDO1" s="67"/>
      <c r="QDP1" s="68"/>
      <c r="QDQ1" s="67"/>
      <c r="QDR1" s="67"/>
      <c r="QDS1" s="67"/>
      <c r="QDT1" s="67"/>
      <c r="QDU1" s="67"/>
      <c r="QDV1" s="67"/>
      <c r="QDW1" s="67"/>
      <c r="QDX1" s="68"/>
      <c r="QDY1" s="67"/>
      <c r="QDZ1" s="67"/>
      <c r="QEA1" s="67"/>
      <c r="QEB1" s="67"/>
      <c r="QEC1" s="67"/>
      <c r="QED1" s="67"/>
      <c r="QEE1" s="67"/>
      <c r="QEF1" s="68"/>
      <c r="QEG1" s="67"/>
      <c r="QEH1" s="67"/>
      <c r="QEI1" s="67"/>
      <c r="QEJ1" s="67"/>
      <c r="QEK1" s="67"/>
      <c r="QEL1" s="67"/>
      <c r="QEM1" s="67"/>
      <c r="QEN1" s="68"/>
      <c r="QEO1" s="67"/>
      <c r="QEP1" s="67"/>
      <c r="QEQ1" s="67"/>
      <c r="QER1" s="67"/>
      <c r="QES1" s="67"/>
      <c r="QET1" s="67"/>
      <c r="QEU1" s="67"/>
      <c r="QEV1" s="68"/>
      <c r="QEW1" s="67"/>
      <c r="QEX1" s="67"/>
      <c r="QEY1" s="67"/>
      <c r="QEZ1" s="67"/>
      <c r="QFA1" s="67"/>
      <c r="QFB1" s="67"/>
      <c r="QFC1" s="67"/>
      <c r="QFD1" s="68"/>
      <c r="QFE1" s="67"/>
      <c r="QFF1" s="67"/>
      <c r="QFG1" s="67"/>
      <c r="QFH1" s="67"/>
      <c r="QFI1" s="67"/>
      <c r="QFJ1" s="67"/>
      <c r="QFK1" s="67"/>
      <c r="QFL1" s="68"/>
      <c r="QFM1" s="67"/>
      <c r="QFN1" s="67"/>
      <c r="QFO1" s="67"/>
      <c r="QFP1" s="67"/>
      <c r="QFQ1" s="67"/>
      <c r="QFR1" s="67"/>
      <c r="QFS1" s="67"/>
      <c r="QFT1" s="68"/>
      <c r="QFU1" s="67"/>
      <c r="QFV1" s="67"/>
      <c r="QFW1" s="67"/>
      <c r="QFX1" s="67"/>
      <c r="QFY1" s="67"/>
      <c r="QFZ1" s="67"/>
      <c r="QGA1" s="67"/>
      <c r="QGB1" s="68"/>
      <c r="QGC1" s="67"/>
      <c r="QGD1" s="67"/>
      <c r="QGE1" s="67"/>
      <c r="QGF1" s="67"/>
      <c r="QGG1" s="67"/>
      <c r="QGH1" s="67"/>
      <c r="QGI1" s="67"/>
      <c r="QGJ1" s="68"/>
      <c r="QGK1" s="67"/>
      <c r="QGL1" s="67"/>
      <c r="QGM1" s="67"/>
      <c r="QGN1" s="67"/>
      <c r="QGO1" s="67"/>
      <c r="QGP1" s="67"/>
      <c r="QGQ1" s="67"/>
      <c r="QGR1" s="68"/>
      <c r="QGS1" s="67"/>
      <c r="QGT1" s="67"/>
      <c r="QGU1" s="67"/>
      <c r="QGV1" s="67"/>
      <c r="QGW1" s="67"/>
      <c r="QGX1" s="67"/>
      <c r="QGY1" s="67"/>
      <c r="QGZ1" s="68"/>
      <c r="QHA1" s="67"/>
      <c r="QHB1" s="67"/>
      <c r="QHC1" s="67"/>
      <c r="QHD1" s="67"/>
      <c r="QHE1" s="67"/>
      <c r="QHF1" s="67"/>
      <c r="QHG1" s="67"/>
      <c r="QHH1" s="68"/>
      <c r="QHI1" s="67"/>
      <c r="QHJ1" s="67"/>
      <c r="QHK1" s="67"/>
      <c r="QHL1" s="67"/>
      <c r="QHM1" s="67"/>
      <c r="QHN1" s="67"/>
      <c r="QHO1" s="67"/>
      <c r="QHP1" s="68"/>
      <c r="QHQ1" s="67"/>
      <c r="QHR1" s="67"/>
      <c r="QHS1" s="67"/>
      <c r="QHT1" s="67"/>
      <c r="QHU1" s="67"/>
      <c r="QHV1" s="67"/>
      <c r="QHW1" s="67"/>
      <c r="QHX1" s="68"/>
      <c r="QHY1" s="67"/>
      <c r="QHZ1" s="67"/>
      <c r="QIA1" s="67"/>
      <c r="QIB1" s="67"/>
      <c r="QIC1" s="67"/>
      <c r="QID1" s="67"/>
      <c r="QIE1" s="67"/>
      <c r="QIF1" s="68"/>
      <c r="QIG1" s="67"/>
      <c r="QIH1" s="67"/>
      <c r="QII1" s="67"/>
      <c r="QIJ1" s="67"/>
      <c r="QIK1" s="67"/>
      <c r="QIL1" s="67"/>
      <c r="QIM1" s="67"/>
      <c r="QIN1" s="68"/>
      <c r="QIO1" s="67"/>
      <c r="QIP1" s="67"/>
      <c r="QIQ1" s="67"/>
      <c r="QIR1" s="67"/>
      <c r="QIS1" s="67"/>
      <c r="QIT1" s="67"/>
      <c r="QIU1" s="67"/>
      <c r="QIV1" s="68"/>
      <c r="QIW1" s="67"/>
      <c r="QIX1" s="67"/>
      <c r="QIY1" s="67"/>
      <c r="QIZ1" s="67"/>
      <c r="QJA1" s="67"/>
      <c r="QJB1" s="67"/>
      <c r="QJC1" s="67"/>
      <c r="QJD1" s="68"/>
      <c r="QJE1" s="67"/>
      <c r="QJF1" s="67"/>
      <c r="QJG1" s="67"/>
      <c r="QJH1" s="67"/>
      <c r="QJI1" s="67"/>
      <c r="QJJ1" s="67"/>
      <c r="QJK1" s="67"/>
      <c r="QJL1" s="68"/>
      <c r="QJM1" s="67"/>
      <c r="QJN1" s="67"/>
      <c r="QJO1" s="67"/>
      <c r="QJP1" s="67"/>
      <c r="QJQ1" s="67"/>
      <c r="QJR1" s="67"/>
      <c r="QJS1" s="67"/>
      <c r="QJT1" s="68"/>
      <c r="QJU1" s="67"/>
      <c r="QJV1" s="67"/>
      <c r="QJW1" s="67"/>
      <c r="QJX1" s="67"/>
      <c r="QJY1" s="67"/>
      <c r="QJZ1" s="67"/>
      <c r="QKA1" s="67"/>
      <c r="QKB1" s="68"/>
      <c r="QKC1" s="67"/>
      <c r="QKD1" s="67"/>
      <c r="QKE1" s="67"/>
      <c r="QKF1" s="67"/>
      <c r="QKG1" s="67"/>
      <c r="QKH1" s="67"/>
      <c r="QKI1" s="67"/>
      <c r="QKJ1" s="68"/>
      <c r="QKK1" s="67"/>
      <c r="QKL1" s="67"/>
      <c r="QKM1" s="67"/>
      <c r="QKN1" s="67"/>
      <c r="QKO1" s="67"/>
      <c r="QKP1" s="67"/>
      <c r="QKQ1" s="67"/>
      <c r="QKR1" s="68"/>
      <c r="QKS1" s="67"/>
      <c r="QKT1" s="67"/>
      <c r="QKU1" s="67"/>
      <c r="QKV1" s="67"/>
      <c r="QKW1" s="67"/>
      <c r="QKX1" s="67"/>
      <c r="QKY1" s="67"/>
      <c r="QKZ1" s="68"/>
      <c r="QLA1" s="67"/>
      <c r="QLB1" s="67"/>
      <c r="QLC1" s="67"/>
      <c r="QLD1" s="67"/>
      <c r="QLE1" s="67"/>
      <c r="QLF1" s="67"/>
      <c r="QLG1" s="67"/>
      <c r="QLH1" s="68"/>
      <c r="QLI1" s="67"/>
      <c r="QLJ1" s="67"/>
      <c r="QLK1" s="67"/>
      <c r="QLL1" s="67"/>
      <c r="QLM1" s="67"/>
      <c r="QLN1" s="67"/>
      <c r="QLO1" s="67"/>
      <c r="QLP1" s="68"/>
      <c r="QLQ1" s="67"/>
      <c r="QLR1" s="67"/>
      <c r="QLS1" s="67"/>
      <c r="QLT1" s="67"/>
      <c r="QLU1" s="67"/>
      <c r="QLV1" s="67"/>
      <c r="QLW1" s="67"/>
      <c r="QLX1" s="68"/>
      <c r="QLY1" s="67"/>
      <c r="QLZ1" s="67"/>
      <c r="QMA1" s="67"/>
      <c r="QMB1" s="67"/>
      <c r="QMC1" s="67"/>
      <c r="QMD1" s="67"/>
      <c r="QME1" s="67"/>
      <c r="QMF1" s="68"/>
      <c r="QMG1" s="67"/>
      <c r="QMH1" s="67"/>
      <c r="QMI1" s="67"/>
      <c r="QMJ1" s="67"/>
      <c r="QMK1" s="67"/>
      <c r="QML1" s="67"/>
      <c r="QMM1" s="67"/>
      <c r="QMN1" s="68"/>
      <c r="QMO1" s="67"/>
      <c r="QMP1" s="67"/>
      <c r="QMQ1" s="67"/>
      <c r="QMR1" s="67"/>
      <c r="QMS1" s="67"/>
      <c r="QMT1" s="67"/>
      <c r="QMU1" s="67"/>
      <c r="QMV1" s="68"/>
      <c r="QMW1" s="67"/>
      <c r="QMX1" s="67"/>
      <c r="QMY1" s="67"/>
      <c r="QMZ1" s="67"/>
      <c r="QNA1" s="67"/>
      <c r="QNB1" s="67"/>
      <c r="QNC1" s="67"/>
      <c r="QND1" s="68"/>
      <c r="QNE1" s="67"/>
      <c r="QNF1" s="67"/>
      <c r="QNG1" s="67"/>
      <c r="QNH1" s="67"/>
      <c r="QNI1" s="67"/>
      <c r="QNJ1" s="67"/>
      <c r="QNK1" s="67"/>
      <c r="QNL1" s="68"/>
      <c r="QNM1" s="67"/>
      <c r="QNN1" s="67"/>
      <c r="QNO1" s="67"/>
      <c r="QNP1" s="67"/>
      <c r="QNQ1" s="67"/>
      <c r="QNR1" s="67"/>
      <c r="QNS1" s="67"/>
      <c r="QNT1" s="68"/>
      <c r="QNU1" s="67"/>
      <c r="QNV1" s="67"/>
      <c r="QNW1" s="67"/>
      <c r="QNX1" s="67"/>
      <c r="QNY1" s="67"/>
      <c r="QNZ1" s="67"/>
      <c r="QOA1" s="67"/>
      <c r="QOB1" s="68"/>
      <c r="QOC1" s="67"/>
      <c r="QOD1" s="67"/>
      <c r="QOE1" s="67"/>
      <c r="QOF1" s="67"/>
      <c r="QOG1" s="67"/>
      <c r="QOH1" s="67"/>
      <c r="QOI1" s="67"/>
      <c r="QOJ1" s="68"/>
      <c r="QOK1" s="67"/>
      <c r="QOL1" s="67"/>
      <c r="QOM1" s="67"/>
      <c r="QON1" s="67"/>
      <c r="QOO1" s="67"/>
      <c r="QOP1" s="67"/>
      <c r="QOQ1" s="67"/>
      <c r="QOR1" s="68"/>
      <c r="QOS1" s="67"/>
      <c r="QOT1" s="67"/>
      <c r="QOU1" s="67"/>
      <c r="QOV1" s="67"/>
      <c r="QOW1" s="67"/>
      <c r="QOX1" s="67"/>
      <c r="QOY1" s="67"/>
      <c r="QOZ1" s="68"/>
      <c r="QPA1" s="67"/>
      <c r="QPB1" s="67"/>
      <c r="QPC1" s="67"/>
      <c r="QPD1" s="67"/>
      <c r="QPE1" s="67"/>
      <c r="QPF1" s="67"/>
      <c r="QPG1" s="67"/>
      <c r="QPH1" s="68"/>
      <c r="QPI1" s="67"/>
      <c r="QPJ1" s="67"/>
      <c r="QPK1" s="67"/>
      <c r="QPL1" s="67"/>
      <c r="QPM1" s="67"/>
      <c r="QPN1" s="67"/>
      <c r="QPO1" s="67"/>
      <c r="QPP1" s="68"/>
      <c r="QPQ1" s="67"/>
      <c r="QPR1" s="67"/>
      <c r="QPS1" s="67"/>
      <c r="QPT1" s="67"/>
      <c r="QPU1" s="67"/>
      <c r="QPV1" s="67"/>
      <c r="QPW1" s="67"/>
      <c r="QPX1" s="68"/>
      <c r="QPY1" s="67"/>
      <c r="QPZ1" s="67"/>
      <c r="QQA1" s="67"/>
      <c r="QQB1" s="67"/>
      <c r="QQC1" s="67"/>
      <c r="QQD1" s="67"/>
      <c r="QQE1" s="67"/>
      <c r="QQF1" s="68"/>
      <c r="QQG1" s="67"/>
      <c r="QQH1" s="67"/>
      <c r="QQI1" s="67"/>
      <c r="QQJ1" s="67"/>
      <c r="QQK1" s="67"/>
      <c r="QQL1" s="67"/>
      <c r="QQM1" s="67"/>
      <c r="QQN1" s="68"/>
      <c r="QQO1" s="67"/>
      <c r="QQP1" s="67"/>
      <c r="QQQ1" s="67"/>
      <c r="QQR1" s="67"/>
      <c r="QQS1" s="67"/>
      <c r="QQT1" s="67"/>
      <c r="QQU1" s="67"/>
      <c r="QQV1" s="68"/>
      <c r="QQW1" s="67"/>
      <c r="QQX1" s="67"/>
      <c r="QQY1" s="67"/>
      <c r="QQZ1" s="67"/>
      <c r="QRA1" s="67"/>
      <c r="QRB1" s="67"/>
      <c r="QRC1" s="67"/>
      <c r="QRD1" s="68"/>
      <c r="QRE1" s="67"/>
      <c r="QRF1" s="67"/>
      <c r="QRG1" s="67"/>
      <c r="QRH1" s="67"/>
      <c r="QRI1" s="67"/>
      <c r="QRJ1" s="67"/>
      <c r="QRK1" s="67"/>
      <c r="QRL1" s="68"/>
      <c r="QRM1" s="67"/>
      <c r="QRN1" s="67"/>
      <c r="QRO1" s="67"/>
      <c r="QRP1" s="67"/>
      <c r="QRQ1" s="67"/>
      <c r="QRR1" s="67"/>
      <c r="QRS1" s="67"/>
      <c r="QRT1" s="68"/>
      <c r="QRU1" s="67"/>
      <c r="QRV1" s="67"/>
      <c r="QRW1" s="67"/>
      <c r="QRX1" s="67"/>
      <c r="QRY1" s="67"/>
      <c r="QRZ1" s="67"/>
      <c r="QSA1" s="67"/>
      <c r="QSB1" s="68"/>
      <c r="QSC1" s="67"/>
      <c r="QSD1" s="67"/>
      <c r="QSE1" s="67"/>
      <c r="QSF1" s="67"/>
      <c r="QSG1" s="67"/>
      <c r="QSH1" s="67"/>
      <c r="QSI1" s="67"/>
      <c r="QSJ1" s="68"/>
      <c r="QSK1" s="67"/>
      <c r="QSL1" s="67"/>
      <c r="QSM1" s="67"/>
      <c r="QSN1" s="67"/>
      <c r="QSO1" s="67"/>
      <c r="QSP1" s="67"/>
      <c r="QSQ1" s="67"/>
      <c r="QSR1" s="68"/>
      <c r="QSS1" s="67"/>
      <c r="QST1" s="67"/>
      <c r="QSU1" s="67"/>
      <c r="QSV1" s="67"/>
      <c r="QSW1" s="67"/>
      <c r="QSX1" s="67"/>
      <c r="QSY1" s="67"/>
      <c r="QSZ1" s="68"/>
      <c r="QTA1" s="67"/>
      <c r="QTB1" s="67"/>
      <c r="QTC1" s="67"/>
      <c r="QTD1" s="67"/>
      <c r="QTE1" s="67"/>
      <c r="QTF1" s="67"/>
      <c r="QTG1" s="67"/>
      <c r="QTH1" s="68"/>
      <c r="QTI1" s="67"/>
      <c r="QTJ1" s="67"/>
      <c r="QTK1" s="67"/>
      <c r="QTL1" s="67"/>
      <c r="QTM1" s="67"/>
      <c r="QTN1" s="67"/>
      <c r="QTO1" s="67"/>
      <c r="QTP1" s="68"/>
      <c r="QTQ1" s="67"/>
      <c r="QTR1" s="67"/>
      <c r="QTS1" s="67"/>
      <c r="QTT1" s="67"/>
      <c r="QTU1" s="67"/>
      <c r="QTV1" s="67"/>
      <c r="QTW1" s="67"/>
      <c r="QTX1" s="68"/>
      <c r="QTY1" s="67"/>
      <c r="QTZ1" s="67"/>
      <c r="QUA1" s="67"/>
      <c r="QUB1" s="67"/>
      <c r="QUC1" s="67"/>
      <c r="QUD1" s="67"/>
      <c r="QUE1" s="67"/>
      <c r="QUF1" s="68"/>
      <c r="QUG1" s="67"/>
      <c r="QUH1" s="67"/>
      <c r="QUI1" s="67"/>
      <c r="QUJ1" s="67"/>
      <c r="QUK1" s="67"/>
      <c r="QUL1" s="67"/>
      <c r="QUM1" s="67"/>
      <c r="QUN1" s="68"/>
      <c r="QUO1" s="67"/>
      <c r="QUP1" s="67"/>
      <c r="QUQ1" s="67"/>
      <c r="QUR1" s="67"/>
      <c r="QUS1" s="67"/>
      <c r="QUT1" s="67"/>
      <c r="QUU1" s="67"/>
      <c r="QUV1" s="68"/>
      <c r="QUW1" s="67"/>
      <c r="QUX1" s="67"/>
      <c r="QUY1" s="67"/>
      <c r="QUZ1" s="67"/>
      <c r="QVA1" s="67"/>
      <c r="QVB1" s="67"/>
      <c r="QVC1" s="67"/>
      <c r="QVD1" s="68"/>
      <c r="QVE1" s="67"/>
      <c r="QVF1" s="67"/>
      <c r="QVG1" s="67"/>
      <c r="QVH1" s="67"/>
      <c r="QVI1" s="67"/>
      <c r="QVJ1" s="67"/>
      <c r="QVK1" s="67"/>
      <c r="QVL1" s="68"/>
      <c r="QVM1" s="67"/>
      <c r="QVN1" s="67"/>
      <c r="QVO1" s="67"/>
      <c r="QVP1" s="67"/>
      <c r="QVQ1" s="67"/>
      <c r="QVR1" s="67"/>
      <c r="QVS1" s="67"/>
      <c r="QVT1" s="68"/>
      <c r="QVU1" s="67"/>
      <c r="QVV1" s="67"/>
      <c r="QVW1" s="67"/>
      <c r="QVX1" s="67"/>
      <c r="QVY1" s="67"/>
      <c r="QVZ1" s="67"/>
      <c r="QWA1" s="67"/>
      <c r="QWB1" s="68"/>
      <c r="QWC1" s="67"/>
      <c r="QWD1" s="67"/>
      <c r="QWE1" s="67"/>
      <c r="QWF1" s="67"/>
      <c r="QWG1" s="67"/>
      <c r="QWH1" s="67"/>
      <c r="QWI1" s="67"/>
      <c r="QWJ1" s="68"/>
      <c r="QWK1" s="67"/>
      <c r="QWL1" s="67"/>
      <c r="QWM1" s="67"/>
      <c r="QWN1" s="67"/>
      <c r="QWO1" s="67"/>
      <c r="QWP1" s="67"/>
      <c r="QWQ1" s="67"/>
      <c r="QWR1" s="68"/>
      <c r="QWS1" s="67"/>
      <c r="QWT1" s="67"/>
      <c r="QWU1" s="67"/>
      <c r="QWV1" s="67"/>
      <c r="QWW1" s="67"/>
      <c r="QWX1" s="67"/>
      <c r="QWY1" s="67"/>
      <c r="QWZ1" s="68"/>
      <c r="QXA1" s="67"/>
      <c r="QXB1" s="67"/>
      <c r="QXC1" s="67"/>
      <c r="QXD1" s="67"/>
      <c r="QXE1" s="67"/>
      <c r="QXF1" s="67"/>
      <c r="QXG1" s="67"/>
      <c r="QXH1" s="68"/>
      <c r="QXI1" s="67"/>
      <c r="QXJ1" s="67"/>
      <c r="QXK1" s="67"/>
      <c r="QXL1" s="67"/>
      <c r="QXM1" s="67"/>
      <c r="QXN1" s="67"/>
      <c r="QXO1" s="67"/>
      <c r="QXP1" s="68"/>
      <c r="QXQ1" s="67"/>
      <c r="QXR1" s="67"/>
      <c r="QXS1" s="67"/>
      <c r="QXT1" s="67"/>
      <c r="QXU1" s="67"/>
      <c r="QXV1" s="67"/>
      <c r="QXW1" s="67"/>
      <c r="QXX1" s="68"/>
      <c r="QXY1" s="67"/>
      <c r="QXZ1" s="67"/>
      <c r="QYA1" s="67"/>
      <c r="QYB1" s="67"/>
      <c r="QYC1" s="67"/>
      <c r="QYD1" s="67"/>
      <c r="QYE1" s="67"/>
      <c r="QYF1" s="68"/>
      <c r="QYG1" s="67"/>
      <c r="QYH1" s="67"/>
      <c r="QYI1" s="67"/>
      <c r="QYJ1" s="67"/>
      <c r="QYK1" s="67"/>
      <c r="QYL1" s="67"/>
      <c r="QYM1" s="67"/>
      <c r="QYN1" s="68"/>
      <c r="QYO1" s="67"/>
      <c r="QYP1" s="67"/>
      <c r="QYQ1" s="67"/>
      <c r="QYR1" s="67"/>
      <c r="QYS1" s="67"/>
      <c r="QYT1" s="67"/>
      <c r="QYU1" s="67"/>
      <c r="QYV1" s="68"/>
      <c r="QYW1" s="67"/>
      <c r="QYX1" s="67"/>
      <c r="QYY1" s="67"/>
      <c r="QYZ1" s="67"/>
      <c r="QZA1" s="67"/>
      <c r="QZB1" s="67"/>
      <c r="QZC1" s="67"/>
      <c r="QZD1" s="68"/>
      <c r="QZE1" s="67"/>
      <c r="QZF1" s="67"/>
      <c r="QZG1" s="67"/>
      <c r="QZH1" s="67"/>
      <c r="QZI1" s="67"/>
      <c r="QZJ1" s="67"/>
      <c r="QZK1" s="67"/>
      <c r="QZL1" s="68"/>
      <c r="QZM1" s="67"/>
      <c r="QZN1" s="67"/>
      <c r="QZO1" s="67"/>
      <c r="QZP1" s="67"/>
      <c r="QZQ1" s="67"/>
      <c r="QZR1" s="67"/>
      <c r="QZS1" s="67"/>
      <c r="QZT1" s="68"/>
      <c r="QZU1" s="67"/>
      <c r="QZV1" s="67"/>
      <c r="QZW1" s="67"/>
      <c r="QZX1" s="67"/>
      <c r="QZY1" s="67"/>
      <c r="QZZ1" s="67"/>
      <c r="RAA1" s="67"/>
      <c r="RAB1" s="68"/>
      <c r="RAC1" s="67"/>
      <c r="RAD1" s="67"/>
      <c r="RAE1" s="67"/>
      <c r="RAF1" s="67"/>
      <c r="RAG1" s="67"/>
      <c r="RAH1" s="67"/>
      <c r="RAI1" s="67"/>
      <c r="RAJ1" s="68"/>
      <c r="RAK1" s="67"/>
      <c r="RAL1" s="67"/>
      <c r="RAM1" s="67"/>
      <c r="RAN1" s="67"/>
      <c r="RAO1" s="67"/>
      <c r="RAP1" s="67"/>
      <c r="RAQ1" s="67"/>
      <c r="RAR1" s="68"/>
      <c r="RAS1" s="67"/>
      <c r="RAT1" s="67"/>
      <c r="RAU1" s="67"/>
      <c r="RAV1" s="67"/>
      <c r="RAW1" s="67"/>
      <c r="RAX1" s="67"/>
      <c r="RAY1" s="67"/>
      <c r="RAZ1" s="68"/>
      <c r="RBA1" s="67"/>
      <c r="RBB1" s="67"/>
      <c r="RBC1" s="67"/>
      <c r="RBD1" s="67"/>
      <c r="RBE1" s="67"/>
      <c r="RBF1" s="67"/>
      <c r="RBG1" s="67"/>
      <c r="RBH1" s="68"/>
      <c r="RBI1" s="67"/>
      <c r="RBJ1" s="67"/>
      <c r="RBK1" s="67"/>
      <c r="RBL1" s="67"/>
      <c r="RBM1" s="67"/>
      <c r="RBN1" s="67"/>
      <c r="RBO1" s="67"/>
      <c r="RBP1" s="68"/>
      <c r="RBQ1" s="67"/>
      <c r="RBR1" s="67"/>
      <c r="RBS1" s="67"/>
      <c r="RBT1" s="67"/>
      <c r="RBU1" s="67"/>
      <c r="RBV1" s="67"/>
      <c r="RBW1" s="67"/>
      <c r="RBX1" s="68"/>
      <c r="RBY1" s="67"/>
      <c r="RBZ1" s="67"/>
      <c r="RCA1" s="67"/>
      <c r="RCB1" s="67"/>
      <c r="RCC1" s="67"/>
      <c r="RCD1" s="67"/>
      <c r="RCE1" s="67"/>
      <c r="RCF1" s="68"/>
      <c r="RCG1" s="67"/>
      <c r="RCH1" s="67"/>
      <c r="RCI1" s="67"/>
      <c r="RCJ1" s="67"/>
      <c r="RCK1" s="67"/>
      <c r="RCL1" s="67"/>
      <c r="RCM1" s="67"/>
      <c r="RCN1" s="68"/>
      <c r="RCO1" s="67"/>
      <c r="RCP1" s="67"/>
      <c r="RCQ1" s="67"/>
      <c r="RCR1" s="67"/>
      <c r="RCS1" s="67"/>
      <c r="RCT1" s="67"/>
      <c r="RCU1" s="67"/>
      <c r="RCV1" s="68"/>
      <c r="RCW1" s="67"/>
      <c r="RCX1" s="67"/>
      <c r="RCY1" s="67"/>
      <c r="RCZ1" s="67"/>
      <c r="RDA1" s="67"/>
      <c r="RDB1" s="67"/>
      <c r="RDC1" s="67"/>
      <c r="RDD1" s="68"/>
      <c r="RDE1" s="67"/>
      <c r="RDF1" s="67"/>
      <c r="RDG1" s="67"/>
      <c r="RDH1" s="67"/>
      <c r="RDI1" s="67"/>
      <c r="RDJ1" s="67"/>
      <c r="RDK1" s="67"/>
      <c r="RDL1" s="68"/>
      <c r="RDM1" s="67"/>
      <c r="RDN1" s="67"/>
      <c r="RDO1" s="67"/>
      <c r="RDP1" s="67"/>
      <c r="RDQ1" s="67"/>
      <c r="RDR1" s="67"/>
      <c r="RDS1" s="67"/>
      <c r="RDT1" s="68"/>
      <c r="RDU1" s="67"/>
      <c r="RDV1" s="67"/>
      <c r="RDW1" s="67"/>
      <c r="RDX1" s="67"/>
      <c r="RDY1" s="67"/>
      <c r="RDZ1" s="67"/>
      <c r="REA1" s="67"/>
      <c r="REB1" s="68"/>
      <c r="REC1" s="67"/>
      <c r="RED1" s="67"/>
      <c r="REE1" s="67"/>
      <c r="REF1" s="67"/>
      <c r="REG1" s="67"/>
      <c r="REH1" s="67"/>
      <c r="REI1" s="67"/>
      <c r="REJ1" s="68"/>
      <c r="REK1" s="67"/>
      <c r="REL1" s="67"/>
      <c r="REM1" s="67"/>
      <c r="REN1" s="67"/>
      <c r="REO1" s="67"/>
      <c r="REP1" s="67"/>
      <c r="REQ1" s="67"/>
      <c r="RER1" s="68"/>
      <c r="RES1" s="67"/>
      <c r="RET1" s="67"/>
      <c r="REU1" s="67"/>
      <c r="REV1" s="67"/>
      <c r="REW1" s="67"/>
      <c r="REX1" s="67"/>
      <c r="REY1" s="67"/>
      <c r="REZ1" s="68"/>
      <c r="RFA1" s="67"/>
      <c r="RFB1" s="67"/>
      <c r="RFC1" s="67"/>
      <c r="RFD1" s="67"/>
      <c r="RFE1" s="67"/>
      <c r="RFF1" s="67"/>
      <c r="RFG1" s="67"/>
      <c r="RFH1" s="68"/>
      <c r="RFI1" s="67"/>
      <c r="RFJ1" s="67"/>
      <c r="RFK1" s="67"/>
      <c r="RFL1" s="67"/>
      <c r="RFM1" s="67"/>
      <c r="RFN1" s="67"/>
      <c r="RFO1" s="67"/>
      <c r="RFP1" s="68"/>
      <c r="RFQ1" s="67"/>
      <c r="RFR1" s="67"/>
      <c r="RFS1" s="67"/>
      <c r="RFT1" s="67"/>
      <c r="RFU1" s="67"/>
      <c r="RFV1" s="67"/>
      <c r="RFW1" s="67"/>
      <c r="RFX1" s="68"/>
      <c r="RFY1" s="67"/>
      <c r="RFZ1" s="67"/>
      <c r="RGA1" s="67"/>
      <c r="RGB1" s="67"/>
      <c r="RGC1" s="67"/>
      <c r="RGD1" s="67"/>
      <c r="RGE1" s="67"/>
      <c r="RGF1" s="68"/>
      <c r="RGG1" s="67"/>
      <c r="RGH1" s="67"/>
      <c r="RGI1" s="67"/>
      <c r="RGJ1" s="67"/>
      <c r="RGK1" s="67"/>
      <c r="RGL1" s="67"/>
      <c r="RGM1" s="67"/>
      <c r="RGN1" s="68"/>
      <c r="RGO1" s="67"/>
      <c r="RGP1" s="67"/>
      <c r="RGQ1" s="67"/>
      <c r="RGR1" s="67"/>
      <c r="RGS1" s="67"/>
      <c r="RGT1" s="67"/>
      <c r="RGU1" s="67"/>
      <c r="RGV1" s="68"/>
      <c r="RGW1" s="67"/>
      <c r="RGX1" s="67"/>
      <c r="RGY1" s="67"/>
      <c r="RGZ1" s="67"/>
      <c r="RHA1" s="67"/>
      <c r="RHB1" s="67"/>
      <c r="RHC1" s="67"/>
      <c r="RHD1" s="68"/>
      <c r="RHE1" s="67"/>
      <c r="RHF1" s="67"/>
      <c r="RHG1" s="67"/>
      <c r="RHH1" s="67"/>
      <c r="RHI1" s="67"/>
      <c r="RHJ1" s="67"/>
      <c r="RHK1" s="67"/>
      <c r="RHL1" s="68"/>
      <c r="RHM1" s="67"/>
      <c r="RHN1" s="67"/>
      <c r="RHO1" s="67"/>
      <c r="RHP1" s="67"/>
      <c r="RHQ1" s="67"/>
      <c r="RHR1" s="67"/>
      <c r="RHS1" s="67"/>
      <c r="RHT1" s="68"/>
      <c r="RHU1" s="67"/>
      <c r="RHV1" s="67"/>
      <c r="RHW1" s="67"/>
      <c r="RHX1" s="67"/>
      <c r="RHY1" s="67"/>
      <c r="RHZ1" s="67"/>
      <c r="RIA1" s="67"/>
      <c r="RIB1" s="68"/>
      <c r="RIC1" s="67"/>
      <c r="RID1" s="67"/>
      <c r="RIE1" s="67"/>
      <c r="RIF1" s="67"/>
      <c r="RIG1" s="67"/>
      <c r="RIH1" s="67"/>
      <c r="RII1" s="67"/>
      <c r="RIJ1" s="68"/>
      <c r="RIK1" s="67"/>
      <c r="RIL1" s="67"/>
      <c r="RIM1" s="67"/>
      <c r="RIN1" s="67"/>
      <c r="RIO1" s="67"/>
      <c r="RIP1" s="67"/>
      <c r="RIQ1" s="67"/>
      <c r="RIR1" s="68"/>
      <c r="RIS1" s="67"/>
      <c r="RIT1" s="67"/>
      <c r="RIU1" s="67"/>
      <c r="RIV1" s="67"/>
      <c r="RIW1" s="67"/>
      <c r="RIX1" s="67"/>
      <c r="RIY1" s="67"/>
      <c r="RIZ1" s="68"/>
      <c r="RJA1" s="67"/>
      <c r="RJB1" s="67"/>
      <c r="RJC1" s="67"/>
      <c r="RJD1" s="67"/>
      <c r="RJE1" s="67"/>
      <c r="RJF1" s="67"/>
      <c r="RJG1" s="67"/>
      <c r="RJH1" s="68"/>
      <c r="RJI1" s="67"/>
      <c r="RJJ1" s="67"/>
      <c r="RJK1" s="67"/>
      <c r="RJL1" s="67"/>
      <c r="RJM1" s="67"/>
      <c r="RJN1" s="67"/>
      <c r="RJO1" s="67"/>
      <c r="RJP1" s="68"/>
      <c r="RJQ1" s="67"/>
      <c r="RJR1" s="67"/>
      <c r="RJS1" s="67"/>
      <c r="RJT1" s="67"/>
      <c r="RJU1" s="67"/>
      <c r="RJV1" s="67"/>
      <c r="RJW1" s="67"/>
      <c r="RJX1" s="68"/>
      <c r="RJY1" s="67"/>
      <c r="RJZ1" s="67"/>
      <c r="RKA1" s="67"/>
      <c r="RKB1" s="67"/>
      <c r="RKC1" s="67"/>
      <c r="RKD1" s="67"/>
      <c r="RKE1" s="67"/>
      <c r="RKF1" s="68"/>
      <c r="RKG1" s="67"/>
      <c r="RKH1" s="67"/>
      <c r="RKI1" s="67"/>
      <c r="RKJ1" s="67"/>
      <c r="RKK1" s="67"/>
      <c r="RKL1" s="67"/>
      <c r="RKM1" s="67"/>
      <c r="RKN1" s="68"/>
      <c r="RKO1" s="67"/>
      <c r="RKP1" s="67"/>
      <c r="RKQ1" s="67"/>
      <c r="RKR1" s="67"/>
      <c r="RKS1" s="67"/>
      <c r="RKT1" s="67"/>
      <c r="RKU1" s="67"/>
      <c r="RKV1" s="68"/>
      <c r="RKW1" s="67"/>
      <c r="RKX1" s="67"/>
      <c r="RKY1" s="67"/>
      <c r="RKZ1" s="67"/>
      <c r="RLA1" s="67"/>
      <c r="RLB1" s="67"/>
      <c r="RLC1" s="67"/>
      <c r="RLD1" s="68"/>
      <c r="RLE1" s="67"/>
      <c r="RLF1" s="67"/>
      <c r="RLG1" s="67"/>
      <c r="RLH1" s="67"/>
      <c r="RLI1" s="67"/>
      <c r="RLJ1" s="67"/>
      <c r="RLK1" s="67"/>
      <c r="RLL1" s="68"/>
      <c r="RLM1" s="67"/>
      <c r="RLN1" s="67"/>
      <c r="RLO1" s="67"/>
      <c r="RLP1" s="67"/>
      <c r="RLQ1" s="67"/>
      <c r="RLR1" s="67"/>
      <c r="RLS1" s="67"/>
      <c r="RLT1" s="68"/>
      <c r="RLU1" s="67"/>
      <c r="RLV1" s="67"/>
      <c r="RLW1" s="67"/>
      <c r="RLX1" s="67"/>
      <c r="RLY1" s="67"/>
      <c r="RLZ1" s="67"/>
      <c r="RMA1" s="67"/>
      <c r="RMB1" s="68"/>
      <c r="RMC1" s="67"/>
      <c r="RMD1" s="67"/>
      <c r="RME1" s="67"/>
      <c r="RMF1" s="67"/>
      <c r="RMG1" s="67"/>
      <c r="RMH1" s="67"/>
      <c r="RMI1" s="67"/>
      <c r="RMJ1" s="68"/>
      <c r="RMK1" s="67"/>
      <c r="RML1" s="67"/>
      <c r="RMM1" s="67"/>
      <c r="RMN1" s="67"/>
      <c r="RMO1" s="67"/>
      <c r="RMP1" s="67"/>
      <c r="RMQ1" s="67"/>
      <c r="RMR1" s="68"/>
      <c r="RMS1" s="67"/>
      <c r="RMT1" s="67"/>
      <c r="RMU1" s="67"/>
      <c r="RMV1" s="67"/>
      <c r="RMW1" s="67"/>
      <c r="RMX1" s="67"/>
      <c r="RMY1" s="67"/>
      <c r="RMZ1" s="68"/>
      <c r="RNA1" s="67"/>
      <c r="RNB1" s="67"/>
      <c r="RNC1" s="67"/>
      <c r="RND1" s="67"/>
      <c r="RNE1" s="67"/>
      <c r="RNF1" s="67"/>
      <c r="RNG1" s="67"/>
      <c r="RNH1" s="68"/>
      <c r="RNI1" s="67"/>
      <c r="RNJ1" s="67"/>
      <c r="RNK1" s="67"/>
      <c r="RNL1" s="67"/>
      <c r="RNM1" s="67"/>
      <c r="RNN1" s="67"/>
      <c r="RNO1" s="67"/>
      <c r="RNP1" s="68"/>
      <c r="RNQ1" s="67"/>
      <c r="RNR1" s="67"/>
      <c r="RNS1" s="67"/>
      <c r="RNT1" s="67"/>
      <c r="RNU1" s="67"/>
      <c r="RNV1" s="67"/>
      <c r="RNW1" s="67"/>
      <c r="RNX1" s="68"/>
      <c r="RNY1" s="67"/>
      <c r="RNZ1" s="67"/>
      <c r="ROA1" s="67"/>
      <c r="ROB1" s="67"/>
      <c r="ROC1" s="67"/>
      <c r="ROD1" s="67"/>
      <c r="ROE1" s="67"/>
      <c r="ROF1" s="68"/>
      <c r="ROG1" s="67"/>
      <c r="ROH1" s="67"/>
      <c r="ROI1" s="67"/>
      <c r="ROJ1" s="67"/>
      <c r="ROK1" s="67"/>
      <c r="ROL1" s="67"/>
      <c r="ROM1" s="67"/>
      <c r="RON1" s="68"/>
      <c r="ROO1" s="67"/>
      <c r="ROP1" s="67"/>
      <c r="ROQ1" s="67"/>
      <c r="ROR1" s="67"/>
      <c r="ROS1" s="67"/>
      <c r="ROT1" s="67"/>
      <c r="ROU1" s="67"/>
      <c r="ROV1" s="68"/>
      <c r="ROW1" s="67"/>
      <c r="ROX1" s="67"/>
      <c r="ROY1" s="67"/>
      <c r="ROZ1" s="67"/>
      <c r="RPA1" s="67"/>
      <c r="RPB1" s="67"/>
      <c r="RPC1" s="67"/>
      <c r="RPD1" s="68"/>
      <c r="RPE1" s="67"/>
      <c r="RPF1" s="67"/>
      <c r="RPG1" s="67"/>
      <c r="RPH1" s="67"/>
      <c r="RPI1" s="67"/>
      <c r="RPJ1" s="67"/>
      <c r="RPK1" s="67"/>
      <c r="RPL1" s="68"/>
      <c r="RPM1" s="67"/>
      <c r="RPN1" s="67"/>
      <c r="RPO1" s="67"/>
      <c r="RPP1" s="67"/>
      <c r="RPQ1" s="67"/>
      <c r="RPR1" s="67"/>
      <c r="RPS1" s="67"/>
      <c r="RPT1" s="68"/>
      <c r="RPU1" s="67"/>
      <c r="RPV1" s="67"/>
      <c r="RPW1" s="67"/>
      <c r="RPX1" s="67"/>
      <c r="RPY1" s="67"/>
      <c r="RPZ1" s="67"/>
      <c r="RQA1" s="67"/>
      <c r="RQB1" s="68"/>
      <c r="RQC1" s="67"/>
      <c r="RQD1" s="67"/>
      <c r="RQE1" s="67"/>
      <c r="RQF1" s="67"/>
      <c r="RQG1" s="67"/>
      <c r="RQH1" s="67"/>
      <c r="RQI1" s="67"/>
      <c r="RQJ1" s="68"/>
      <c r="RQK1" s="67"/>
      <c r="RQL1" s="67"/>
      <c r="RQM1" s="67"/>
      <c r="RQN1" s="67"/>
      <c r="RQO1" s="67"/>
      <c r="RQP1" s="67"/>
      <c r="RQQ1" s="67"/>
      <c r="RQR1" s="68"/>
      <c r="RQS1" s="67"/>
      <c r="RQT1" s="67"/>
      <c r="RQU1" s="67"/>
      <c r="RQV1" s="67"/>
      <c r="RQW1" s="67"/>
      <c r="RQX1" s="67"/>
      <c r="RQY1" s="67"/>
      <c r="RQZ1" s="68"/>
      <c r="RRA1" s="67"/>
      <c r="RRB1" s="67"/>
      <c r="RRC1" s="67"/>
      <c r="RRD1" s="67"/>
      <c r="RRE1" s="67"/>
      <c r="RRF1" s="67"/>
      <c r="RRG1" s="67"/>
      <c r="RRH1" s="68"/>
      <c r="RRI1" s="67"/>
      <c r="RRJ1" s="67"/>
      <c r="RRK1" s="67"/>
      <c r="RRL1" s="67"/>
      <c r="RRM1" s="67"/>
      <c r="RRN1" s="67"/>
      <c r="RRO1" s="67"/>
      <c r="RRP1" s="68"/>
      <c r="RRQ1" s="67"/>
      <c r="RRR1" s="67"/>
      <c r="RRS1" s="67"/>
      <c r="RRT1" s="67"/>
      <c r="RRU1" s="67"/>
      <c r="RRV1" s="67"/>
      <c r="RRW1" s="67"/>
      <c r="RRX1" s="68"/>
      <c r="RRY1" s="67"/>
      <c r="RRZ1" s="67"/>
      <c r="RSA1" s="67"/>
      <c r="RSB1" s="67"/>
      <c r="RSC1" s="67"/>
      <c r="RSD1" s="67"/>
      <c r="RSE1" s="67"/>
      <c r="RSF1" s="68"/>
      <c r="RSG1" s="67"/>
      <c r="RSH1" s="67"/>
      <c r="RSI1" s="67"/>
      <c r="RSJ1" s="67"/>
      <c r="RSK1" s="67"/>
      <c r="RSL1" s="67"/>
      <c r="RSM1" s="67"/>
      <c r="RSN1" s="68"/>
      <c r="RSO1" s="67"/>
      <c r="RSP1" s="67"/>
      <c r="RSQ1" s="67"/>
      <c r="RSR1" s="67"/>
      <c r="RSS1" s="67"/>
      <c r="RST1" s="67"/>
      <c r="RSU1" s="67"/>
      <c r="RSV1" s="68"/>
      <c r="RSW1" s="67"/>
      <c r="RSX1" s="67"/>
      <c r="RSY1" s="67"/>
      <c r="RSZ1" s="67"/>
      <c r="RTA1" s="67"/>
      <c r="RTB1" s="67"/>
      <c r="RTC1" s="67"/>
      <c r="RTD1" s="68"/>
      <c r="RTE1" s="67"/>
      <c r="RTF1" s="67"/>
      <c r="RTG1" s="67"/>
      <c r="RTH1" s="67"/>
      <c r="RTI1" s="67"/>
      <c r="RTJ1" s="67"/>
      <c r="RTK1" s="67"/>
      <c r="RTL1" s="68"/>
      <c r="RTM1" s="67"/>
      <c r="RTN1" s="67"/>
      <c r="RTO1" s="67"/>
      <c r="RTP1" s="67"/>
      <c r="RTQ1" s="67"/>
      <c r="RTR1" s="67"/>
      <c r="RTS1" s="67"/>
      <c r="RTT1" s="68"/>
      <c r="RTU1" s="67"/>
      <c r="RTV1" s="67"/>
      <c r="RTW1" s="67"/>
      <c r="RTX1" s="67"/>
      <c r="RTY1" s="67"/>
      <c r="RTZ1" s="67"/>
      <c r="RUA1" s="67"/>
      <c r="RUB1" s="68"/>
      <c r="RUC1" s="67"/>
      <c r="RUD1" s="67"/>
      <c r="RUE1" s="67"/>
      <c r="RUF1" s="67"/>
      <c r="RUG1" s="67"/>
      <c r="RUH1" s="67"/>
      <c r="RUI1" s="67"/>
      <c r="RUJ1" s="68"/>
      <c r="RUK1" s="67"/>
      <c r="RUL1" s="67"/>
      <c r="RUM1" s="67"/>
      <c r="RUN1" s="67"/>
      <c r="RUO1" s="67"/>
      <c r="RUP1" s="67"/>
      <c r="RUQ1" s="67"/>
      <c r="RUR1" s="68"/>
      <c r="RUS1" s="67"/>
      <c r="RUT1" s="67"/>
      <c r="RUU1" s="67"/>
      <c r="RUV1" s="67"/>
      <c r="RUW1" s="67"/>
      <c r="RUX1" s="67"/>
      <c r="RUY1" s="67"/>
      <c r="RUZ1" s="68"/>
      <c r="RVA1" s="67"/>
      <c r="RVB1" s="67"/>
      <c r="RVC1" s="67"/>
      <c r="RVD1" s="67"/>
      <c r="RVE1" s="67"/>
      <c r="RVF1" s="67"/>
      <c r="RVG1" s="67"/>
      <c r="RVH1" s="68"/>
      <c r="RVI1" s="67"/>
      <c r="RVJ1" s="67"/>
      <c r="RVK1" s="67"/>
      <c r="RVL1" s="67"/>
      <c r="RVM1" s="67"/>
      <c r="RVN1" s="67"/>
      <c r="RVO1" s="67"/>
      <c r="RVP1" s="68"/>
      <c r="RVQ1" s="67"/>
      <c r="RVR1" s="67"/>
      <c r="RVS1" s="67"/>
      <c r="RVT1" s="67"/>
      <c r="RVU1" s="67"/>
      <c r="RVV1" s="67"/>
      <c r="RVW1" s="67"/>
      <c r="RVX1" s="68"/>
      <c r="RVY1" s="67"/>
      <c r="RVZ1" s="67"/>
      <c r="RWA1" s="67"/>
      <c r="RWB1" s="67"/>
      <c r="RWC1" s="67"/>
      <c r="RWD1" s="67"/>
      <c r="RWE1" s="67"/>
      <c r="RWF1" s="68"/>
      <c r="RWG1" s="67"/>
      <c r="RWH1" s="67"/>
      <c r="RWI1" s="67"/>
      <c r="RWJ1" s="67"/>
      <c r="RWK1" s="67"/>
      <c r="RWL1" s="67"/>
      <c r="RWM1" s="67"/>
      <c r="RWN1" s="68"/>
      <c r="RWO1" s="67"/>
      <c r="RWP1" s="67"/>
      <c r="RWQ1" s="67"/>
      <c r="RWR1" s="67"/>
      <c r="RWS1" s="67"/>
      <c r="RWT1" s="67"/>
      <c r="RWU1" s="67"/>
      <c r="RWV1" s="68"/>
      <c r="RWW1" s="67"/>
      <c r="RWX1" s="67"/>
      <c r="RWY1" s="67"/>
      <c r="RWZ1" s="67"/>
      <c r="RXA1" s="67"/>
      <c r="RXB1" s="67"/>
      <c r="RXC1" s="67"/>
      <c r="RXD1" s="68"/>
      <c r="RXE1" s="67"/>
      <c r="RXF1" s="67"/>
      <c r="RXG1" s="67"/>
      <c r="RXH1" s="67"/>
      <c r="RXI1" s="67"/>
      <c r="RXJ1" s="67"/>
      <c r="RXK1" s="67"/>
      <c r="RXL1" s="68"/>
      <c r="RXM1" s="67"/>
      <c r="RXN1" s="67"/>
      <c r="RXO1" s="67"/>
      <c r="RXP1" s="67"/>
      <c r="RXQ1" s="67"/>
      <c r="RXR1" s="67"/>
      <c r="RXS1" s="67"/>
      <c r="RXT1" s="68"/>
      <c r="RXU1" s="67"/>
      <c r="RXV1" s="67"/>
      <c r="RXW1" s="67"/>
      <c r="RXX1" s="67"/>
      <c r="RXY1" s="67"/>
      <c r="RXZ1" s="67"/>
      <c r="RYA1" s="67"/>
      <c r="RYB1" s="68"/>
      <c r="RYC1" s="67"/>
      <c r="RYD1" s="67"/>
      <c r="RYE1" s="67"/>
      <c r="RYF1" s="67"/>
      <c r="RYG1" s="67"/>
      <c r="RYH1" s="67"/>
      <c r="RYI1" s="67"/>
      <c r="RYJ1" s="68"/>
      <c r="RYK1" s="67"/>
      <c r="RYL1" s="67"/>
      <c r="RYM1" s="67"/>
      <c r="RYN1" s="67"/>
      <c r="RYO1" s="67"/>
      <c r="RYP1" s="67"/>
      <c r="RYQ1" s="67"/>
      <c r="RYR1" s="68"/>
      <c r="RYS1" s="67"/>
      <c r="RYT1" s="67"/>
      <c r="RYU1" s="67"/>
      <c r="RYV1" s="67"/>
      <c r="RYW1" s="67"/>
      <c r="RYX1" s="67"/>
      <c r="RYY1" s="67"/>
      <c r="RYZ1" s="68"/>
      <c r="RZA1" s="67"/>
      <c r="RZB1" s="67"/>
      <c r="RZC1" s="67"/>
      <c r="RZD1" s="67"/>
      <c r="RZE1" s="67"/>
      <c r="RZF1" s="67"/>
      <c r="RZG1" s="67"/>
      <c r="RZH1" s="68"/>
      <c r="RZI1" s="67"/>
      <c r="RZJ1" s="67"/>
      <c r="RZK1" s="67"/>
      <c r="RZL1" s="67"/>
      <c r="RZM1" s="67"/>
      <c r="RZN1" s="67"/>
      <c r="RZO1" s="67"/>
      <c r="RZP1" s="68"/>
      <c r="RZQ1" s="67"/>
      <c r="RZR1" s="67"/>
      <c r="RZS1" s="67"/>
      <c r="RZT1" s="67"/>
      <c r="RZU1" s="67"/>
      <c r="RZV1" s="67"/>
      <c r="RZW1" s="67"/>
      <c r="RZX1" s="68"/>
      <c r="RZY1" s="67"/>
      <c r="RZZ1" s="67"/>
      <c r="SAA1" s="67"/>
      <c r="SAB1" s="67"/>
      <c r="SAC1" s="67"/>
      <c r="SAD1" s="67"/>
      <c r="SAE1" s="67"/>
      <c r="SAF1" s="68"/>
      <c r="SAG1" s="67"/>
      <c r="SAH1" s="67"/>
      <c r="SAI1" s="67"/>
      <c r="SAJ1" s="67"/>
      <c r="SAK1" s="67"/>
      <c r="SAL1" s="67"/>
      <c r="SAM1" s="67"/>
      <c r="SAN1" s="68"/>
      <c r="SAO1" s="67"/>
      <c r="SAP1" s="67"/>
      <c r="SAQ1" s="67"/>
      <c r="SAR1" s="67"/>
      <c r="SAS1" s="67"/>
      <c r="SAT1" s="67"/>
      <c r="SAU1" s="67"/>
      <c r="SAV1" s="68"/>
      <c r="SAW1" s="67"/>
      <c r="SAX1" s="67"/>
      <c r="SAY1" s="67"/>
      <c r="SAZ1" s="67"/>
      <c r="SBA1" s="67"/>
      <c r="SBB1" s="67"/>
      <c r="SBC1" s="67"/>
      <c r="SBD1" s="68"/>
      <c r="SBE1" s="67"/>
      <c r="SBF1" s="67"/>
      <c r="SBG1" s="67"/>
      <c r="SBH1" s="67"/>
      <c r="SBI1" s="67"/>
      <c r="SBJ1" s="67"/>
      <c r="SBK1" s="67"/>
      <c r="SBL1" s="68"/>
      <c r="SBM1" s="67"/>
      <c r="SBN1" s="67"/>
      <c r="SBO1" s="67"/>
      <c r="SBP1" s="67"/>
      <c r="SBQ1" s="67"/>
      <c r="SBR1" s="67"/>
      <c r="SBS1" s="67"/>
      <c r="SBT1" s="68"/>
      <c r="SBU1" s="67"/>
      <c r="SBV1" s="67"/>
      <c r="SBW1" s="67"/>
      <c r="SBX1" s="67"/>
      <c r="SBY1" s="67"/>
      <c r="SBZ1" s="67"/>
      <c r="SCA1" s="67"/>
      <c r="SCB1" s="68"/>
      <c r="SCC1" s="67"/>
      <c r="SCD1" s="67"/>
      <c r="SCE1" s="67"/>
      <c r="SCF1" s="67"/>
      <c r="SCG1" s="67"/>
      <c r="SCH1" s="67"/>
      <c r="SCI1" s="67"/>
      <c r="SCJ1" s="68"/>
      <c r="SCK1" s="67"/>
      <c r="SCL1" s="67"/>
      <c r="SCM1" s="67"/>
      <c r="SCN1" s="67"/>
      <c r="SCO1" s="67"/>
      <c r="SCP1" s="67"/>
      <c r="SCQ1" s="67"/>
      <c r="SCR1" s="68"/>
      <c r="SCS1" s="67"/>
      <c r="SCT1" s="67"/>
      <c r="SCU1" s="67"/>
      <c r="SCV1" s="67"/>
      <c r="SCW1" s="67"/>
      <c r="SCX1" s="67"/>
      <c r="SCY1" s="67"/>
      <c r="SCZ1" s="68"/>
      <c r="SDA1" s="67"/>
      <c r="SDB1" s="67"/>
      <c r="SDC1" s="67"/>
      <c r="SDD1" s="67"/>
      <c r="SDE1" s="67"/>
      <c r="SDF1" s="67"/>
      <c r="SDG1" s="67"/>
      <c r="SDH1" s="68"/>
      <c r="SDI1" s="67"/>
      <c r="SDJ1" s="67"/>
      <c r="SDK1" s="67"/>
      <c r="SDL1" s="67"/>
      <c r="SDM1" s="67"/>
      <c r="SDN1" s="67"/>
      <c r="SDO1" s="67"/>
      <c r="SDP1" s="68"/>
      <c r="SDQ1" s="67"/>
      <c r="SDR1" s="67"/>
      <c r="SDS1" s="67"/>
      <c r="SDT1" s="67"/>
      <c r="SDU1" s="67"/>
      <c r="SDV1" s="67"/>
      <c r="SDW1" s="67"/>
      <c r="SDX1" s="68"/>
      <c r="SDY1" s="67"/>
      <c r="SDZ1" s="67"/>
      <c r="SEA1" s="67"/>
      <c r="SEB1" s="67"/>
      <c r="SEC1" s="67"/>
      <c r="SED1" s="67"/>
      <c r="SEE1" s="67"/>
      <c r="SEF1" s="68"/>
      <c r="SEG1" s="67"/>
      <c r="SEH1" s="67"/>
      <c r="SEI1" s="67"/>
      <c r="SEJ1" s="67"/>
      <c r="SEK1" s="67"/>
      <c r="SEL1" s="67"/>
      <c r="SEM1" s="67"/>
      <c r="SEN1" s="68"/>
      <c r="SEO1" s="67"/>
      <c r="SEP1" s="67"/>
      <c r="SEQ1" s="67"/>
      <c r="SER1" s="67"/>
      <c r="SES1" s="67"/>
      <c r="SET1" s="67"/>
      <c r="SEU1" s="67"/>
      <c r="SEV1" s="68"/>
      <c r="SEW1" s="67"/>
      <c r="SEX1" s="67"/>
      <c r="SEY1" s="67"/>
      <c r="SEZ1" s="67"/>
      <c r="SFA1" s="67"/>
      <c r="SFB1" s="67"/>
      <c r="SFC1" s="67"/>
      <c r="SFD1" s="68"/>
      <c r="SFE1" s="67"/>
      <c r="SFF1" s="67"/>
      <c r="SFG1" s="67"/>
      <c r="SFH1" s="67"/>
      <c r="SFI1" s="67"/>
      <c r="SFJ1" s="67"/>
      <c r="SFK1" s="67"/>
      <c r="SFL1" s="68"/>
      <c r="SFM1" s="67"/>
      <c r="SFN1" s="67"/>
      <c r="SFO1" s="67"/>
      <c r="SFP1" s="67"/>
      <c r="SFQ1" s="67"/>
      <c r="SFR1" s="67"/>
      <c r="SFS1" s="67"/>
      <c r="SFT1" s="68"/>
      <c r="SFU1" s="67"/>
      <c r="SFV1" s="67"/>
      <c r="SFW1" s="67"/>
      <c r="SFX1" s="67"/>
      <c r="SFY1" s="67"/>
      <c r="SFZ1" s="67"/>
      <c r="SGA1" s="67"/>
      <c r="SGB1" s="68"/>
      <c r="SGC1" s="67"/>
      <c r="SGD1" s="67"/>
      <c r="SGE1" s="67"/>
      <c r="SGF1" s="67"/>
      <c r="SGG1" s="67"/>
      <c r="SGH1" s="67"/>
      <c r="SGI1" s="67"/>
      <c r="SGJ1" s="68"/>
      <c r="SGK1" s="67"/>
      <c r="SGL1" s="67"/>
      <c r="SGM1" s="67"/>
      <c r="SGN1" s="67"/>
      <c r="SGO1" s="67"/>
      <c r="SGP1" s="67"/>
      <c r="SGQ1" s="67"/>
      <c r="SGR1" s="68"/>
      <c r="SGS1" s="67"/>
      <c r="SGT1" s="67"/>
      <c r="SGU1" s="67"/>
      <c r="SGV1" s="67"/>
      <c r="SGW1" s="67"/>
      <c r="SGX1" s="67"/>
      <c r="SGY1" s="67"/>
      <c r="SGZ1" s="68"/>
      <c r="SHA1" s="67"/>
      <c r="SHB1" s="67"/>
      <c r="SHC1" s="67"/>
      <c r="SHD1" s="67"/>
      <c r="SHE1" s="67"/>
      <c r="SHF1" s="67"/>
      <c r="SHG1" s="67"/>
      <c r="SHH1" s="68"/>
      <c r="SHI1" s="67"/>
      <c r="SHJ1" s="67"/>
      <c r="SHK1" s="67"/>
      <c r="SHL1" s="67"/>
      <c r="SHM1" s="67"/>
      <c r="SHN1" s="67"/>
      <c r="SHO1" s="67"/>
      <c r="SHP1" s="68"/>
      <c r="SHQ1" s="67"/>
      <c r="SHR1" s="67"/>
      <c r="SHS1" s="67"/>
      <c r="SHT1" s="67"/>
      <c r="SHU1" s="67"/>
      <c r="SHV1" s="67"/>
      <c r="SHW1" s="67"/>
      <c r="SHX1" s="68"/>
      <c r="SHY1" s="67"/>
      <c r="SHZ1" s="67"/>
      <c r="SIA1" s="67"/>
      <c r="SIB1" s="67"/>
      <c r="SIC1" s="67"/>
      <c r="SID1" s="67"/>
      <c r="SIE1" s="67"/>
      <c r="SIF1" s="68"/>
      <c r="SIG1" s="67"/>
      <c r="SIH1" s="67"/>
      <c r="SII1" s="67"/>
      <c r="SIJ1" s="67"/>
      <c r="SIK1" s="67"/>
      <c r="SIL1" s="67"/>
      <c r="SIM1" s="67"/>
      <c r="SIN1" s="68"/>
      <c r="SIO1" s="67"/>
      <c r="SIP1" s="67"/>
      <c r="SIQ1" s="67"/>
      <c r="SIR1" s="67"/>
      <c r="SIS1" s="67"/>
      <c r="SIT1" s="67"/>
      <c r="SIU1" s="67"/>
      <c r="SIV1" s="68"/>
      <c r="SIW1" s="67"/>
      <c r="SIX1" s="67"/>
      <c r="SIY1" s="67"/>
      <c r="SIZ1" s="67"/>
      <c r="SJA1" s="67"/>
      <c r="SJB1" s="67"/>
      <c r="SJC1" s="67"/>
      <c r="SJD1" s="68"/>
      <c r="SJE1" s="67"/>
      <c r="SJF1" s="67"/>
      <c r="SJG1" s="67"/>
      <c r="SJH1" s="67"/>
      <c r="SJI1" s="67"/>
      <c r="SJJ1" s="67"/>
      <c r="SJK1" s="67"/>
      <c r="SJL1" s="68"/>
      <c r="SJM1" s="67"/>
      <c r="SJN1" s="67"/>
      <c r="SJO1" s="67"/>
      <c r="SJP1" s="67"/>
      <c r="SJQ1" s="67"/>
      <c r="SJR1" s="67"/>
      <c r="SJS1" s="67"/>
      <c r="SJT1" s="68"/>
      <c r="SJU1" s="67"/>
      <c r="SJV1" s="67"/>
      <c r="SJW1" s="67"/>
      <c r="SJX1" s="67"/>
      <c r="SJY1" s="67"/>
      <c r="SJZ1" s="67"/>
      <c r="SKA1" s="67"/>
      <c r="SKB1" s="68"/>
      <c r="SKC1" s="67"/>
      <c r="SKD1" s="67"/>
      <c r="SKE1" s="67"/>
      <c r="SKF1" s="67"/>
      <c r="SKG1" s="67"/>
      <c r="SKH1" s="67"/>
      <c r="SKI1" s="67"/>
      <c r="SKJ1" s="68"/>
      <c r="SKK1" s="67"/>
      <c r="SKL1" s="67"/>
      <c r="SKM1" s="67"/>
      <c r="SKN1" s="67"/>
      <c r="SKO1" s="67"/>
      <c r="SKP1" s="67"/>
      <c r="SKQ1" s="67"/>
      <c r="SKR1" s="68"/>
      <c r="SKS1" s="67"/>
      <c r="SKT1" s="67"/>
      <c r="SKU1" s="67"/>
      <c r="SKV1" s="67"/>
      <c r="SKW1" s="67"/>
      <c r="SKX1" s="67"/>
      <c r="SKY1" s="67"/>
      <c r="SKZ1" s="68"/>
      <c r="SLA1" s="67"/>
      <c r="SLB1" s="67"/>
      <c r="SLC1" s="67"/>
      <c r="SLD1" s="67"/>
      <c r="SLE1" s="67"/>
      <c r="SLF1" s="67"/>
      <c r="SLG1" s="67"/>
      <c r="SLH1" s="68"/>
      <c r="SLI1" s="67"/>
      <c r="SLJ1" s="67"/>
      <c r="SLK1" s="67"/>
      <c r="SLL1" s="67"/>
      <c r="SLM1" s="67"/>
      <c r="SLN1" s="67"/>
      <c r="SLO1" s="67"/>
      <c r="SLP1" s="68"/>
      <c r="SLQ1" s="67"/>
      <c r="SLR1" s="67"/>
      <c r="SLS1" s="67"/>
      <c r="SLT1" s="67"/>
      <c r="SLU1" s="67"/>
      <c r="SLV1" s="67"/>
      <c r="SLW1" s="67"/>
      <c r="SLX1" s="68"/>
      <c r="SLY1" s="67"/>
      <c r="SLZ1" s="67"/>
      <c r="SMA1" s="67"/>
      <c r="SMB1" s="67"/>
      <c r="SMC1" s="67"/>
      <c r="SMD1" s="67"/>
      <c r="SME1" s="67"/>
      <c r="SMF1" s="68"/>
      <c r="SMG1" s="67"/>
      <c r="SMH1" s="67"/>
      <c r="SMI1" s="67"/>
      <c r="SMJ1" s="67"/>
      <c r="SMK1" s="67"/>
      <c r="SML1" s="67"/>
      <c r="SMM1" s="67"/>
      <c r="SMN1" s="68"/>
      <c r="SMO1" s="67"/>
      <c r="SMP1" s="67"/>
      <c r="SMQ1" s="67"/>
      <c r="SMR1" s="67"/>
      <c r="SMS1" s="67"/>
      <c r="SMT1" s="67"/>
      <c r="SMU1" s="67"/>
      <c r="SMV1" s="68"/>
      <c r="SMW1" s="67"/>
      <c r="SMX1" s="67"/>
      <c r="SMY1" s="67"/>
      <c r="SMZ1" s="67"/>
      <c r="SNA1" s="67"/>
      <c r="SNB1" s="67"/>
      <c r="SNC1" s="67"/>
      <c r="SND1" s="68"/>
      <c r="SNE1" s="67"/>
      <c r="SNF1" s="67"/>
      <c r="SNG1" s="67"/>
      <c r="SNH1" s="67"/>
      <c r="SNI1" s="67"/>
      <c r="SNJ1" s="67"/>
      <c r="SNK1" s="67"/>
      <c r="SNL1" s="68"/>
      <c r="SNM1" s="67"/>
      <c r="SNN1" s="67"/>
      <c r="SNO1" s="67"/>
      <c r="SNP1" s="67"/>
      <c r="SNQ1" s="67"/>
      <c r="SNR1" s="67"/>
      <c r="SNS1" s="67"/>
      <c r="SNT1" s="68"/>
      <c r="SNU1" s="67"/>
      <c r="SNV1" s="67"/>
      <c r="SNW1" s="67"/>
      <c r="SNX1" s="67"/>
      <c r="SNY1" s="67"/>
      <c r="SNZ1" s="67"/>
      <c r="SOA1" s="67"/>
      <c r="SOB1" s="68"/>
      <c r="SOC1" s="67"/>
      <c r="SOD1" s="67"/>
      <c r="SOE1" s="67"/>
      <c r="SOF1" s="67"/>
      <c r="SOG1" s="67"/>
      <c r="SOH1" s="67"/>
      <c r="SOI1" s="67"/>
      <c r="SOJ1" s="68"/>
      <c r="SOK1" s="67"/>
      <c r="SOL1" s="67"/>
      <c r="SOM1" s="67"/>
      <c r="SON1" s="67"/>
      <c r="SOO1" s="67"/>
      <c r="SOP1" s="67"/>
      <c r="SOQ1" s="67"/>
      <c r="SOR1" s="68"/>
      <c r="SOS1" s="67"/>
      <c r="SOT1" s="67"/>
      <c r="SOU1" s="67"/>
      <c r="SOV1" s="67"/>
      <c r="SOW1" s="67"/>
      <c r="SOX1" s="67"/>
      <c r="SOY1" s="67"/>
      <c r="SOZ1" s="68"/>
      <c r="SPA1" s="67"/>
      <c r="SPB1" s="67"/>
      <c r="SPC1" s="67"/>
      <c r="SPD1" s="67"/>
      <c r="SPE1" s="67"/>
      <c r="SPF1" s="67"/>
      <c r="SPG1" s="67"/>
      <c r="SPH1" s="68"/>
      <c r="SPI1" s="67"/>
      <c r="SPJ1" s="67"/>
      <c r="SPK1" s="67"/>
      <c r="SPL1" s="67"/>
      <c r="SPM1" s="67"/>
      <c r="SPN1" s="67"/>
      <c r="SPO1" s="67"/>
      <c r="SPP1" s="68"/>
      <c r="SPQ1" s="67"/>
      <c r="SPR1" s="67"/>
      <c r="SPS1" s="67"/>
      <c r="SPT1" s="67"/>
      <c r="SPU1" s="67"/>
      <c r="SPV1" s="67"/>
      <c r="SPW1" s="67"/>
      <c r="SPX1" s="68"/>
      <c r="SPY1" s="67"/>
      <c r="SPZ1" s="67"/>
      <c r="SQA1" s="67"/>
      <c r="SQB1" s="67"/>
      <c r="SQC1" s="67"/>
      <c r="SQD1" s="67"/>
      <c r="SQE1" s="67"/>
      <c r="SQF1" s="68"/>
      <c r="SQG1" s="67"/>
      <c r="SQH1" s="67"/>
      <c r="SQI1" s="67"/>
      <c r="SQJ1" s="67"/>
      <c r="SQK1" s="67"/>
      <c r="SQL1" s="67"/>
      <c r="SQM1" s="67"/>
      <c r="SQN1" s="68"/>
      <c r="SQO1" s="67"/>
      <c r="SQP1" s="67"/>
      <c r="SQQ1" s="67"/>
      <c r="SQR1" s="67"/>
      <c r="SQS1" s="67"/>
      <c r="SQT1" s="67"/>
      <c r="SQU1" s="67"/>
      <c r="SQV1" s="68"/>
      <c r="SQW1" s="67"/>
      <c r="SQX1" s="67"/>
      <c r="SQY1" s="67"/>
      <c r="SQZ1" s="67"/>
      <c r="SRA1" s="67"/>
      <c r="SRB1" s="67"/>
      <c r="SRC1" s="67"/>
      <c r="SRD1" s="68"/>
      <c r="SRE1" s="67"/>
      <c r="SRF1" s="67"/>
      <c r="SRG1" s="67"/>
      <c r="SRH1" s="67"/>
      <c r="SRI1" s="67"/>
      <c r="SRJ1" s="67"/>
      <c r="SRK1" s="67"/>
      <c r="SRL1" s="68"/>
      <c r="SRM1" s="67"/>
      <c r="SRN1" s="67"/>
      <c r="SRO1" s="67"/>
      <c r="SRP1" s="67"/>
      <c r="SRQ1" s="67"/>
      <c r="SRR1" s="67"/>
      <c r="SRS1" s="67"/>
      <c r="SRT1" s="68"/>
      <c r="SRU1" s="67"/>
      <c r="SRV1" s="67"/>
      <c r="SRW1" s="67"/>
      <c r="SRX1" s="67"/>
      <c r="SRY1" s="67"/>
      <c r="SRZ1" s="67"/>
      <c r="SSA1" s="67"/>
      <c r="SSB1" s="68"/>
      <c r="SSC1" s="67"/>
      <c r="SSD1" s="67"/>
      <c r="SSE1" s="67"/>
      <c r="SSF1" s="67"/>
      <c r="SSG1" s="67"/>
      <c r="SSH1" s="67"/>
      <c r="SSI1" s="67"/>
      <c r="SSJ1" s="68"/>
      <c r="SSK1" s="67"/>
      <c r="SSL1" s="67"/>
      <c r="SSM1" s="67"/>
      <c r="SSN1" s="67"/>
      <c r="SSO1" s="67"/>
      <c r="SSP1" s="67"/>
      <c r="SSQ1" s="67"/>
      <c r="SSR1" s="68"/>
      <c r="SSS1" s="67"/>
      <c r="SST1" s="67"/>
      <c r="SSU1" s="67"/>
      <c r="SSV1" s="67"/>
      <c r="SSW1" s="67"/>
      <c r="SSX1" s="67"/>
      <c r="SSY1" s="67"/>
      <c r="SSZ1" s="68"/>
      <c r="STA1" s="67"/>
      <c r="STB1" s="67"/>
      <c r="STC1" s="67"/>
      <c r="STD1" s="67"/>
      <c r="STE1" s="67"/>
      <c r="STF1" s="67"/>
      <c r="STG1" s="67"/>
      <c r="STH1" s="68"/>
      <c r="STI1" s="67"/>
      <c r="STJ1" s="67"/>
      <c r="STK1" s="67"/>
      <c r="STL1" s="67"/>
      <c r="STM1" s="67"/>
      <c r="STN1" s="67"/>
      <c r="STO1" s="67"/>
      <c r="STP1" s="68"/>
      <c r="STQ1" s="67"/>
      <c r="STR1" s="67"/>
      <c r="STS1" s="67"/>
      <c r="STT1" s="67"/>
      <c r="STU1" s="67"/>
      <c r="STV1" s="67"/>
      <c r="STW1" s="67"/>
      <c r="STX1" s="68"/>
      <c r="STY1" s="67"/>
      <c r="STZ1" s="67"/>
      <c r="SUA1" s="67"/>
      <c r="SUB1" s="67"/>
      <c r="SUC1" s="67"/>
      <c r="SUD1" s="67"/>
      <c r="SUE1" s="67"/>
      <c r="SUF1" s="68"/>
      <c r="SUG1" s="67"/>
      <c r="SUH1" s="67"/>
      <c r="SUI1" s="67"/>
      <c r="SUJ1" s="67"/>
      <c r="SUK1" s="67"/>
      <c r="SUL1" s="67"/>
      <c r="SUM1" s="67"/>
      <c r="SUN1" s="68"/>
      <c r="SUO1" s="67"/>
      <c r="SUP1" s="67"/>
      <c r="SUQ1" s="67"/>
      <c r="SUR1" s="67"/>
      <c r="SUS1" s="67"/>
      <c r="SUT1" s="67"/>
      <c r="SUU1" s="67"/>
      <c r="SUV1" s="68"/>
      <c r="SUW1" s="67"/>
      <c r="SUX1" s="67"/>
      <c r="SUY1" s="67"/>
      <c r="SUZ1" s="67"/>
      <c r="SVA1" s="67"/>
      <c r="SVB1" s="67"/>
      <c r="SVC1" s="67"/>
      <c r="SVD1" s="68"/>
      <c r="SVE1" s="67"/>
      <c r="SVF1" s="67"/>
      <c r="SVG1" s="67"/>
      <c r="SVH1" s="67"/>
      <c r="SVI1" s="67"/>
      <c r="SVJ1" s="67"/>
      <c r="SVK1" s="67"/>
      <c r="SVL1" s="68"/>
      <c r="SVM1" s="67"/>
      <c r="SVN1" s="67"/>
      <c r="SVO1" s="67"/>
      <c r="SVP1" s="67"/>
      <c r="SVQ1" s="67"/>
      <c r="SVR1" s="67"/>
      <c r="SVS1" s="67"/>
      <c r="SVT1" s="68"/>
      <c r="SVU1" s="67"/>
      <c r="SVV1" s="67"/>
      <c r="SVW1" s="67"/>
      <c r="SVX1" s="67"/>
      <c r="SVY1" s="67"/>
      <c r="SVZ1" s="67"/>
      <c r="SWA1" s="67"/>
      <c r="SWB1" s="68"/>
      <c r="SWC1" s="67"/>
      <c r="SWD1" s="67"/>
      <c r="SWE1" s="67"/>
      <c r="SWF1" s="67"/>
      <c r="SWG1" s="67"/>
      <c r="SWH1" s="67"/>
      <c r="SWI1" s="67"/>
      <c r="SWJ1" s="68"/>
      <c r="SWK1" s="67"/>
      <c r="SWL1" s="67"/>
      <c r="SWM1" s="67"/>
      <c r="SWN1" s="67"/>
      <c r="SWO1" s="67"/>
      <c r="SWP1" s="67"/>
      <c r="SWQ1" s="67"/>
      <c r="SWR1" s="68"/>
      <c r="SWS1" s="67"/>
      <c r="SWT1" s="67"/>
      <c r="SWU1" s="67"/>
      <c r="SWV1" s="67"/>
      <c r="SWW1" s="67"/>
      <c r="SWX1" s="67"/>
      <c r="SWY1" s="67"/>
      <c r="SWZ1" s="68"/>
      <c r="SXA1" s="67"/>
      <c r="SXB1" s="67"/>
      <c r="SXC1" s="67"/>
      <c r="SXD1" s="67"/>
      <c r="SXE1" s="67"/>
      <c r="SXF1" s="67"/>
      <c r="SXG1" s="67"/>
      <c r="SXH1" s="68"/>
      <c r="SXI1" s="67"/>
      <c r="SXJ1" s="67"/>
      <c r="SXK1" s="67"/>
      <c r="SXL1" s="67"/>
      <c r="SXM1" s="67"/>
      <c r="SXN1" s="67"/>
      <c r="SXO1" s="67"/>
      <c r="SXP1" s="68"/>
      <c r="SXQ1" s="67"/>
      <c r="SXR1" s="67"/>
      <c r="SXS1" s="67"/>
      <c r="SXT1" s="67"/>
      <c r="SXU1" s="67"/>
      <c r="SXV1" s="67"/>
      <c r="SXW1" s="67"/>
      <c r="SXX1" s="68"/>
      <c r="SXY1" s="67"/>
      <c r="SXZ1" s="67"/>
      <c r="SYA1" s="67"/>
      <c r="SYB1" s="67"/>
      <c r="SYC1" s="67"/>
      <c r="SYD1" s="67"/>
      <c r="SYE1" s="67"/>
      <c r="SYF1" s="68"/>
      <c r="SYG1" s="67"/>
      <c r="SYH1" s="67"/>
      <c r="SYI1" s="67"/>
      <c r="SYJ1" s="67"/>
      <c r="SYK1" s="67"/>
      <c r="SYL1" s="67"/>
      <c r="SYM1" s="67"/>
      <c r="SYN1" s="68"/>
      <c r="SYO1" s="67"/>
      <c r="SYP1" s="67"/>
      <c r="SYQ1" s="67"/>
      <c r="SYR1" s="67"/>
      <c r="SYS1" s="67"/>
      <c r="SYT1" s="67"/>
      <c r="SYU1" s="67"/>
      <c r="SYV1" s="68"/>
      <c r="SYW1" s="67"/>
      <c r="SYX1" s="67"/>
      <c r="SYY1" s="67"/>
      <c r="SYZ1" s="67"/>
      <c r="SZA1" s="67"/>
      <c r="SZB1" s="67"/>
      <c r="SZC1" s="67"/>
      <c r="SZD1" s="68"/>
      <c r="SZE1" s="67"/>
      <c r="SZF1" s="67"/>
      <c r="SZG1" s="67"/>
      <c r="SZH1" s="67"/>
      <c r="SZI1" s="67"/>
      <c r="SZJ1" s="67"/>
      <c r="SZK1" s="67"/>
      <c r="SZL1" s="68"/>
      <c r="SZM1" s="67"/>
      <c r="SZN1" s="67"/>
      <c r="SZO1" s="67"/>
      <c r="SZP1" s="67"/>
      <c r="SZQ1" s="67"/>
      <c r="SZR1" s="67"/>
      <c r="SZS1" s="67"/>
      <c r="SZT1" s="68"/>
      <c r="SZU1" s="67"/>
      <c r="SZV1" s="67"/>
      <c r="SZW1" s="67"/>
      <c r="SZX1" s="67"/>
      <c r="SZY1" s="67"/>
      <c r="SZZ1" s="67"/>
      <c r="TAA1" s="67"/>
      <c r="TAB1" s="68"/>
      <c r="TAC1" s="67"/>
      <c r="TAD1" s="67"/>
      <c r="TAE1" s="67"/>
      <c r="TAF1" s="67"/>
      <c r="TAG1" s="67"/>
      <c r="TAH1" s="67"/>
      <c r="TAI1" s="67"/>
      <c r="TAJ1" s="68"/>
      <c r="TAK1" s="67"/>
      <c r="TAL1" s="67"/>
      <c r="TAM1" s="67"/>
      <c r="TAN1" s="67"/>
      <c r="TAO1" s="67"/>
      <c r="TAP1" s="67"/>
      <c r="TAQ1" s="67"/>
      <c r="TAR1" s="68"/>
      <c r="TAS1" s="67"/>
      <c r="TAT1" s="67"/>
      <c r="TAU1" s="67"/>
      <c r="TAV1" s="67"/>
      <c r="TAW1" s="67"/>
      <c r="TAX1" s="67"/>
      <c r="TAY1" s="67"/>
      <c r="TAZ1" s="68"/>
      <c r="TBA1" s="67"/>
      <c r="TBB1" s="67"/>
      <c r="TBC1" s="67"/>
      <c r="TBD1" s="67"/>
      <c r="TBE1" s="67"/>
      <c r="TBF1" s="67"/>
      <c r="TBG1" s="67"/>
      <c r="TBH1" s="68"/>
      <c r="TBI1" s="67"/>
      <c r="TBJ1" s="67"/>
      <c r="TBK1" s="67"/>
      <c r="TBL1" s="67"/>
      <c r="TBM1" s="67"/>
      <c r="TBN1" s="67"/>
      <c r="TBO1" s="67"/>
      <c r="TBP1" s="68"/>
      <c r="TBQ1" s="67"/>
      <c r="TBR1" s="67"/>
      <c r="TBS1" s="67"/>
      <c r="TBT1" s="67"/>
      <c r="TBU1" s="67"/>
      <c r="TBV1" s="67"/>
      <c r="TBW1" s="67"/>
      <c r="TBX1" s="68"/>
      <c r="TBY1" s="67"/>
      <c r="TBZ1" s="67"/>
      <c r="TCA1" s="67"/>
      <c r="TCB1" s="67"/>
      <c r="TCC1" s="67"/>
      <c r="TCD1" s="67"/>
      <c r="TCE1" s="67"/>
      <c r="TCF1" s="68"/>
      <c r="TCG1" s="67"/>
      <c r="TCH1" s="67"/>
      <c r="TCI1" s="67"/>
      <c r="TCJ1" s="67"/>
      <c r="TCK1" s="67"/>
      <c r="TCL1" s="67"/>
      <c r="TCM1" s="67"/>
      <c r="TCN1" s="68"/>
      <c r="TCO1" s="67"/>
      <c r="TCP1" s="67"/>
      <c r="TCQ1" s="67"/>
      <c r="TCR1" s="67"/>
      <c r="TCS1" s="67"/>
      <c r="TCT1" s="67"/>
      <c r="TCU1" s="67"/>
      <c r="TCV1" s="68"/>
      <c r="TCW1" s="67"/>
      <c r="TCX1" s="67"/>
      <c r="TCY1" s="67"/>
      <c r="TCZ1" s="67"/>
      <c r="TDA1" s="67"/>
      <c r="TDB1" s="67"/>
      <c r="TDC1" s="67"/>
      <c r="TDD1" s="68"/>
      <c r="TDE1" s="67"/>
      <c r="TDF1" s="67"/>
      <c r="TDG1" s="67"/>
      <c r="TDH1" s="67"/>
      <c r="TDI1" s="67"/>
      <c r="TDJ1" s="67"/>
      <c r="TDK1" s="67"/>
      <c r="TDL1" s="68"/>
      <c r="TDM1" s="67"/>
      <c r="TDN1" s="67"/>
      <c r="TDO1" s="67"/>
      <c r="TDP1" s="67"/>
      <c r="TDQ1" s="67"/>
      <c r="TDR1" s="67"/>
      <c r="TDS1" s="67"/>
      <c r="TDT1" s="68"/>
      <c r="TDU1" s="67"/>
      <c r="TDV1" s="67"/>
      <c r="TDW1" s="67"/>
      <c r="TDX1" s="67"/>
      <c r="TDY1" s="67"/>
      <c r="TDZ1" s="67"/>
      <c r="TEA1" s="67"/>
      <c r="TEB1" s="68"/>
      <c r="TEC1" s="67"/>
      <c r="TED1" s="67"/>
      <c r="TEE1" s="67"/>
      <c r="TEF1" s="67"/>
      <c r="TEG1" s="67"/>
      <c r="TEH1" s="67"/>
      <c r="TEI1" s="67"/>
      <c r="TEJ1" s="68"/>
      <c r="TEK1" s="67"/>
      <c r="TEL1" s="67"/>
      <c r="TEM1" s="67"/>
      <c r="TEN1" s="67"/>
      <c r="TEO1" s="67"/>
      <c r="TEP1" s="67"/>
      <c r="TEQ1" s="67"/>
      <c r="TER1" s="68"/>
      <c r="TES1" s="67"/>
      <c r="TET1" s="67"/>
      <c r="TEU1" s="67"/>
      <c r="TEV1" s="67"/>
      <c r="TEW1" s="67"/>
      <c r="TEX1" s="67"/>
      <c r="TEY1" s="67"/>
      <c r="TEZ1" s="68"/>
      <c r="TFA1" s="67"/>
      <c r="TFB1" s="67"/>
      <c r="TFC1" s="67"/>
      <c r="TFD1" s="67"/>
      <c r="TFE1" s="67"/>
      <c r="TFF1" s="67"/>
      <c r="TFG1" s="67"/>
      <c r="TFH1" s="68"/>
      <c r="TFI1" s="67"/>
      <c r="TFJ1" s="67"/>
      <c r="TFK1" s="67"/>
      <c r="TFL1" s="67"/>
      <c r="TFM1" s="67"/>
      <c r="TFN1" s="67"/>
      <c r="TFO1" s="67"/>
      <c r="TFP1" s="68"/>
      <c r="TFQ1" s="67"/>
      <c r="TFR1" s="67"/>
      <c r="TFS1" s="67"/>
      <c r="TFT1" s="67"/>
      <c r="TFU1" s="67"/>
      <c r="TFV1" s="67"/>
      <c r="TFW1" s="67"/>
      <c r="TFX1" s="68"/>
      <c r="TFY1" s="67"/>
      <c r="TFZ1" s="67"/>
      <c r="TGA1" s="67"/>
      <c r="TGB1" s="67"/>
      <c r="TGC1" s="67"/>
      <c r="TGD1" s="67"/>
      <c r="TGE1" s="67"/>
      <c r="TGF1" s="68"/>
      <c r="TGG1" s="67"/>
      <c r="TGH1" s="67"/>
      <c r="TGI1" s="67"/>
      <c r="TGJ1" s="67"/>
      <c r="TGK1" s="67"/>
      <c r="TGL1" s="67"/>
      <c r="TGM1" s="67"/>
      <c r="TGN1" s="68"/>
      <c r="TGO1" s="67"/>
      <c r="TGP1" s="67"/>
      <c r="TGQ1" s="67"/>
      <c r="TGR1" s="67"/>
      <c r="TGS1" s="67"/>
      <c r="TGT1" s="67"/>
      <c r="TGU1" s="67"/>
      <c r="TGV1" s="68"/>
      <c r="TGW1" s="67"/>
      <c r="TGX1" s="67"/>
      <c r="TGY1" s="67"/>
      <c r="TGZ1" s="67"/>
      <c r="THA1" s="67"/>
      <c r="THB1" s="67"/>
      <c r="THC1" s="67"/>
      <c r="THD1" s="68"/>
      <c r="THE1" s="67"/>
      <c r="THF1" s="67"/>
      <c r="THG1" s="67"/>
      <c r="THH1" s="67"/>
      <c r="THI1" s="67"/>
      <c r="THJ1" s="67"/>
      <c r="THK1" s="67"/>
      <c r="THL1" s="68"/>
      <c r="THM1" s="67"/>
      <c r="THN1" s="67"/>
      <c r="THO1" s="67"/>
      <c r="THP1" s="67"/>
      <c r="THQ1" s="67"/>
      <c r="THR1" s="67"/>
      <c r="THS1" s="67"/>
      <c r="THT1" s="68"/>
      <c r="THU1" s="67"/>
      <c r="THV1" s="67"/>
      <c r="THW1" s="67"/>
      <c r="THX1" s="67"/>
      <c r="THY1" s="67"/>
      <c r="THZ1" s="67"/>
      <c r="TIA1" s="67"/>
      <c r="TIB1" s="68"/>
      <c r="TIC1" s="67"/>
      <c r="TID1" s="67"/>
      <c r="TIE1" s="67"/>
      <c r="TIF1" s="67"/>
      <c r="TIG1" s="67"/>
      <c r="TIH1" s="67"/>
      <c r="TII1" s="67"/>
      <c r="TIJ1" s="68"/>
      <c r="TIK1" s="67"/>
      <c r="TIL1" s="67"/>
      <c r="TIM1" s="67"/>
      <c r="TIN1" s="67"/>
      <c r="TIO1" s="67"/>
      <c r="TIP1" s="67"/>
      <c r="TIQ1" s="67"/>
      <c r="TIR1" s="68"/>
      <c r="TIS1" s="67"/>
      <c r="TIT1" s="67"/>
      <c r="TIU1" s="67"/>
      <c r="TIV1" s="67"/>
      <c r="TIW1" s="67"/>
      <c r="TIX1" s="67"/>
      <c r="TIY1" s="67"/>
      <c r="TIZ1" s="68"/>
      <c r="TJA1" s="67"/>
      <c r="TJB1" s="67"/>
      <c r="TJC1" s="67"/>
      <c r="TJD1" s="67"/>
      <c r="TJE1" s="67"/>
      <c r="TJF1" s="67"/>
      <c r="TJG1" s="67"/>
      <c r="TJH1" s="68"/>
      <c r="TJI1" s="67"/>
      <c r="TJJ1" s="67"/>
      <c r="TJK1" s="67"/>
      <c r="TJL1" s="67"/>
      <c r="TJM1" s="67"/>
      <c r="TJN1" s="67"/>
      <c r="TJO1" s="67"/>
      <c r="TJP1" s="68"/>
      <c r="TJQ1" s="67"/>
      <c r="TJR1" s="67"/>
      <c r="TJS1" s="67"/>
      <c r="TJT1" s="67"/>
      <c r="TJU1" s="67"/>
      <c r="TJV1" s="67"/>
      <c r="TJW1" s="67"/>
      <c r="TJX1" s="68"/>
      <c r="TJY1" s="67"/>
      <c r="TJZ1" s="67"/>
      <c r="TKA1" s="67"/>
      <c r="TKB1" s="67"/>
      <c r="TKC1" s="67"/>
      <c r="TKD1" s="67"/>
      <c r="TKE1" s="67"/>
      <c r="TKF1" s="68"/>
      <c r="TKG1" s="67"/>
      <c r="TKH1" s="67"/>
      <c r="TKI1" s="67"/>
      <c r="TKJ1" s="67"/>
      <c r="TKK1" s="67"/>
      <c r="TKL1" s="67"/>
      <c r="TKM1" s="67"/>
      <c r="TKN1" s="68"/>
      <c r="TKO1" s="67"/>
      <c r="TKP1" s="67"/>
      <c r="TKQ1" s="67"/>
      <c r="TKR1" s="67"/>
      <c r="TKS1" s="67"/>
      <c r="TKT1" s="67"/>
      <c r="TKU1" s="67"/>
      <c r="TKV1" s="68"/>
      <c r="TKW1" s="67"/>
      <c r="TKX1" s="67"/>
      <c r="TKY1" s="67"/>
      <c r="TKZ1" s="67"/>
      <c r="TLA1" s="67"/>
      <c r="TLB1" s="67"/>
      <c r="TLC1" s="67"/>
      <c r="TLD1" s="68"/>
      <c r="TLE1" s="67"/>
      <c r="TLF1" s="67"/>
      <c r="TLG1" s="67"/>
      <c r="TLH1" s="67"/>
      <c r="TLI1" s="67"/>
      <c r="TLJ1" s="67"/>
      <c r="TLK1" s="67"/>
      <c r="TLL1" s="68"/>
      <c r="TLM1" s="67"/>
      <c r="TLN1" s="67"/>
      <c r="TLO1" s="67"/>
      <c r="TLP1" s="67"/>
      <c r="TLQ1" s="67"/>
      <c r="TLR1" s="67"/>
      <c r="TLS1" s="67"/>
      <c r="TLT1" s="68"/>
      <c r="TLU1" s="67"/>
      <c r="TLV1" s="67"/>
      <c r="TLW1" s="67"/>
      <c r="TLX1" s="67"/>
      <c r="TLY1" s="67"/>
      <c r="TLZ1" s="67"/>
      <c r="TMA1" s="67"/>
      <c r="TMB1" s="68"/>
      <c r="TMC1" s="67"/>
      <c r="TMD1" s="67"/>
      <c r="TME1" s="67"/>
      <c r="TMF1" s="67"/>
      <c r="TMG1" s="67"/>
      <c r="TMH1" s="67"/>
      <c r="TMI1" s="67"/>
      <c r="TMJ1" s="68"/>
      <c r="TMK1" s="67"/>
      <c r="TML1" s="67"/>
      <c r="TMM1" s="67"/>
      <c r="TMN1" s="67"/>
      <c r="TMO1" s="67"/>
      <c r="TMP1" s="67"/>
      <c r="TMQ1" s="67"/>
      <c r="TMR1" s="68"/>
      <c r="TMS1" s="67"/>
      <c r="TMT1" s="67"/>
      <c r="TMU1" s="67"/>
      <c r="TMV1" s="67"/>
      <c r="TMW1" s="67"/>
      <c r="TMX1" s="67"/>
      <c r="TMY1" s="67"/>
      <c r="TMZ1" s="68"/>
      <c r="TNA1" s="67"/>
      <c r="TNB1" s="67"/>
      <c r="TNC1" s="67"/>
      <c r="TND1" s="67"/>
      <c r="TNE1" s="67"/>
      <c r="TNF1" s="67"/>
      <c r="TNG1" s="67"/>
      <c r="TNH1" s="68"/>
      <c r="TNI1" s="67"/>
      <c r="TNJ1" s="67"/>
      <c r="TNK1" s="67"/>
      <c r="TNL1" s="67"/>
      <c r="TNM1" s="67"/>
      <c r="TNN1" s="67"/>
      <c r="TNO1" s="67"/>
      <c r="TNP1" s="68"/>
      <c r="TNQ1" s="67"/>
      <c r="TNR1" s="67"/>
      <c r="TNS1" s="67"/>
      <c r="TNT1" s="67"/>
      <c r="TNU1" s="67"/>
      <c r="TNV1" s="67"/>
      <c r="TNW1" s="67"/>
      <c r="TNX1" s="68"/>
      <c r="TNY1" s="67"/>
      <c r="TNZ1" s="67"/>
      <c r="TOA1" s="67"/>
      <c r="TOB1" s="67"/>
      <c r="TOC1" s="67"/>
      <c r="TOD1" s="67"/>
      <c r="TOE1" s="67"/>
      <c r="TOF1" s="68"/>
      <c r="TOG1" s="67"/>
      <c r="TOH1" s="67"/>
      <c r="TOI1" s="67"/>
      <c r="TOJ1" s="67"/>
      <c r="TOK1" s="67"/>
      <c r="TOL1" s="67"/>
      <c r="TOM1" s="67"/>
      <c r="TON1" s="68"/>
      <c r="TOO1" s="67"/>
      <c r="TOP1" s="67"/>
      <c r="TOQ1" s="67"/>
      <c r="TOR1" s="67"/>
      <c r="TOS1" s="67"/>
      <c r="TOT1" s="67"/>
      <c r="TOU1" s="67"/>
      <c r="TOV1" s="68"/>
      <c r="TOW1" s="67"/>
      <c r="TOX1" s="67"/>
      <c r="TOY1" s="67"/>
      <c r="TOZ1" s="67"/>
      <c r="TPA1" s="67"/>
      <c r="TPB1" s="67"/>
      <c r="TPC1" s="67"/>
      <c r="TPD1" s="68"/>
      <c r="TPE1" s="67"/>
      <c r="TPF1" s="67"/>
      <c r="TPG1" s="67"/>
      <c r="TPH1" s="67"/>
      <c r="TPI1" s="67"/>
      <c r="TPJ1" s="67"/>
      <c r="TPK1" s="67"/>
      <c r="TPL1" s="68"/>
      <c r="TPM1" s="67"/>
      <c r="TPN1" s="67"/>
      <c r="TPO1" s="67"/>
      <c r="TPP1" s="67"/>
      <c r="TPQ1" s="67"/>
      <c r="TPR1" s="67"/>
      <c r="TPS1" s="67"/>
      <c r="TPT1" s="68"/>
      <c r="TPU1" s="67"/>
      <c r="TPV1" s="67"/>
      <c r="TPW1" s="67"/>
      <c r="TPX1" s="67"/>
      <c r="TPY1" s="67"/>
      <c r="TPZ1" s="67"/>
      <c r="TQA1" s="67"/>
      <c r="TQB1" s="68"/>
      <c r="TQC1" s="67"/>
      <c r="TQD1" s="67"/>
      <c r="TQE1" s="67"/>
      <c r="TQF1" s="67"/>
      <c r="TQG1" s="67"/>
      <c r="TQH1" s="67"/>
      <c r="TQI1" s="67"/>
      <c r="TQJ1" s="68"/>
      <c r="TQK1" s="67"/>
      <c r="TQL1" s="67"/>
      <c r="TQM1" s="67"/>
      <c r="TQN1" s="67"/>
      <c r="TQO1" s="67"/>
      <c r="TQP1" s="67"/>
      <c r="TQQ1" s="67"/>
      <c r="TQR1" s="68"/>
      <c r="TQS1" s="67"/>
      <c r="TQT1" s="67"/>
      <c r="TQU1" s="67"/>
      <c r="TQV1" s="67"/>
      <c r="TQW1" s="67"/>
      <c r="TQX1" s="67"/>
      <c r="TQY1" s="67"/>
      <c r="TQZ1" s="68"/>
      <c r="TRA1" s="67"/>
      <c r="TRB1" s="67"/>
      <c r="TRC1" s="67"/>
      <c r="TRD1" s="67"/>
      <c r="TRE1" s="67"/>
      <c r="TRF1" s="67"/>
      <c r="TRG1" s="67"/>
      <c r="TRH1" s="68"/>
      <c r="TRI1" s="67"/>
      <c r="TRJ1" s="67"/>
      <c r="TRK1" s="67"/>
      <c r="TRL1" s="67"/>
      <c r="TRM1" s="67"/>
      <c r="TRN1" s="67"/>
      <c r="TRO1" s="67"/>
      <c r="TRP1" s="68"/>
      <c r="TRQ1" s="67"/>
      <c r="TRR1" s="67"/>
      <c r="TRS1" s="67"/>
      <c r="TRT1" s="67"/>
      <c r="TRU1" s="67"/>
      <c r="TRV1" s="67"/>
      <c r="TRW1" s="67"/>
      <c r="TRX1" s="68"/>
      <c r="TRY1" s="67"/>
      <c r="TRZ1" s="67"/>
      <c r="TSA1" s="67"/>
      <c r="TSB1" s="67"/>
      <c r="TSC1" s="67"/>
      <c r="TSD1" s="67"/>
      <c r="TSE1" s="67"/>
      <c r="TSF1" s="68"/>
      <c r="TSG1" s="67"/>
      <c r="TSH1" s="67"/>
      <c r="TSI1" s="67"/>
      <c r="TSJ1" s="67"/>
      <c r="TSK1" s="67"/>
      <c r="TSL1" s="67"/>
      <c r="TSM1" s="67"/>
      <c r="TSN1" s="68"/>
      <c r="TSO1" s="67"/>
      <c r="TSP1" s="67"/>
      <c r="TSQ1" s="67"/>
      <c r="TSR1" s="67"/>
      <c r="TSS1" s="67"/>
      <c r="TST1" s="67"/>
      <c r="TSU1" s="67"/>
      <c r="TSV1" s="68"/>
      <c r="TSW1" s="67"/>
      <c r="TSX1" s="67"/>
      <c r="TSY1" s="67"/>
      <c r="TSZ1" s="67"/>
      <c r="TTA1" s="67"/>
      <c r="TTB1" s="67"/>
      <c r="TTC1" s="67"/>
      <c r="TTD1" s="68"/>
      <c r="TTE1" s="67"/>
      <c r="TTF1" s="67"/>
      <c r="TTG1" s="67"/>
      <c r="TTH1" s="67"/>
      <c r="TTI1" s="67"/>
      <c r="TTJ1" s="67"/>
      <c r="TTK1" s="67"/>
      <c r="TTL1" s="68"/>
      <c r="TTM1" s="67"/>
      <c r="TTN1" s="67"/>
      <c r="TTO1" s="67"/>
      <c r="TTP1" s="67"/>
      <c r="TTQ1" s="67"/>
      <c r="TTR1" s="67"/>
      <c r="TTS1" s="67"/>
      <c r="TTT1" s="68"/>
      <c r="TTU1" s="67"/>
      <c r="TTV1" s="67"/>
      <c r="TTW1" s="67"/>
      <c r="TTX1" s="67"/>
      <c r="TTY1" s="67"/>
      <c r="TTZ1" s="67"/>
      <c r="TUA1" s="67"/>
      <c r="TUB1" s="68"/>
      <c r="TUC1" s="67"/>
      <c r="TUD1" s="67"/>
      <c r="TUE1" s="67"/>
      <c r="TUF1" s="67"/>
      <c r="TUG1" s="67"/>
      <c r="TUH1" s="67"/>
      <c r="TUI1" s="67"/>
      <c r="TUJ1" s="68"/>
      <c r="TUK1" s="67"/>
      <c r="TUL1" s="67"/>
      <c r="TUM1" s="67"/>
      <c r="TUN1" s="67"/>
      <c r="TUO1" s="67"/>
      <c r="TUP1" s="67"/>
      <c r="TUQ1" s="67"/>
      <c r="TUR1" s="68"/>
      <c r="TUS1" s="67"/>
      <c r="TUT1" s="67"/>
      <c r="TUU1" s="67"/>
      <c r="TUV1" s="67"/>
      <c r="TUW1" s="67"/>
      <c r="TUX1" s="67"/>
      <c r="TUY1" s="67"/>
      <c r="TUZ1" s="68"/>
      <c r="TVA1" s="67"/>
      <c r="TVB1" s="67"/>
      <c r="TVC1" s="67"/>
      <c r="TVD1" s="67"/>
      <c r="TVE1" s="67"/>
      <c r="TVF1" s="67"/>
      <c r="TVG1" s="67"/>
      <c r="TVH1" s="68"/>
      <c r="TVI1" s="67"/>
      <c r="TVJ1" s="67"/>
      <c r="TVK1" s="67"/>
      <c r="TVL1" s="67"/>
      <c r="TVM1" s="67"/>
      <c r="TVN1" s="67"/>
      <c r="TVO1" s="67"/>
      <c r="TVP1" s="68"/>
      <c r="TVQ1" s="67"/>
      <c r="TVR1" s="67"/>
      <c r="TVS1" s="67"/>
      <c r="TVT1" s="67"/>
      <c r="TVU1" s="67"/>
      <c r="TVV1" s="67"/>
      <c r="TVW1" s="67"/>
      <c r="TVX1" s="68"/>
      <c r="TVY1" s="67"/>
      <c r="TVZ1" s="67"/>
      <c r="TWA1" s="67"/>
      <c r="TWB1" s="67"/>
      <c r="TWC1" s="67"/>
      <c r="TWD1" s="67"/>
      <c r="TWE1" s="67"/>
      <c r="TWF1" s="68"/>
      <c r="TWG1" s="67"/>
      <c r="TWH1" s="67"/>
      <c r="TWI1" s="67"/>
      <c r="TWJ1" s="67"/>
      <c r="TWK1" s="67"/>
      <c r="TWL1" s="67"/>
      <c r="TWM1" s="67"/>
      <c r="TWN1" s="68"/>
      <c r="TWO1" s="67"/>
      <c r="TWP1" s="67"/>
      <c r="TWQ1" s="67"/>
      <c r="TWR1" s="67"/>
      <c r="TWS1" s="67"/>
      <c r="TWT1" s="67"/>
      <c r="TWU1" s="67"/>
      <c r="TWV1" s="68"/>
      <c r="TWW1" s="67"/>
      <c r="TWX1" s="67"/>
      <c r="TWY1" s="67"/>
      <c r="TWZ1" s="67"/>
      <c r="TXA1" s="67"/>
      <c r="TXB1" s="67"/>
      <c r="TXC1" s="67"/>
      <c r="TXD1" s="68"/>
      <c r="TXE1" s="67"/>
      <c r="TXF1" s="67"/>
      <c r="TXG1" s="67"/>
      <c r="TXH1" s="67"/>
      <c r="TXI1" s="67"/>
      <c r="TXJ1" s="67"/>
      <c r="TXK1" s="67"/>
      <c r="TXL1" s="68"/>
      <c r="TXM1" s="67"/>
      <c r="TXN1" s="67"/>
      <c r="TXO1" s="67"/>
      <c r="TXP1" s="67"/>
      <c r="TXQ1" s="67"/>
      <c r="TXR1" s="67"/>
      <c r="TXS1" s="67"/>
      <c r="TXT1" s="68"/>
      <c r="TXU1" s="67"/>
      <c r="TXV1" s="67"/>
      <c r="TXW1" s="67"/>
      <c r="TXX1" s="67"/>
      <c r="TXY1" s="67"/>
      <c r="TXZ1" s="67"/>
      <c r="TYA1" s="67"/>
      <c r="TYB1" s="68"/>
      <c r="TYC1" s="67"/>
      <c r="TYD1" s="67"/>
      <c r="TYE1" s="67"/>
      <c r="TYF1" s="67"/>
      <c r="TYG1" s="67"/>
      <c r="TYH1" s="67"/>
      <c r="TYI1" s="67"/>
      <c r="TYJ1" s="68"/>
      <c r="TYK1" s="67"/>
      <c r="TYL1" s="67"/>
      <c r="TYM1" s="67"/>
      <c r="TYN1" s="67"/>
      <c r="TYO1" s="67"/>
      <c r="TYP1" s="67"/>
      <c r="TYQ1" s="67"/>
      <c r="TYR1" s="68"/>
      <c r="TYS1" s="67"/>
      <c r="TYT1" s="67"/>
      <c r="TYU1" s="67"/>
      <c r="TYV1" s="67"/>
      <c r="TYW1" s="67"/>
      <c r="TYX1" s="67"/>
      <c r="TYY1" s="67"/>
      <c r="TYZ1" s="68"/>
      <c r="TZA1" s="67"/>
      <c r="TZB1" s="67"/>
      <c r="TZC1" s="67"/>
      <c r="TZD1" s="67"/>
      <c r="TZE1" s="67"/>
      <c r="TZF1" s="67"/>
      <c r="TZG1" s="67"/>
      <c r="TZH1" s="68"/>
      <c r="TZI1" s="67"/>
      <c r="TZJ1" s="67"/>
      <c r="TZK1" s="67"/>
      <c r="TZL1" s="67"/>
      <c r="TZM1" s="67"/>
      <c r="TZN1" s="67"/>
      <c r="TZO1" s="67"/>
      <c r="TZP1" s="68"/>
      <c r="TZQ1" s="67"/>
      <c r="TZR1" s="67"/>
      <c r="TZS1" s="67"/>
      <c r="TZT1" s="67"/>
      <c r="TZU1" s="67"/>
      <c r="TZV1" s="67"/>
      <c r="TZW1" s="67"/>
      <c r="TZX1" s="68"/>
      <c r="TZY1" s="67"/>
      <c r="TZZ1" s="67"/>
      <c r="UAA1" s="67"/>
      <c r="UAB1" s="67"/>
      <c r="UAC1" s="67"/>
      <c r="UAD1" s="67"/>
      <c r="UAE1" s="67"/>
      <c r="UAF1" s="68"/>
      <c r="UAG1" s="67"/>
      <c r="UAH1" s="67"/>
      <c r="UAI1" s="67"/>
      <c r="UAJ1" s="67"/>
      <c r="UAK1" s="67"/>
      <c r="UAL1" s="67"/>
      <c r="UAM1" s="67"/>
      <c r="UAN1" s="68"/>
      <c r="UAO1" s="67"/>
      <c r="UAP1" s="67"/>
      <c r="UAQ1" s="67"/>
      <c r="UAR1" s="67"/>
      <c r="UAS1" s="67"/>
      <c r="UAT1" s="67"/>
      <c r="UAU1" s="67"/>
      <c r="UAV1" s="68"/>
      <c r="UAW1" s="67"/>
      <c r="UAX1" s="67"/>
      <c r="UAY1" s="67"/>
      <c r="UAZ1" s="67"/>
      <c r="UBA1" s="67"/>
      <c r="UBB1" s="67"/>
      <c r="UBC1" s="67"/>
      <c r="UBD1" s="68"/>
      <c r="UBE1" s="67"/>
      <c r="UBF1" s="67"/>
      <c r="UBG1" s="67"/>
      <c r="UBH1" s="67"/>
      <c r="UBI1" s="67"/>
      <c r="UBJ1" s="67"/>
      <c r="UBK1" s="67"/>
      <c r="UBL1" s="68"/>
      <c r="UBM1" s="67"/>
      <c r="UBN1" s="67"/>
      <c r="UBO1" s="67"/>
      <c r="UBP1" s="67"/>
      <c r="UBQ1" s="67"/>
      <c r="UBR1" s="67"/>
      <c r="UBS1" s="67"/>
      <c r="UBT1" s="68"/>
      <c r="UBU1" s="67"/>
      <c r="UBV1" s="67"/>
      <c r="UBW1" s="67"/>
      <c r="UBX1" s="67"/>
      <c r="UBY1" s="67"/>
      <c r="UBZ1" s="67"/>
      <c r="UCA1" s="67"/>
      <c r="UCB1" s="68"/>
      <c r="UCC1" s="67"/>
      <c r="UCD1" s="67"/>
      <c r="UCE1" s="67"/>
      <c r="UCF1" s="67"/>
      <c r="UCG1" s="67"/>
      <c r="UCH1" s="67"/>
      <c r="UCI1" s="67"/>
      <c r="UCJ1" s="68"/>
      <c r="UCK1" s="67"/>
      <c r="UCL1" s="67"/>
      <c r="UCM1" s="67"/>
      <c r="UCN1" s="67"/>
      <c r="UCO1" s="67"/>
      <c r="UCP1" s="67"/>
      <c r="UCQ1" s="67"/>
      <c r="UCR1" s="68"/>
      <c r="UCS1" s="67"/>
      <c r="UCT1" s="67"/>
      <c r="UCU1" s="67"/>
      <c r="UCV1" s="67"/>
      <c r="UCW1" s="67"/>
      <c r="UCX1" s="67"/>
      <c r="UCY1" s="67"/>
      <c r="UCZ1" s="68"/>
      <c r="UDA1" s="67"/>
      <c r="UDB1" s="67"/>
      <c r="UDC1" s="67"/>
      <c r="UDD1" s="67"/>
      <c r="UDE1" s="67"/>
      <c r="UDF1" s="67"/>
      <c r="UDG1" s="67"/>
      <c r="UDH1" s="68"/>
      <c r="UDI1" s="67"/>
      <c r="UDJ1" s="67"/>
      <c r="UDK1" s="67"/>
      <c r="UDL1" s="67"/>
      <c r="UDM1" s="67"/>
      <c r="UDN1" s="67"/>
      <c r="UDO1" s="67"/>
      <c r="UDP1" s="68"/>
      <c r="UDQ1" s="67"/>
      <c r="UDR1" s="67"/>
      <c r="UDS1" s="67"/>
      <c r="UDT1" s="67"/>
      <c r="UDU1" s="67"/>
      <c r="UDV1" s="67"/>
      <c r="UDW1" s="67"/>
      <c r="UDX1" s="68"/>
      <c r="UDY1" s="67"/>
      <c r="UDZ1" s="67"/>
      <c r="UEA1" s="67"/>
      <c r="UEB1" s="67"/>
      <c r="UEC1" s="67"/>
      <c r="UED1" s="67"/>
      <c r="UEE1" s="67"/>
      <c r="UEF1" s="68"/>
      <c r="UEG1" s="67"/>
      <c r="UEH1" s="67"/>
      <c r="UEI1" s="67"/>
      <c r="UEJ1" s="67"/>
      <c r="UEK1" s="67"/>
      <c r="UEL1" s="67"/>
      <c r="UEM1" s="67"/>
      <c r="UEN1" s="68"/>
      <c r="UEO1" s="67"/>
      <c r="UEP1" s="67"/>
      <c r="UEQ1" s="67"/>
      <c r="UER1" s="67"/>
      <c r="UES1" s="67"/>
      <c r="UET1" s="67"/>
      <c r="UEU1" s="67"/>
      <c r="UEV1" s="68"/>
      <c r="UEW1" s="67"/>
      <c r="UEX1" s="67"/>
      <c r="UEY1" s="67"/>
      <c r="UEZ1" s="67"/>
      <c r="UFA1" s="67"/>
      <c r="UFB1" s="67"/>
      <c r="UFC1" s="67"/>
      <c r="UFD1" s="68"/>
      <c r="UFE1" s="67"/>
      <c r="UFF1" s="67"/>
      <c r="UFG1" s="67"/>
      <c r="UFH1" s="67"/>
      <c r="UFI1" s="67"/>
      <c r="UFJ1" s="67"/>
      <c r="UFK1" s="67"/>
      <c r="UFL1" s="68"/>
      <c r="UFM1" s="67"/>
      <c r="UFN1" s="67"/>
      <c r="UFO1" s="67"/>
      <c r="UFP1" s="67"/>
      <c r="UFQ1" s="67"/>
      <c r="UFR1" s="67"/>
      <c r="UFS1" s="67"/>
      <c r="UFT1" s="68"/>
      <c r="UFU1" s="67"/>
      <c r="UFV1" s="67"/>
      <c r="UFW1" s="67"/>
      <c r="UFX1" s="67"/>
      <c r="UFY1" s="67"/>
      <c r="UFZ1" s="67"/>
      <c r="UGA1" s="67"/>
      <c r="UGB1" s="68"/>
      <c r="UGC1" s="67"/>
      <c r="UGD1" s="67"/>
      <c r="UGE1" s="67"/>
      <c r="UGF1" s="67"/>
      <c r="UGG1" s="67"/>
      <c r="UGH1" s="67"/>
      <c r="UGI1" s="67"/>
      <c r="UGJ1" s="68"/>
      <c r="UGK1" s="67"/>
      <c r="UGL1" s="67"/>
      <c r="UGM1" s="67"/>
      <c r="UGN1" s="67"/>
      <c r="UGO1" s="67"/>
      <c r="UGP1" s="67"/>
      <c r="UGQ1" s="67"/>
      <c r="UGR1" s="68"/>
      <c r="UGS1" s="67"/>
      <c r="UGT1" s="67"/>
      <c r="UGU1" s="67"/>
      <c r="UGV1" s="67"/>
      <c r="UGW1" s="67"/>
      <c r="UGX1" s="67"/>
      <c r="UGY1" s="67"/>
      <c r="UGZ1" s="68"/>
      <c r="UHA1" s="67"/>
      <c r="UHB1" s="67"/>
      <c r="UHC1" s="67"/>
      <c r="UHD1" s="67"/>
      <c r="UHE1" s="67"/>
      <c r="UHF1" s="67"/>
      <c r="UHG1" s="67"/>
      <c r="UHH1" s="68"/>
      <c r="UHI1" s="67"/>
      <c r="UHJ1" s="67"/>
      <c r="UHK1" s="67"/>
      <c r="UHL1" s="67"/>
      <c r="UHM1" s="67"/>
      <c r="UHN1" s="67"/>
      <c r="UHO1" s="67"/>
      <c r="UHP1" s="68"/>
      <c r="UHQ1" s="67"/>
      <c r="UHR1" s="67"/>
      <c r="UHS1" s="67"/>
      <c r="UHT1" s="67"/>
      <c r="UHU1" s="67"/>
      <c r="UHV1" s="67"/>
      <c r="UHW1" s="67"/>
      <c r="UHX1" s="68"/>
      <c r="UHY1" s="67"/>
      <c r="UHZ1" s="67"/>
      <c r="UIA1" s="67"/>
      <c r="UIB1" s="67"/>
      <c r="UIC1" s="67"/>
      <c r="UID1" s="67"/>
      <c r="UIE1" s="67"/>
      <c r="UIF1" s="68"/>
      <c r="UIG1" s="67"/>
      <c r="UIH1" s="67"/>
      <c r="UII1" s="67"/>
      <c r="UIJ1" s="67"/>
      <c r="UIK1" s="67"/>
      <c r="UIL1" s="67"/>
      <c r="UIM1" s="67"/>
      <c r="UIN1" s="68"/>
      <c r="UIO1" s="67"/>
      <c r="UIP1" s="67"/>
      <c r="UIQ1" s="67"/>
      <c r="UIR1" s="67"/>
      <c r="UIS1" s="67"/>
      <c r="UIT1" s="67"/>
      <c r="UIU1" s="67"/>
      <c r="UIV1" s="68"/>
      <c r="UIW1" s="67"/>
      <c r="UIX1" s="67"/>
      <c r="UIY1" s="67"/>
      <c r="UIZ1" s="67"/>
      <c r="UJA1" s="67"/>
      <c r="UJB1" s="67"/>
      <c r="UJC1" s="67"/>
      <c r="UJD1" s="68"/>
      <c r="UJE1" s="67"/>
      <c r="UJF1" s="67"/>
      <c r="UJG1" s="67"/>
      <c r="UJH1" s="67"/>
      <c r="UJI1" s="67"/>
      <c r="UJJ1" s="67"/>
      <c r="UJK1" s="67"/>
      <c r="UJL1" s="68"/>
      <c r="UJM1" s="67"/>
      <c r="UJN1" s="67"/>
      <c r="UJO1" s="67"/>
      <c r="UJP1" s="67"/>
      <c r="UJQ1" s="67"/>
      <c r="UJR1" s="67"/>
      <c r="UJS1" s="67"/>
      <c r="UJT1" s="68"/>
      <c r="UJU1" s="67"/>
      <c r="UJV1" s="67"/>
      <c r="UJW1" s="67"/>
      <c r="UJX1" s="67"/>
      <c r="UJY1" s="67"/>
      <c r="UJZ1" s="67"/>
      <c r="UKA1" s="67"/>
      <c r="UKB1" s="68"/>
      <c r="UKC1" s="67"/>
      <c r="UKD1" s="67"/>
      <c r="UKE1" s="67"/>
      <c r="UKF1" s="67"/>
      <c r="UKG1" s="67"/>
      <c r="UKH1" s="67"/>
      <c r="UKI1" s="67"/>
      <c r="UKJ1" s="68"/>
      <c r="UKK1" s="67"/>
      <c r="UKL1" s="67"/>
      <c r="UKM1" s="67"/>
      <c r="UKN1" s="67"/>
      <c r="UKO1" s="67"/>
      <c r="UKP1" s="67"/>
      <c r="UKQ1" s="67"/>
      <c r="UKR1" s="68"/>
      <c r="UKS1" s="67"/>
      <c r="UKT1" s="67"/>
      <c r="UKU1" s="67"/>
      <c r="UKV1" s="67"/>
      <c r="UKW1" s="67"/>
      <c r="UKX1" s="67"/>
      <c r="UKY1" s="67"/>
      <c r="UKZ1" s="68"/>
      <c r="ULA1" s="67"/>
      <c r="ULB1" s="67"/>
      <c r="ULC1" s="67"/>
      <c r="ULD1" s="67"/>
      <c r="ULE1" s="67"/>
      <c r="ULF1" s="67"/>
      <c r="ULG1" s="67"/>
      <c r="ULH1" s="68"/>
      <c r="ULI1" s="67"/>
      <c r="ULJ1" s="67"/>
      <c r="ULK1" s="67"/>
      <c r="ULL1" s="67"/>
      <c r="ULM1" s="67"/>
      <c r="ULN1" s="67"/>
      <c r="ULO1" s="67"/>
      <c r="ULP1" s="68"/>
      <c r="ULQ1" s="67"/>
      <c r="ULR1" s="67"/>
      <c r="ULS1" s="67"/>
      <c r="ULT1" s="67"/>
      <c r="ULU1" s="67"/>
      <c r="ULV1" s="67"/>
      <c r="ULW1" s="67"/>
      <c r="ULX1" s="68"/>
      <c r="ULY1" s="67"/>
      <c r="ULZ1" s="67"/>
      <c r="UMA1" s="67"/>
      <c r="UMB1" s="67"/>
      <c r="UMC1" s="67"/>
      <c r="UMD1" s="67"/>
      <c r="UME1" s="67"/>
      <c r="UMF1" s="68"/>
      <c r="UMG1" s="67"/>
      <c r="UMH1" s="67"/>
      <c r="UMI1" s="67"/>
      <c r="UMJ1" s="67"/>
      <c r="UMK1" s="67"/>
      <c r="UML1" s="67"/>
      <c r="UMM1" s="67"/>
      <c r="UMN1" s="68"/>
      <c r="UMO1" s="67"/>
      <c r="UMP1" s="67"/>
      <c r="UMQ1" s="67"/>
      <c r="UMR1" s="67"/>
      <c r="UMS1" s="67"/>
      <c r="UMT1" s="67"/>
      <c r="UMU1" s="67"/>
      <c r="UMV1" s="68"/>
      <c r="UMW1" s="67"/>
      <c r="UMX1" s="67"/>
      <c r="UMY1" s="67"/>
      <c r="UMZ1" s="67"/>
      <c r="UNA1" s="67"/>
      <c r="UNB1" s="67"/>
      <c r="UNC1" s="67"/>
      <c r="UND1" s="68"/>
      <c r="UNE1" s="67"/>
      <c r="UNF1" s="67"/>
      <c r="UNG1" s="67"/>
      <c r="UNH1" s="67"/>
      <c r="UNI1" s="67"/>
      <c r="UNJ1" s="67"/>
      <c r="UNK1" s="67"/>
      <c r="UNL1" s="68"/>
      <c r="UNM1" s="67"/>
      <c r="UNN1" s="67"/>
      <c r="UNO1" s="67"/>
      <c r="UNP1" s="67"/>
      <c r="UNQ1" s="67"/>
      <c r="UNR1" s="67"/>
      <c r="UNS1" s="67"/>
      <c r="UNT1" s="68"/>
      <c r="UNU1" s="67"/>
      <c r="UNV1" s="67"/>
      <c r="UNW1" s="67"/>
      <c r="UNX1" s="67"/>
      <c r="UNY1" s="67"/>
      <c r="UNZ1" s="67"/>
      <c r="UOA1" s="67"/>
      <c r="UOB1" s="68"/>
      <c r="UOC1" s="67"/>
      <c r="UOD1" s="67"/>
      <c r="UOE1" s="67"/>
      <c r="UOF1" s="67"/>
      <c r="UOG1" s="67"/>
      <c r="UOH1" s="67"/>
      <c r="UOI1" s="67"/>
      <c r="UOJ1" s="68"/>
      <c r="UOK1" s="67"/>
      <c r="UOL1" s="67"/>
      <c r="UOM1" s="67"/>
      <c r="UON1" s="67"/>
      <c r="UOO1" s="67"/>
      <c r="UOP1" s="67"/>
      <c r="UOQ1" s="67"/>
      <c r="UOR1" s="68"/>
      <c r="UOS1" s="67"/>
      <c r="UOT1" s="67"/>
      <c r="UOU1" s="67"/>
      <c r="UOV1" s="67"/>
      <c r="UOW1" s="67"/>
      <c r="UOX1" s="67"/>
      <c r="UOY1" s="67"/>
      <c r="UOZ1" s="68"/>
      <c r="UPA1" s="67"/>
      <c r="UPB1" s="67"/>
      <c r="UPC1" s="67"/>
      <c r="UPD1" s="67"/>
      <c r="UPE1" s="67"/>
      <c r="UPF1" s="67"/>
      <c r="UPG1" s="67"/>
      <c r="UPH1" s="68"/>
      <c r="UPI1" s="67"/>
      <c r="UPJ1" s="67"/>
      <c r="UPK1" s="67"/>
      <c r="UPL1" s="67"/>
      <c r="UPM1" s="67"/>
      <c r="UPN1" s="67"/>
      <c r="UPO1" s="67"/>
      <c r="UPP1" s="68"/>
      <c r="UPQ1" s="67"/>
      <c r="UPR1" s="67"/>
      <c r="UPS1" s="67"/>
      <c r="UPT1" s="67"/>
      <c r="UPU1" s="67"/>
      <c r="UPV1" s="67"/>
      <c r="UPW1" s="67"/>
      <c r="UPX1" s="68"/>
      <c r="UPY1" s="67"/>
      <c r="UPZ1" s="67"/>
      <c r="UQA1" s="67"/>
      <c r="UQB1" s="67"/>
      <c r="UQC1" s="67"/>
      <c r="UQD1" s="67"/>
      <c r="UQE1" s="67"/>
      <c r="UQF1" s="68"/>
      <c r="UQG1" s="67"/>
      <c r="UQH1" s="67"/>
      <c r="UQI1" s="67"/>
      <c r="UQJ1" s="67"/>
      <c r="UQK1" s="67"/>
      <c r="UQL1" s="67"/>
      <c r="UQM1" s="67"/>
      <c r="UQN1" s="68"/>
      <c r="UQO1" s="67"/>
      <c r="UQP1" s="67"/>
      <c r="UQQ1" s="67"/>
      <c r="UQR1" s="67"/>
      <c r="UQS1" s="67"/>
      <c r="UQT1" s="67"/>
      <c r="UQU1" s="67"/>
      <c r="UQV1" s="68"/>
      <c r="UQW1" s="67"/>
      <c r="UQX1" s="67"/>
      <c r="UQY1" s="67"/>
      <c r="UQZ1" s="67"/>
      <c r="URA1" s="67"/>
      <c r="URB1" s="67"/>
      <c r="URC1" s="67"/>
      <c r="URD1" s="68"/>
      <c r="URE1" s="67"/>
      <c r="URF1" s="67"/>
      <c r="URG1" s="67"/>
      <c r="URH1" s="67"/>
      <c r="URI1" s="67"/>
      <c r="URJ1" s="67"/>
      <c r="URK1" s="67"/>
      <c r="URL1" s="68"/>
      <c r="URM1" s="67"/>
      <c r="URN1" s="67"/>
      <c r="URO1" s="67"/>
      <c r="URP1" s="67"/>
      <c r="URQ1" s="67"/>
      <c r="URR1" s="67"/>
      <c r="URS1" s="67"/>
      <c r="URT1" s="68"/>
      <c r="URU1" s="67"/>
      <c r="URV1" s="67"/>
      <c r="URW1" s="67"/>
      <c r="URX1" s="67"/>
      <c r="URY1" s="67"/>
      <c r="URZ1" s="67"/>
      <c r="USA1" s="67"/>
      <c r="USB1" s="68"/>
      <c r="USC1" s="67"/>
      <c r="USD1" s="67"/>
      <c r="USE1" s="67"/>
      <c r="USF1" s="67"/>
      <c r="USG1" s="67"/>
      <c r="USH1" s="67"/>
      <c r="USI1" s="67"/>
      <c r="USJ1" s="68"/>
      <c r="USK1" s="67"/>
      <c r="USL1" s="67"/>
      <c r="USM1" s="67"/>
      <c r="USN1" s="67"/>
      <c r="USO1" s="67"/>
      <c r="USP1" s="67"/>
      <c r="USQ1" s="67"/>
      <c r="USR1" s="68"/>
      <c r="USS1" s="67"/>
      <c r="UST1" s="67"/>
      <c r="USU1" s="67"/>
      <c r="USV1" s="67"/>
      <c r="USW1" s="67"/>
      <c r="USX1" s="67"/>
      <c r="USY1" s="67"/>
      <c r="USZ1" s="68"/>
      <c r="UTA1" s="67"/>
      <c r="UTB1" s="67"/>
      <c r="UTC1" s="67"/>
      <c r="UTD1" s="67"/>
      <c r="UTE1" s="67"/>
      <c r="UTF1" s="67"/>
      <c r="UTG1" s="67"/>
      <c r="UTH1" s="68"/>
      <c r="UTI1" s="67"/>
      <c r="UTJ1" s="67"/>
      <c r="UTK1" s="67"/>
      <c r="UTL1" s="67"/>
      <c r="UTM1" s="67"/>
      <c r="UTN1" s="67"/>
      <c r="UTO1" s="67"/>
      <c r="UTP1" s="68"/>
      <c r="UTQ1" s="67"/>
      <c r="UTR1" s="67"/>
      <c r="UTS1" s="67"/>
      <c r="UTT1" s="67"/>
      <c r="UTU1" s="67"/>
      <c r="UTV1" s="67"/>
      <c r="UTW1" s="67"/>
      <c r="UTX1" s="68"/>
      <c r="UTY1" s="67"/>
      <c r="UTZ1" s="67"/>
      <c r="UUA1" s="67"/>
      <c r="UUB1" s="67"/>
      <c r="UUC1" s="67"/>
      <c r="UUD1" s="67"/>
      <c r="UUE1" s="67"/>
      <c r="UUF1" s="68"/>
      <c r="UUG1" s="67"/>
      <c r="UUH1" s="67"/>
      <c r="UUI1" s="67"/>
      <c r="UUJ1" s="67"/>
      <c r="UUK1" s="67"/>
      <c r="UUL1" s="67"/>
      <c r="UUM1" s="67"/>
      <c r="UUN1" s="68"/>
      <c r="UUO1" s="67"/>
      <c r="UUP1" s="67"/>
      <c r="UUQ1" s="67"/>
      <c r="UUR1" s="67"/>
      <c r="UUS1" s="67"/>
      <c r="UUT1" s="67"/>
      <c r="UUU1" s="67"/>
      <c r="UUV1" s="68"/>
      <c r="UUW1" s="67"/>
      <c r="UUX1" s="67"/>
      <c r="UUY1" s="67"/>
      <c r="UUZ1" s="67"/>
      <c r="UVA1" s="67"/>
      <c r="UVB1" s="67"/>
      <c r="UVC1" s="67"/>
      <c r="UVD1" s="68"/>
      <c r="UVE1" s="67"/>
      <c r="UVF1" s="67"/>
      <c r="UVG1" s="67"/>
      <c r="UVH1" s="67"/>
      <c r="UVI1" s="67"/>
      <c r="UVJ1" s="67"/>
      <c r="UVK1" s="67"/>
      <c r="UVL1" s="68"/>
      <c r="UVM1" s="67"/>
      <c r="UVN1" s="67"/>
      <c r="UVO1" s="67"/>
      <c r="UVP1" s="67"/>
      <c r="UVQ1" s="67"/>
      <c r="UVR1" s="67"/>
      <c r="UVS1" s="67"/>
      <c r="UVT1" s="68"/>
      <c r="UVU1" s="67"/>
      <c r="UVV1" s="67"/>
      <c r="UVW1" s="67"/>
      <c r="UVX1" s="67"/>
      <c r="UVY1" s="67"/>
      <c r="UVZ1" s="67"/>
      <c r="UWA1" s="67"/>
      <c r="UWB1" s="68"/>
      <c r="UWC1" s="67"/>
      <c r="UWD1" s="67"/>
      <c r="UWE1" s="67"/>
      <c r="UWF1" s="67"/>
      <c r="UWG1" s="67"/>
      <c r="UWH1" s="67"/>
      <c r="UWI1" s="67"/>
      <c r="UWJ1" s="68"/>
      <c r="UWK1" s="67"/>
      <c r="UWL1" s="67"/>
      <c r="UWM1" s="67"/>
      <c r="UWN1" s="67"/>
      <c r="UWO1" s="67"/>
      <c r="UWP1" s="67"/>
      <c r="UWQ1" s="67"/>
      <c r="UWR1" s="68"/>
      <c r="UWS1" s="67"/>
      <c r="UWT1" s="67"/>
      <c r="UWU1" s="67"/>
      <c r="UWV1" s="67"/>
      <c r="UWW1" s="67"/>
      <c r="UWX1" s="67"/>
      <c r="UWY1" s="67"/>
      <c r="UWZ1" s="68"/>
      <c r="UXA1" s="67"/>
      <c r="UXB1" s="67"/>
      <c r="UXC1" s="67"/>
      <c r="UXD1" s="67"/>
      <c r="UXE1" s="67"/>
      <c r="UXF1" s="67"/>
      <c r="UXG1" s="67"/>
      <c r="UXH1" s="68"/>
      <c r="UXI1" s="67"/>
      <c r="UXJ1" s="67"/>
      <c r="UXK1" s="67"/>
      <c r="UXL1" s="67"/>
      <c r="UXM1" s="67"/>
      <c r="UXN1" s="67"/>
      <c r="UXO1" s="67"/>
      <c r="UXP1" s="68"/>
      <c r="UXQ1" s="67"/>
      <c r="UXR1" s="67"/>
      <c r="UXS1" s="67"/>
      <c r="UXT1" s="67"/>
      <c r="UXU1" s="67"/>
      <c r="UXV1" s="67"/>
      <c r="UXW1" s="67"/>
      <c r="UXX1" s="68"/>
      <c r="UXY1" s="67"/>
      <c r="UXZ1" s="67"/>
      <c r="UYA1" s="67"/>
      <c r="UYB1" s="67"/>
      <c r="UYC1" s="67"/>
      <c r="UYD1" s="67"/>
      <c r="UYE1" s="67"/>
      <c r="UYF1" s="68"/>
      <c r="UYG1" s="67"/>
      <c r="UYH1" s="67"/>
      <c r="UYI1" s="67"/>
      <c r="UYJ1" s="67"/>
      <c r="UYK1" s="67"/>
      <c r="UYL1" s="67"/>
      <c r="UYM1" s="67"/>
      <c r="UYN1" s="68"/>
      <c r="UYO1" s="67"/>
      <c r="UYP1" s="67"/>
      <c r="UYQ1" s="67"/>
      <c r="UYR1" s="67"/>
      <c r="UYS1" s="67"/>
      <c r="UYT1" s="67"/>
      <c r="UYU1" s="67"/>
      <c r="UYV1" s="68"/>
      <c r="UYW1" s="67"/>
      <c r="UYX1" s="67"/>
      <c r="UYY1" s="67"/>
      <c r="UYZ1" s="67"/>
      <c r="UZA1" s="67"/>
      <c r="UZB1" s="67"/>
      <c r="UZC1" s="67"/>
      <c r="UZD1" s="68"/>
      <c r="UZE1" s="67"/>
      <c r="UZF1" s="67"/>
      <c r="UZG1" s="67"/>
      <c r="UZH1" s="67"/>
      <c r="UZI1" s="67"/>
      <c r="UZJ1" s="67"/>
      <c r="UZK1" s="67"/>
      <c r="UZL1" s="68"/>
      <c r="UZM1" s="67"/>
      <c r="UZN1" s="67"/>
      <c r="UZO1" s="67"/>
      <c r="UZP1" s="67"/>
      <c r="UZQ1" s="67"/>
      <c r="UZR1" s="67"/>
      <c r="UZS1" s="67"/>
      <c r="UZT1" s="68"/>
      <c r="UZU1" s="67"/>
      <c r="UZV1" s="67"/>
      <c r="UZW1" s="67"/>
      <c r="UZX1" s="67"/>
      <c r="UZY1" s="67"/>
      <c r="UZZ1" s="67"/>
      <c r="VAA1" s="67"/>
      <c r="VAB1" s="68"/>
      <c r="VAC1" s="67"/>
      <c r="VAD1" s="67"/>
      <c r="VAE1" s="67"/>
      <c r="VAF1" s="67"/>
      <c r="VAG1" s="67"/>
      <c r="VAH1" s="67"/>
      <c r="VAI1" s="67"/>
      <c r="VAJ1" s="68"/>
      <c r="VAK1" s="67"/>
      <c r="VAL1" s="67"/>
      <c r="VAM1" s="67"/>
      <c r="VAN1" s="67"/>
      <c r="VAO1" s="67"/>
      <c r="VAP1" s="67"/>
      <c r="VAQ1" s="67"/>
      <c r="VAR1" s="68"/>
      <c r="VAS1" s="67"/>
      <c r="VAT1" s="67"/>
      <c r="VAU1" s="67"/>
      <c r="VAV1" s="67"/>
      <c r="VAW1" s="67"/>
      <c r="VAX1" s="67"/>
      <c r="VAY1" s="67"/>
      <c r="VAZ1" s="68"/>
      <c r="VBA1" s="67"/>
      <c r="VBB1" s="67"/>
      <c r="VBC1" s="67"/>
      <c r="VBD1" s="67"/>
      <c r="VBE1" s="67"/>
      <c r="VBF1" s="67"/>
      <c r="VBG1" s="67"/>
      <c r="VBH1" s="68"/>
      <c r="VBI1" s="67"/>
      <c r="VBJ1" s="67"/>
      <c r="VBK1" s="67"/>
      <c r="VBL1" s="67"/>
      <c r="VBM1" s="67"/>
      <c r="VBN1" s="67"/>
      <c r="VBO1" s="67"/>
      <c r="VBP1" s="68"/>
      <c r="VBQ1" s="67"/>
      <c r="VBR1" s="67"/>
      <c r="VBS1" s="67"/>
      <c r="VBT1" s="67"/>
      <c r="VBU1" s="67"/>
      <c r="VBV1" s="67"/>
      <c r="VBW1" s="67"/>
      <c r="VBX1" s="68"/>
      <c r="VBY1" s="67"/>
      <c r="VBZ1" s="67"/>
      <c r="VCA1" s="67"/>
      <c r="VCB1" s="67"/>
      <c r="VCC1" s="67"/>
      <c r="VCD1" s="67"/>
      <c r="VCE1" s="67"/>
      <c r="VCF1" s="68"/>
      <c r="VCG1" s="67"/>
      <c r="VCH1" s="67"/>
      <c r="VCI1" s="67"/>
      <c r="VCJ1" s="67"/>
      <c r="VCK1" s="67"/>
      <c r="VCL1" s="67"/>
      <c r="VCM1" s="67"/>
      <c r="VCN1" s="68"/>
      <c r="VCO1" s="67"/>
      <c r="VCP1" s="67"/>
      <c r="VCQ1" s="67"/>
      <c r="VCR1" s="67"/>
      <c r="VCS1" s="67"/>
      <c r="VCT1" s="67"/>
      <c r="VCU1" s="67"/>
      <c r="VCV1" s="68"/>
      <c r="VCW1" s="67"/>
      <c r="VCX1" s="67"/>
      <c r="VCY1" s="67"/>
      <c r="VCZ1" s="67"/>
      <c r="VDA1" s="67"/>
      <c r="VDB1" s="67"/>
      <c r="VDC1" s="67"/>
      <c r="VDD1" s="68"/>
      <c r="VDE1" s="67"/>
      <c r="VDF1" s="67"/>
      <c r="VDG1" s="67"/>
      <c r="VDH1" s="67"/>
      <c r="VDI1" s="67"/>
      <c r="VDJ1" s="67"/>
      <c r="VDK1" s="67"/>
      <c r="VDL1" s="68"/>
      <c r="VDM1" s="67"/>
      <c r="VDN1" s="67"/>
      <c r="VDO1" s="67"/>
      <c r="VDP1" s="67"/>
      <c r="VDQ1" s="67"/>
      <c r="VDR1" s="67"/>
      <c r="VDS1" s="67"/>
      <c r="VDT1" s="68"/>
      <c r="VDU1" s="67"/>
      <c r="VDV1" s="67"/>
      <c r="VDW1" s="67"/>
      <c r="VDX1" s="67"/>
      <c r="VDY1" s="67"/>
      <c r="VDZ1" s="67"/>
      <c r="VEA1" s="67"/>
      <c r="VEB1" s="68"/>
      <c r="VEC1" s="67"/>
      <c r="VED1" s="67"/>
      <c r="VEE1" s="67"/>
      <c r="VEF1" s="67"/>
      <c r="VEG1" s="67"/>
      <c r="VEH1" s="67"/>
      <c r="VEI1" s="67"/>
      <c r="VEJ1" s="68"/>
      <c r="VEK1" s="67"/>
      <c r="VEL1" s="67"/>
      <c r="VEM1" s="67"/>
      <c r="VEN1" s="67"/>
      <c r="VEO1" s="67"/>
      <c r="VEP1" s="67"/>
      <c r="VEQ1" s="67"/>
      <c r="VER1" s="68"/>
      <c r="VES1" s="67"/>
      <c r="VET1" s="67"/>
      <c r="VEU1" s="67"/>
      <c r="VEV1" s="67"/>
      <c r="VEW1" s="67"/>
      <c r="VEX1" s="67"/>
      <c r="VEY1" s="67"/>
      <c r="VEZ1" s="68"/>
      <c r="VFA1" s="67"/>
      <c r="VFB1" s="67"/>
      <c r="VFC1" s="67"/>
      <c r="VFD1" s="67"/>
      <c r="VFE1" s="67"/>
      <c r="VFF1" s="67"/>
      <c r="VFG1" s="67"/>
      <c r="VFH1" s="68"/>
      <c r="VFI1" s="67"/>
      <c r="VFJ1" s="67"/>
      <c r="VFK1" s="67"/>
      <c r="VFL1" s="67"/>
      <c r="VFM1" s="67"/>
      <c r="VFN1" s="67"/>
      <c r="VFO1" s="67"/>
      <c r="VFP1" s="68"/>
      <c r="VFQ1" s="67"/>
      <c r="VFR1" s="67"/>
      <c r="VFS1" s="67"/>
      <c r="VFT1" s="67"/>
      <c r="VFU1" s="67"/>
      <c r="VFV1" s="67"/>
      <c r="VFW1" s="67"/>
      <c r="VFX1" s="68"/>
      <c r="VFY1" s="67"/>
      <c r="VFZ1" s="67"/>
      <c r="VGA1" s="67"/>
      <c r="VGB1" s="67"/>
      <c r="VGC1" s="67"/>
      <c r="VGD1" s="67"/>
      <c r="VGE1" s="67"/>
      <c r="VGF1" s="68"/>
      <c r="VGG1" s="67"/>
      <c r="VGH1" s="67"/>
      <c r="VGI1" s="67"/>
      <c r="VGJ1" s="67"/>
      <c r="VGK1" s="67"/>
      <c r="VGL1" s="67"/>
      <c r="VGM1" s="67"/>
      <c r="VGN1" s="68"/>
      <c r="VGO1" s="67"/>
      <c r="VGP1" s="67"/>
      <c r="VGQ1" s="67"/>
      <c r="VGR1" s="67"/>
      <c r="VGS1" s="67"/>
      <c r="VGT1" s="67"/>
      <c r="VGU1" s="67"/>
      <c r="VGV1" s="68"/>
      <c r="VGW1" s="67"/>
      <c r="VGX1" s="67"/>
      <c r="VGY1" s="67"/>
      <c r="VGZ1" s="67"/>
      <c r="VHA1" s="67"/>
      <c r="VHB1" s="67"/>
      <c r="VHC1" s="67"/>
      <c r="VHD1" s="68"/>
      <c r="VHE1" s="67"/>
      <c r="VHF1" s="67"/>
      <c r="VHG1" s="67"/>
      <c r="VHH1" s="67"/>
      <c r="VHI1" s="67"/>
      <c r="VHJ1" s="67"/>
      <c r="VHK1" s="67"/>
      <c r="VHL1" s="68"/>
      <c r="VHM1" s="67"/>
      <c r="VHN1" s="67"/>
      <c r="VHO1" s="67"/>
      <c r="VHP1" s="67"/>
      <c r="VHQ1" s="67"/>
      <c r="VHR1" s="67"/>
      <c r="VHS1" s="67"/>
      <c r="VHT1" s="68"/>
      <c r="VHU1" s="67"/>
      <c r="VHV1" s="67"/>
      <c r="VHW1" s="67"/>
      <c r="VHX1" s="67"/>
      <c r="VHY1" s="67"/>
      <c r="VHZ1" s="67"/>
      <c r="VIA1" s="67"/>
      <c r="VIB1" s="68"/>
      <c r="VIC1" s="67"/>
      <c r="VID1" s="67"/>
      <c r="VIE1" s="67"/>
      <c r="VIF1" s="67"/>
      <c r="VIG1" s="67"/>
      <c r="VIH1" s="67"/>
      <c r="VII1" s="67"/>
      <c r="VIJ1" s="68"/>
      <c r="VIK1" s="67"/>
      <c r="VIL1" s="67"/>
      <c r="VIM1" s="67"/>
      <c r="VIN1" s="67"/>
      <c r="VIO1" s="67"/>
      <c r="VIP1" s="67"/>
      <c r="VIQ1" s="67"/>
      <c r="VIR1" s="68"/>
      <c r="VIS1" s="67"/>
      <c r="VIT1" s="67"/>
      <c r="VIU1" s="67"/>
      <c r="VIV1" s="67"/>
      <c r="VIW1" s="67"/>
      <c r="VIX1" s="67"/>
      <c r="VIY1" s="67"/>
      <c r="VIZ1" s="68"/>
      <c r="VJA1" s="67"/>
      <c r="VJB1" s="67"/>
      <c r="VJC1" s="67"/>
      <c r="VJD1" s="67"/>
      <c r="VJE1" s="67"/>
      <c r="VJF1" s="67"/>
      <c r="VJG1" s="67"/>
      <c r="VJH1" s="68"/>
      <c r="VJI1" s="67"/>
      <c r="VJJ1" s="67"/>
      <c r="VJK1" s="67"/>
      <c r="VJL1" s="67"/>
      <c r="VJM1" s="67"/>
      <c r="VJN1" s="67"/>
      <c r="VJO1" s="67"/>
      <c r="VJP1" s="68"/>
      <c r="VJQ1" s="67"/>
      <c r="VJR1" s="67"/>
      <c r="VJS1" s="67"/>
      <c r="VJT1" s="67"/>
      <c r="VJU1" s="67"/>
      <c r="VJV1" s="67"/>
      <c r="VJW1" s="67"/>
      <c r="VJX1" s="68"/>
      <c r="VJY1" s="67"/>
      <c r="VJZ1" s="67"/>
      <c r="VKA1" s="67"/>
      <c r="VKB1" s="67"/>
      <c r="VKC1" s="67"/>
      <c r="VKD1" s="67"/>
      <c r="VKE1" s="67"/>
      <c r="VKF1" s="68"/>
      <c r="VKG1" s="67"/>
      <c r="VKH1" s="67"/>
      <c r="VKI1" s="67"/>
      <c r="VKJ1" s="67"/>
      <c r="VKK1" s="67"/>
      <c r="VKL1" s="67"/>
      <c r="VKM1" s="67"/>
      <c r="VKN1" s="68"/>
      <c r="VKO1" s="67"/>
      <c r="VKP1" s="67"/>
      <c r="VKQ1" s="67"/>
      <c r="VKR1" s="67"/>
      <c r="VKS1" s="67"/>
      <c r="VKT1" s="67"/>
      <c r="VKU1" s="67"/>
      <c r="VKV1" s="68"/>
      <c r="VKW1" s="67"/>
      <c r="VKX1" s="67"/>
      <c r="VKY1" s="67"/>
      <c r="VKZ1" s="67"/>
      <c r="VLA1" s="67"/>
      <c r="VLB1" s="67"/>
      <c r="VLC1" s="67"/>
      <c r="VLD1" s="68"/>
      <c r="VLE1" s="67"/>
      <c r="VLF1" s="67"/>
      <c r="VLG1" s="67"/>
      <c r="VLH1" s="67"/>
      <c r="VLI1" s="67"/>
      <c r="VLJ1" s="67"/>
      <c r="VLK1" s="67"/>
      <c r="VLL1" s="68"/>
      <c r="VLM1" s="67"/>
      <c r="VLN1" s="67"/>
      <c r="VLO1" s="67"/>
      <c r="VLP1" s="67"/>
      <c r="VLQ1" s="67"/>
      <c r="VLR1" s="67"/>
      <c r="VLS1" s="67"/>
      <c r="VLT1" s="68"/>
      <c r="VLU1" s="67"/>
      <c r="VLV1" s="67"/>
      <c r="VLW1" s="67"/>
      <c r="VLX1" s="67"/>
      <c r="VLY1" s="67"/>
      <c r="VLZ1" s="67"/>
      <c r="VMA1" s="67"/>
      <c r="VMB1" s="68"/>
      <c r="VMC1" s="67"/>
      <c r="VMD1" s="67"/>
      <c r="VME1" s="67"/>
      <c r="VMF1" s="67"/>
      <c r="VMG1" s="67"/>
      <c r="VMH1" s="67"/>
      <c r="VMI1" s="67"/>
      <c r="VMJ1" s="68"/>
      <c r="VMK1" s="67"/>
      <c r="VML1" s="67"/>
      <c r="VMM1" s="67"/>
      <c r="VMN1" s="67"/>
      <c r="VMO1" s="67"/>
      <c r="VMP1" s="67"/>
      <c r="VMQ1" s="67"/>
      <c r="VMR1" s="68"/>
      <c r="VMS1" s="67"/>
      <c r="VMT1" s="67"/>
      <c r="VMU1" s="67"/>
      <c r="VMV1" s="67"/>
      <c r="VMW1" s="67"/>
      <c r="VMX1" s="67"/>
      <c r="VMY1" s="67"/>
      <c r="VMZ1" s="68"/>
      <c r="VNA1" s="67"/>
      <c r="VNB1" s="67"/>
      <c r="VNC1" s="67"/>
      <c r="VND1" s="67"/>
      <c r="VNE1" s="67"/>
      <c r="VNF1" s="67"/>
      <c r="VNG1" s="67"/>
      <c r="VNH1" s="68"/>
      <c r="VNI1" s="67"/>
      <c r="VNJ1" s="67"/>
      <c r="VNK1" s="67"/>
      <c r="VNL1" s="67"/>
      <c r="VNM1" s="67"/>
      <c r="VNN1" s="67"/>
      <c r="VNO1" s="67"/>
      <c r="VNP1" s="68"/>
      <c r="VNQ1" s="67"/>
      <c r="VNR1" s="67"/>
      <c r="VNS1" s="67"/>
      <c r="VNT1" s="67"/>
      <c r="VNU1" s="67"/>
      <c r="VNV1" s="67"/>
      <c r="VNW1" s="67"/>
      <c r="VNX1" s="68"/>
      <c r="VNY1" s="67"/>
      <c r="VNZ1" s="67"/>
      <c r="VOA1" s="67"/>
      <c r="VOB1" s="67"/>
      <c r="VOC1" s="67"/>
      <c r="VOD1" s="67"/>
      <c r="VOE1" s="67"/>
      <c r="VOF1" s="68"/>
      <c r="VOG1" s="67"/>
      <c r="VOH1" s="67"/>
      <c r="VOI1" s="67"/>
      <c r="VOJ1" s="67"/>
      <c r="VOK1" s="67"/>
      <c r="VOL1" s="67"/>
      <c r="VOM1" s="67"/>
      <c r="VON1" s="68"/>
      <c r="VOO1" s="67"/>
      <c r="VOP1" s="67"/>
      <c r="VOQ1" s="67"/>
      <c r="VOR1" s="67"/>
      <c r="VOS1" s="67"/>
      <c r="VOT1" s="67"/>
      <c r="VOU1" s="67"/>
      <c r="VOV1" s="68"/>
      <c r="VOW1" s="67"/>
      <c r="VOX1" s="67"/>
      <c r="VOY1" s="67"/>
      <c r="VOZ1" s="67"/>
      <c r="VPA1" s="67"/>
      <c r="VPB1" s="67"/>
      <c r="VPC1" s="67"/>
      <c r="VPD1" s="68"/>
      <c r="VPE1" s="67"/>
      <c r="VPF1" s="67"/>
      <c r="VPG1" s="67"/>
      <c r="VPH1" s="67"/>
      <c r="VPI1" s="67"/>
      <c r="VPJ1" s="67"/>
      <c r="VPK1" s="67"/>
      <c r="VPL1" s="68"/>
      <c r="VPM1" s="67"/>
      <c r="VPN1" s="67"/>
      <c r="VPO1" s="67"/>
      <c r="VPP1" s="67"/>
      <c r="VPQ1" s="67"/>
      <c r="VPR1" s="67"/>
      <c r="VPS1" s="67"/>
      <c r="VPT1" s="68"/>
      <c r="VPU1" s="67"/>
      <c r="VPV1" s="67"/>
      <c r="VPW1" s="67"/>
      <c r="VPX1" s="67"/>
      <c r="VPY1" s="67"/>
      <c r="VPZ1" s="67"/>
      <c r="VQA1" s="67"/>
      <c r="VQB1" s="68"/>
      <c r="VQC1" s="67"/>
      <c r="VQD1" s="67"/>
      <c r="VQE1" s="67"/>
      <c r="VQF1" s="67"/>
      <c r="VQG1" s="67"/>
      <c r="VQH1" s="67"/>
      <c r="VQI1" s="67"/>
      <c r="VQJ1" s="68"/>
      <c r="VQK1" s="67"/>
      <c r="VQL1" s="67"/>
      <c r="VQM1" s="67"/>
      <c r="VQN1" s="67"/>
      <c r="VQO1" s="67"/>
      <c r="VQP1" s="67"/>
      <c r="VQQ1" s="67"/>
      <c r="VQR1" s="68"/>
      <c r="VQS1" s="67"/>
      <c r="VQT1" s="67"/>
      <c r="VQU1" s="67"/>
      <c r="VQV1" s="67"/>
      <c r="VQW1" s="67"/>
      <c r="VQX1" s="67"/>
      <c r="VQY1" s="67"/>
      <c r="VQZ1" s="68"/>
      <c r="VRA1" s="67"/>
      <c r="VRB1" s="67"/>
      <c r="VRC1" s="67"/>
      <c r="VRD1" s="67"/>
      <c r="VRE1" s="67"/>
      <c r="VRF1" s="67"/>
      <c r="VRG1" s="67"/>
      <c r="VRH1" s="68"/>
      <c r="VRI1" s="67"/>
      <c r="VRJ1" s="67"/>
      <c r="VRK1" s="67"/>
      <c r="VRL1" s="67"/>
      <c r="VRM1" s="67"/>
      <c r="VRN1" s="67"/>
      <c r="VRO1" s="67"/>
      <c r="VRP1" s="68"/>
      <c r="VRQ1" s="67"/>
      <c r="VRR1" s="67"/>
      <c r="VRS1" s="67"/>
      <c r="VRT1" s="67"/>
      <c r="VRU1" s="67"/>
      <c r="VRV1" s="67"/>
      <c r="VRW1" s="67"/>
      <c r="VRX1" s="68"/>
      <c r="VRY1" s="67"/>
      <c r="VRZ1" s="67"/>
      <c r="VSA1" s="67"/>
      <c r="VSB1" s="67"/>
      <c r="VSC1" s="67"/>
      <c r="VSD1" s="67"/>
      <c r="VSE1" s="67"/>
      <c r="VSF1" s="68"/>
      <c r="VSG1" s="67"/>
      <c r="VSH1" s="67"/>
      <c r="VSI1" s="67"/>
      <c r="VSJ1" s="67"/>
      <c r="VSK1" s="67"/>
      <c r="VSL1" s="67"/>
      <c r="VSM1" s="67"/>
      <c r="VSN1" s="68"/>
      <c r="VSO1" s="67"/>
      <c r="VSP1" s="67"/>
      <c r="VSQ1" s="67"/>
      <c r="VSR1" s="67"/>
      <c r="VSS1" s="67"/>
      <c r="VST1" s="67"/>
      <c r="VSU1" s="67"/>
      <c r="VSV1" s="68"/>
      <c r="VSW1" s="67"/>
      <c r="VSX1" s="67"/>
      <c r="VSY1" s="67"/>
      <c r="VSZ1" s="67"/>
      <c r="VTA1" s="67"/>
      <c r="VTB1" s="67"/>
      <c r="VTC1" s="67"/>
      <c r="VTD1" s="68"/>
      <c r="VTE1" s="67"/>
      <c r="VTF1" s="67"/>
      <c r="VTG1" s="67"/>
      <c r="VTH1" s="67"/>
      <c r="VTI1" s="67"/>
      <c r="VTJ1" s="67"/>
      <c r="VTK1" s="67"/>
      <c r="VTL1" s="68"/>
      <c r="VTM1" s="67"/>
      <c r="VTN1" s="67"/>
      <c r="VTO1" s="67"/>
      <c r="VTP1" s="67"/>
      <c r="VTQ1" s="67"/>
      <c r="VTR1" s="67"/>
      <c r="VTS1" s="67"/>
      <c r="VTT1" s="68"/>
      <c r="VTU1" s="67"/>
      <c r="VTV1" s="67"/>
      <c r="VTW1" s="67"/>
      <c r="VTX1" s="67"/>
      <c r="VTY1" s="67"/>
      <c r="VTZ1" s="67"/>
      <c r="VUA1" s="67"/>
      <c r="VUB1" s="68"/>
      <c r="VUC1" s="67"/>
      <c r="VUD1" s="67"/>
      <c r="VUE1" s="67"/>
      <c r="VUF1" s="67"/>
      <c r="VUG1" s="67"/>
      <c r="VUH1" s="67"/>
      <c r="VUI1" s="67"/>
      <c r="VUJ1" s="68"/>
      <c r="VUK1" s="67"/>
      <c r="VUL1" s="67"/>
      <c r="VUM1" s="67"/>
      <c r="VUN1" s="67"/>
      <c r="VUO1" s="67"/>
      <c r="VUP1" s="67"/>
      <c r="VUQ1" s="67"/>
      <c r="VUR1" s="68"/>
      <c r="VUS1" s="67"/>
      <c r="VUT1" s="67"/>
      <c r="VUU1" s="67"/>
      <c r="VUV1" s="67"/>
      <c r="VUW1" s="67"/>
      <c r="VUX1" s="67"/>
      <c r="VUY1" s="67"/>
      <c r="VUZ1" s="68"/>
      <c r="VVA1" s="67"/>
      <c r="VVB1" s="67"/>
      <c r="VVC1" s="67"/>
      <c r="VVD1" s="67"/>
      <c r="VVE1" s="67"/>
      <c r="VVF1" s="67"/>
      <c r="VVG1" s="67"/>
      <c r="VVH1" s="68"/>
      <c r="VVI1" s="67"/>
      <c r="VVJ1" s="67"/>
      <c r="VVK1" s="67"/>
      <c r="VVL1" s="67"/>
      <c r="VVM1" s="67"/>
      <c r="VVN1" s="67"/>
      <c r="VVO1" s="67"/>
      <c r="VVP1" s="68"/>
      <c r="VVQ1" s="67"/>
      <c r="VVR1" s="67"/>
      <c r="VVS1" s="67"/>
      <c r="VVT1" s="67"/>
      <c r="VVU1" s="67"/>
      <c r="VVV1" s="67"/>
      <c r="VVW1" s="67"/>
      <c r="VVX1" s="68"/>
      <c r="VVY1" s="67"/>
      <c r="VVZ1" s="67"/>
      <c r="VWA1" s="67"/>
      <c r="VWB1" s="67"/>
      <c r="VWC1" s="67"/>
      <c r="VWD1" s="67"/>
      <c r="VWE1" s="67"/>
      <c r="VWF1" s="68"/>
      <c r="VWG1" s="67"/>
      <c r="VWH1" s="67"/>
      <c r="VWI1" s="67"/>
      <c r="VWJ1" s="67"/>
      <c r="VWK1" s="67"/>
      <c r="VWL1" s="67"/>
      <c r="VWM1" s="67"/>
      <c r="VWN1" s="68"/>
      <c r="VWO1" s="67"/>
      <c r="VWP1" s="67"/>
      <c r="VWQ1" s="67"/>
      <c r="VWR1" s="67"/>
      <c r="VWS1" s="67"/>
      <c r="VWT1" s="67"/>
      <c r="VWU1" s="67"/>
      <c r="VWV1" s="68"/>
      <c r="VWW1" s="67"/>
      <c r="VWX1" s="67"/>
      <c r="VWY1" s="67"/>
      <c r="VWZ1" s="67"/>
      <c r="VXA1" s="67"/>
      <c r="VXB1" s="67"/>
      <c r="VXC1" s="67"/>
      <c r="VXD1" s="68"/>
      <c r="VXE1" s="67"/>
      <c r="VXF1" s="67"/>
      <c r="VXG1" s="67"/>
      <c r="VXH1" s="67"/>
      <c r="VXI1" s="67"/>
      <c r="VXJ1" s="67"/>
      <c r="VXK1" s="67"/>
      <c r="VXL1" s="68"/>
      <c r="VXM1" s="67"/>
      <c r="VXN1" s="67"/>
      <c r="VXO1" s="67"/>
      <c r="VXP1" s="67"/>
      <c r="VXQ1" s="67"/>
      <c r="VXR1" s="67"/>
      <c r="VXS1" s="67"/>
      <c r="VXT1" s="68"/>
      <c r="VXU1" s="67"/>
      <c r="VXV1" s="67"/>
      <c r="VXW1" s="67"/>
      <c r="VXX1" s="67"/>
      <c r="VXY1" s="67"/>
      <c r="VXZ1" s="67"/>
      <c r="VYA1" s="67"/>
      <c r="VYB1" s="68"/>
      <c r="VYC1" s="67"/>
      <c r="VYD1" s="67"/>
      <c r="VYE1" s="67"/>
      <c r="VYF1" s="67"/>
      <c r="VYG1" s="67"/>
      <c r="VYH1" s="67"/>
      <c r="VYI1" s="67"/>
      <c r="VYJ1" s="68"/>
      <c r="VYK1" s="67"/>
      <c r="VYL1" s="67"/>
      <c r="VYM1" s="67"/>
      <c r="VYN1" s="67"/>
      <c r="VYO1" s="67"/>
      <c r="VYP1" s="67"/>
      <c r="VYQ1" s="67"/>
      <c r="VYR1" s="68"/>
      <c r="VYS1" s="67"/>
      <c r="VYT1" s="67"/>
      <c r="VYU1" s="67"/>
      <c r="VYV1" s="67"/>
      <c r="VYW1" s="67"/>
      <c r="VYX1" s="67"/>
      <c r="VYY1" s="67"/>
      <c r="VYZ1" s="68"/>
      <c r="VZA1" s="67"/>
      <c r="VZB1" s="67"/>
      <c r="VZC1" s="67"/>
      <c r="VZD1" s="67"/>
      <c r="VZE1" s="67"/>
      <c r="VZF1" s="67"/>
      <c r="VZG1" s="67"/>
      <c r="VZH1" s="68"/>
      <c r="VZI1" s="67"/>
      <c r="VZJ1" s="67"/>
      <c r="VZK1" s="67"/>
      <c r="VZL1" s="67"/>
      <c r="VZM1" s="67"/>
      <c r="VZN1" s="67"/>
      <c r="VZO1" s="67"/>
      <c r="VZP1" s="68"/>
      <c r="VZQ1" s="67"/>
      <c r="VZR1" s="67"/>
      <c r="VZS1" s="67"/>
      <c r="VZT1" s="67"/>
      <c r="VZU1" s="67"/>
      <c r="VZV1" s="67"/>
      <c r="VZW1" s="67"/>
      <c r="VZX1" s="68"/>
      <c r="VZY1" s="67"/>
      <c r="VZZ1" s="67"/>
      <c r="WAA1" s="67"/>
      <c r="WAB1" s="67"/>
      <c r="WAC1" s="67"/>
      <c r="WAD1" s="67"/>
      <c r="WAE1" s="67"/>
      <c r="WAF1" s="68"/>
      <c r="WAG1" s="67"/>
      <c r="WAH1" s="67"/>
      <c r="WAI1" s="67"/>
      <c r="WAJ1" s="67"/>
      <c r="WAK1" s="67"/>
      <c r="WAL1" s="67"/>
      <c r="WAM1" s="67"/>
      <c r="WAN1" s="68"/>
      <c r="WAO1" s="67"/>
      <c r="WAP1" s="67"/>
      <c r="WAQ1" s="67"/>
      <c r="WAR1" s="67"/>
      <c r="WAS1" s="67"/>
      <c r="WAT1" s="67"/>
      <c r="WAU1" s="67"/>
      <c r="WAV1" s="68"/>
      <c r="WAW1" s="67"/>
      <c r="WAX1" s="67"/>
      <c r="WAY1" s="67"/>
      <c r="WAZ1" s="67"/>
      <c r="WBA1" s="67"/>
      <c r="WBB1" s="67"/>
      <c r="WBC1" s="67"/>
      <c r="WBD1" s="68"/>
      <c r="WBE1" s="67"/>
      <c r="WBF1" s="67"/>
      <c r="WBG1" s="67"/>
      <c r="WBH1" s="67"/>
      <c r="WBI1" s="67"/>
      <c r="WBJ1" s="67"/>
      <c r="WBK1" s="67"/>
      <c r="WBL1" s="68"/>
      <c r="WBM1" s="67"/>
      <c r="WBN1" s="67"/>
      <c r="WBO1" s="67"/>
      <c r="WBP1" s="67"/>
      <c r="WBQ1" s="67"/>
      <c r="WBR1" s="67"/>
      <c r="WBS1" s="67"/>
      <c r="WBT1" s="68"/>
      <c r="WBU1" s="67"/>
      <c r="WBV1" s="67"/>
      <c r="WBW1" s="67"/>
      <c r="WBX1" s="67"/>
      <c r="WBY1" s="67"/>
      <c r="WBZ1" s="67"/>
      <c r="WCA1" s="67"/>
      <c r="WCB1" s="68"/>
      <c r="WCC1" s="67"/>
      <c r="WCD1" s="67"/>
      <c r="WCE1" s="67"/>
      <c r="WCF1" s="67"/>
      <c r="WCG1" s="67"/>
      <c r="WCH1" s="67"/>
      <c r="WCI1" s="67"/>
      <c r="WCJ1" s="68"/>
      <c r="WCK1" s="67"/>
      <c r="WCL1" s="67"/>
      <c r="WCM1" s="67"/>
      <c r="WCN1" s="67"/>
      <c r="WCO1" s="67"/>
      <c r="WCP1" s="67"/>
      <c r="WCQ1" s="67"/>
      <c r="WCR1" s="68"/>
      <c r="WCS1" s="67"/>
      <c r="WCT1" s="67"/>
      <c r="WCU1" s="67"/>
      <c r="WCV1" s="67"/>
      <c r="WCW1" s="67"/>
      <c r="WCX1" s="67"/>
      <c r="WCY1" s="67"/>
      <c r="WCZ1" s="68"/>
      <c r="WDA1" s="67"/>
      <c r="WDB1" s="67"/>
      <c r="WDC1" s="67"/>
      <c r="WDD1" s="67"/>
      <c r="WDE1" s="67"/>
      <c r="WDF1" s="67"/>
      <c r="WDG1" s="67"/>
      <c r="WDH1" s="68"/>
      <c r="WDI1" s="67"/>
      <c r="WDJ1" s="67"/>
      <c r="WDK1" s="67"/>
      <c r="WDL1" s="67"/>
      <c r="WDM1" s="67"/>
      <c r="WDN1" s="67"/>
      <c r="WDO1" s="67"/>
      <c r="WDP1" s="68"/>
      <c r="WDQ1" s="67"/>
      <c r="WDR1" s="67"/>
      <c r="WDS1" s="67"/>
      <c r="WDT1" s="67"/>
      <c r="WDU1" s="67"/>
      <c r="WDV1" s="67"/>
      <c r="WDW1" s="67"/>
      <c r="WDX1" s="68"/>
      <c r="WDY1" s="67"/>
      <c r="WDZ1" s="67"/>
      <c r="WEA1" s="67"/>
      <c r="WEB1" s="67"/>
      <c r="WEC1" s="67"/>
      <c r="WED1" s="67"/>
      <c r="WEE1" s="67"/>
      <c r="WEF1" s="68"/>
      <c r="WEG1" s="67"/>
      <c r="WEH1" s="67"/>
      <c r="WEI1" s="67"/>
      <c r="WEJ1" s="67"/>
      <c r="WEK1" s="67"/>
      <c r="WEL1" s="67"/>
      <c r="WEM1" s="67"/>
      <c r="WEN1" s="68"/>
      <c r="WEO1" s="67"/>
      <c r="WEP1" s="67"/>
      <c r="WEQ1" s="67"/>
      <c r="WER1" s="67"/>
      <c r="WES1" s="67"/>
      <c r="WET1" s="67"/>
      <c r="WEU1" s="67"/>
      <c r="WEV1" s="68"/>
      <c r="WEW1" s="67"/>
      <c r="WEX1" s="67"/>
      <c r="WEY1" s="67"/>
      <c r="WEZ1" s="67"/>
      <c r="WFA1" s="67"/>
      <c r="WFB1" s="67"/>
      <c r="WFC1" s="67"/>
      <c r="WFD1" s="68"/>
      <c r="WFE1" s="67"/>
      <c r="WFF1" s="67"/>
      <c r="WFG1" s="67"/>
      <c r="WFH1" s="67"/>
      <c r="WFI1" s="67"/>
      <c r="WFJ1" s="67"/>
      <c r="WFK1" s="67"/>
      <c r="WFL1" s="68"/>
      <c r="WFM1" s="67"/>
      <c r="WFN1" s="67"/>
      <c r="WFO1" s="67"/>
      <c r="WFP1" s="67"/>
      <c r="WFQ1" s="67"/>
      <c r="WFR1" s="67"/>
      <c r="WFS1" s="67"/>
      <c r="WFT1" s="68"/>
      <c r="WFU1" s="67"/>
      <c r="WFV1" s="67"/>
      <c r="WFW1" s="67"/>
      <c r="WFX1" s="67"/>
      <c r="WFY1" s="67"/>
      <c r="WFZ1" s="67"/>
      <c r="WGA1" s="67"/>
      <c r="WGB1" s="68"/>
      <c r="WGC1" s="67"/>
      <c r="WGD1" s="67"/>
      <c r="WGE1" s="67"/>
      <c r="WGF1" s="67"/>
      <c r="WGG1" s="67"/>
      <c r="WGH1" s="67"/>
      <c r="WGI1" s="67"/>
      <c r="WGJ1" s="68"/>
      <c r="WGK1" s="67"/>
      <c r="WGL1" s="67"/>
      <c r="WGM1" s="67"/>
      <c r="WGN1" s="67"/>
      <c r="WGO1" s="67"/>
      <c r="WGP1" s="67"/>
      <c r="WGQ1" s="67"/>
      <c r="WGR1" s="68"/>
      <c r="WGS1" s="67"/>
      <c r="WGT1" s="67"/>
      <c r="WGU1" s="67"/>
      <c r="WGV1" s="67"/>
      <c r="WGW1" s="67"/>
      <c r="WGX1" s="67"/>
      <c r="WGY1" s="67"/>
      <c r="WGZ1" s="68"/>
      <c r="WHA1" s="67"/>
      <c r="WHB1" s="67"/>
      <c r="WHC1" s="67"/>
      <c r="WHD1" s="67"/>
      <c r="WHE1" s="67"/>
      <c r="WHF1" s="67"/>
      <c r="WHG1" s="67"/>
      <c r="WHH1" s="68"/>
      <c r="WHI1" s="67"/>
      <c r="WHJ1" s="67"/>
      <c r="WHK1" s="67"/>
      <c r="WHL1" s="67"/>
      <c r="WHM1" s="67"/>
      <c r="WHN1" s="67"/>
      <c r="WHO1" s="67"/>
      <c r="WHP1" s="68"/>
      <c r="WHQ1" s="67"/>
      <c r="WHR1" s="67"/>
      <c r="WHS1" s="67"/>
      <c r="WHT1" s="67"/>
      <c r="WHU1" s="67"/>
      <c r="WHV1" s="67"/>
      <c r="WHW1" s="67"/>
      <c r="WHX1" s="68"/>
      <c r="WHY1" s="67"/>
      <c r="WHZ1" s="67"/>
      <c r="WIA1" s="67"/>
      <c r="WIB1" s="67"/>
      <c r="WIC1" s="67"/>
      <c r="WID1" s="67"/>
      <c r="WIE1" s="67"/>
      <c r="WIF1" s="68"/>
      <c r="WIG1" s="67"/>
      <c r="WIH1" s="67"/>
      <c r="WII1" s="67"/>
      <c r="WIJ1" s="67"/>
      <c r="WIK1" s="67"/>
      <c r="WIL1" s="67"/>
      <c r="WIM1" s="67"/>
      <c r="WIN1" s="68"/>
      <c r="WIO1" s="67"/>
      <c r="WIP1" s="67"/>
      <c r="WIQ1" s="67"/>
      <c r="WIR1" s="67"/>
      <c r="WIS1" s="67"/>
      <c r="WIT1" s="67"/>
      <c r="WIU1" s="67"/>
      <c r="WIV1" s="68"/>
      <c r="WIW1" s="67"/>
      <c r="WIX1" s="67"/>
      <c r="WIY1" s="67"/>
      <c r="WIZ1" s="67"/>
      <c r="WJA1" s="67"/>
      <c r="WJB1" s="67"/>
      <c r="WJC1" s="67"/>
      <c r="WJD1" s="68"/>
      <c r="WJE1" s="67"/>
      <c r="WJF1" s="67"/>
      <c r="WJG1" s="67"/>
      <c r="WJH1" s="67"/>
      <c r="WJI1" s="67"/>
      <c r="WJJ1" s="67"/>
      <c r="WJK1" s="67"/>
      <c r="WJL1" s="68"/>
      <c r="WJM1" s="67"/>
      <c r="WJN1" s="67"/>
      <c r="WJO1" s="67"/>
      <c r="WJP1" s="67"/>
      <c r="WJQ1" s="67"/>
      <c r="WJR1" s="67"/>
      <c r="WJS1" s="67"/>
      <c r="WJT1" s="68"/>
      <c r="WJU1" s="67"/>
      <c r="WJV1" s="67"/>
      <c r="WJW1" s="67"/>
      <c r="WJX1" s="67"/>
      <c r="WJY1" s="67"/>
      <c r="WJZ1" s="67"/>
      <c r="WKA1" s="67"/>
      <c r="WKB1" s="68"/>
      <c r="WKC1" s="67"/>
      <c r="WKD1" s="67"/>
      <c r="WKE1" s="67"/>
      <c r="WKF1" s="67"/>
      <c r="WKG1" s="67"/>
      <c r="WKH1" s="67"/>
      <c r="WKI1" s="67"/>
      <c r="WKJ1" s="68"/>
      <c r="WKK1" s="67"/>
      <c r="WKL1" s="67"/>
      <c r="WKM1" s="67"/>
      <c r="WKN1" s="67"/>
      <c r="WKO1" s="67"/>
      <c r="WKP1" s="67"/>
      <c r="WKQ1" s="67"/>
      <c r="WKR1" s="68"/>
      <c r="WKS1" s="67"/>
      <c r="WKT1" s="67"/>
      <c r="WKU1" s="67"/>
      <c r="WKV1" s="67"/>
      <c r="WKW1" s="67"/>
      <c r="WKX1" s="67"/>
      <c r="WKY1" s="67"/>
      <c r="WKZ1" s="68"/>
      <c r="WLA1" s="67"/>
      <c r="WLB1" s="67"/>
      <c r="WLC1" s="67"/>
      <c r="WLD1" s="67"/>
      <c r="WLE1" s="67"/>
      <c r="WLF1" s="67"/>
      <c r="WLG1" s="67"/>
      <c r="WLH1" s="68"/>
      <c r="WLI1" s="67"/>
      <c r="WLJ1" s="67"/>
      <c r="WLK1" s="67"/>
      <c r="WLL1" s="67"/>
      <c r="WLM1" s="67"/>
      <c r="WLN1" s="67"/>
      <c r="WLO1" s="67"/>
      <c r="WLP1" s="68"/>
      <c r="WLQ1" s="67"/>
      <c r="WLR1" s="67"/>
      <c r="WLS1" s="67"/>
      <c r="WLT1" s="67"/>
      <c r="WLU1" s="67"/>
      <c r="WLV1" s="67"/>
      <c r="WLW1" s="67"/>
      <c r="WLX1" s="68"/>
      <c r="WLY1" s="67"/>
      <c r="WLZ1" s="67"/>
      <c r="WMA1" s="67"/>
      <c r="WMB1" s="67"/>
      <c r="WMC1" s="67"/>
      <c r="WMD1" s="67"/>
      <c r="WME1" s="67"/>
      <c r="WMF1" s="68"/>
      <c r="WMG1" s="67"/>
      <c r="WMH1" s="67"/>
      <c r="WMI1" s="67"/>
      <c r="WMJ1" s="67"/>
      <c r="WMK1" s="67"/>
      <c r="WML1" s="67"/>
      <c r="WMM1" s="67"/>
      <c r="WMN1" s="68"/>
      <c r="WMO1" s="67"/>
      <c r="WMP1" s="67"/>
      <c r="WMQ1" s="67"/>
      <c r="WMR1" s="67"/>
      <c r="WMS1" s="67"/>
      <c r="WMT1" s="67"/>
      <c r="WMU1" s="67"/>
      <c r="WMV1" s="68"/>
      <c r="WMW1" s="67"/>
      <c r="WMX1" s="67"/>
      <c r="WMY1" s="67"/>
      <c r="WMZ1" s="67"/>
      <c r="WNA1" s="67"/>
      <c r="WNB1" s="67"/>
      <c r="WNC1" s="67"/>
      <c r="WND1" s="68"/>
      <c r="WNE1" s="67"/>
      <c r="WNF1" s="67"/>
      <c r="WNG1" s="67"/>
      <c r="WNH1" s="67"/>
      <c r="WNI1" s="67"/>
      <c r="WNJ1" s="67"/>
      <c r="WNK1" s="67"/>
      <c r="WNL1" s="68"/>
      <c r="WNM1" s="67"/>
      <c r="WNN1" s="67"/>
      <c r="WNO1" s="67"/>
      <c r="WNP1" s="67"/>
      <c r="WNQ1" s="67"/>
      <c r="WNR1" s="67"/>
      <c r="WNS1" s="67"/>
      <c r="WNT1" s="68"/>
      <c r="WNU1" s="67"/>
      <c r="WNV1" s="67"/>
      <c r="WNW1" s="67"/>
      <c r="WNX1" s="67"/>
      <c r="WNY1" s="67"/>
      <c r="WNZ1" s="67"/>
      <c r="WOA1" s="67"/>
      <c r="WOB1" s="68"/>
      <c r="WOC1" s="67"/>
      <c r="WOD1" s="67"/>
      <c r="WOE1" s="67"/>
      <c r="WOF1" s="67"/>
      <c r="WOG1" s="67"/>
      <c r="WOH1" s="67"/>
      <c r="WOI1" s="67"/>
      <c r="WOJ1" s="68"/>
      <c r="WOK1" s="67"/>
      <c r="WOL1" s="67"/>
      <c r="WOM1" s="67"/>
      <c r="WON1" s="67"/>
      <c r="WOO1" s="67"/>
      <c r="WOP1" s="67"/>
      <c r="WOQ1" s="67"/>
      <c r="WOR1" s="68"/>
      <c r="WOS1" s="67"/>
      <c r="WOT1" s="67"/>
      <c r="WOU1" s="67"/>
      <c r="WOV1" s="67"/>
      <c r="WOW1" s="67"/>
      <c r="WOX1" s="67"/>
      <c r="WOY1" s="67"/>
      <c r="WOZ1" s="68"/>
      <c r="WPA1" s="67"/>
      <c r="WPB1" s="67"/>
      <c r="WPC1" s="67"/>
      <c r="WPD1" s="67"/>
      <c r="WPE1" s="67"/>
      <c r="WPF1" s="67"/>
      <c r="WPG1" s="67"/>
      <c r="WPH1" s="68"/>
      <c r="WPI1" s="67"/>
      <c r="WPJ1" s="67"/>
      <c r="WPK1" s="67"/>
      <c r="WPL1" s="67"/>
      <c r="WPM1" s="67"/>
      <c r="WPN1" s="67"/>
      <c r="WPO1" s="67"/>
      <c r="WPP1" s="68"/>
      <c r="WPQ1" s="67"/>
      <c r="WPR1" s="67"/>
      <c r="WPS1" s="67"/>
      <c r="WPT1" s="67"/>
      <c r="WPU1" s="67"/>
      <c r="WPV1" s="67"/>
      <c r="WPW1" s="67"/>
      <c r="WPX1" s="68"/>
      <c r="WPY1" s="67"/>
      <c r="WPZ1" s="67"/>
      <c r="WQA1" s="67"/>
      <c r="WQB1" s="67"/>
      <c r="WQC1" s="67"/>
      <c r="WQD1" s="67"/>
      <c r="WQE1" s="67"/>
      <c r="WQF1" s="68"/>
      <c r="WQG1" s="67"/>
      <c r="WQH1" s="67"/>
      <c r="WQI1" s="67"/>
      <c r="WQJ1" s="67"/>
      <c r="WQK1" s="67"/>
      <c r="WQL1" s="67"/>
      <c r="WQM1" s="67"/>
      <c r="WQN1" s="68"/>
      <c r="WQO1" s="67"/>
      <c r="WQP1" s="67"/>
      <c r="WQQ1" s="67"/>
      <c r="WQR1" s="67"/>
      <c r="WQS1" s="67"/>
      <c r="WQT1" s="67"/>
      <c r="WQU1" s="67"/>
      <c r="WQV1" s="68"/>
      <c r="WQW1" s="67"/>
      <c r="WQX1" s="67"/>
      <c r="WQY1" s="67"/>
      <c r="WQZ1" s="67"/>
      <c r="WRA1" s="67"/>
      <c r="WRB1" s="67"/>
      <c r="WRC1" s="67"/>
      <c r="WRD1" s="68"/>
      <c r="WRE1" s="67"/>
      <c r="WRF1" s="67"/>
      <c r="WRG1" s="67"/>
      <c r="WRH1" s="67"/>
      <c r="WRI1" s="67"/>
      <c r="WRJ1" s="67"/>
      <c r="WRK1" s="67"/>
      <c r="WRL1" s="68"/>
      <c r="WRM1" s="67"/>
      <c r="WRN1" s="67"/>
      <c r="WRO1" s="67"/>
      <c r="WRP1" s="67"/>
      <c r="WRQ1" s="67"/>
      <c r="WRR1" s="67"/>
      <c r="WRS1" s="67"/>
      <c r="WRT1" s="68"/>
      <c r="WRU1" s="67"/>
      <c r="WRV1" s="67"/>
      <c r="WRW1" s="67"/>
      <c r="WRX1" s="67"/>
      <c r="WRY1" s="67"/>
      <c r="WRZ1" s="67"/>
      <c r="WSA1" s="67"/>
      <c r="WSB1" s="68"/>
      <c r="WSC1" s="67"/>
      <c r="WSD1" s="67"/>
      <c r="WSE1" s="67"/>
      <c r="WSF1" s="67"/>
      <c r="WSG1" s="67"/>
      <c r="WSH1" s="67"/>
      <c r="WSI1" s="67"/>
      <c r="WSJ1" s="68"/>
      <c r="WSK1" s="67"/>
      <c r="WSL1" s="67"/>
      <c r="WSM1" s="67"/>
      <c r="WSN1" s="67"/>
      <c r="WSO1" s="67"/>
      <c r="WSP1" s="67"/>
      <c r="WSQ1" s="67"/>
      <c r="WSR1" s="68"/>
      <c r="WSS1" s="67"/>
      <c r="WST1" s="67"/>
      <c r="WSU1" s="67"/>
      <c r="WSV1" s="67"/>
      <c r="WSW1" s="67"/>
      <c r="WSX1" s="67"/>
      <c r="WSY1" s="67"/>
      <c r="WSZ1" s="68"/>
      <c r="WTA1" s="67"/>
      <c r="WTB1" s="67"/>
      <c r="WTC1" s="67"/>
      <c r="WTD1" s="67"/>
      <c r="WTE1" s="67"/>
      <c r="WTF1" s="67"/>
      <c r="WTG1" s="67"/>
      <c r="WTH1" s="68"/>
      <c r="WTI1" s="67"/>
      <c r="WTJ1" s="67"/>
      <c r="WTK1" s="67"/>
      <c r="WTL1" s="67"/>
      <c r="WTM1" s="67"/>
      <c r="WTN1" s="67"/>
      <c r="WTO1" s="67"/>
      <c r="WTP1" s="68"/>
      <c r="WTQ1" s="67"/>
      <c r="WTR1" s="67"/>
      <c r="WTS1" s="67"/>
      <c r="WTT1" s="67"/>
      <c r="WTU1" s="67"/>
      <c r="WTV1" s="67"/>
      <c r="WTW1" s="67"/>
      <c r="WTX1" s="68"/>
      <c r="WTY1" s="67"/>
      <c r="WTZ1" s="67"/>
      <c r="WUA1" s="67"/>
      <c r="WUB1" s="67"/>
      <c r="WUC1" s="67"/>
      <c r="WUD1" s="67"/>
      <c r="WUE1" s="67"/>
      <c r="WUF1" s="68"/>
      <c r="WUG1" s="67"/>
      <c r="WUH1" s="67"/>
      <c r="WUI1" s="67"/>
      <c r="WUJ1" s="67"/>
      <c r="WUK1" s="67"/>
      <c r="WUL1" s="67"/>
      <c r="WUM1" s="67"/>
      <c r="WUN1" s="68"/>
      <c r="WUO1" s="67"/>
      <c r="WUP1" s="67"/>
      <c r="WUQ1" s="67"/>
      <c r="WUR1" s="67"/>
      <c r="WUS1" s="67"/>
      <c r="WUT1" s="67"/>
      <c r="WUU1" s="67"/>
      <c r="WUV1" s="68"/>
      <c r="WUW1" s="67"/>
      <c r="WUX1" s="67"/>
      <c r="WUY1" s="67"/>
      <c r="WUZ1" s="67"/>
      <c r="WVA1" s="67"/>
      <c r="WVB1" s="67"/>
      <c r="WVC1" s="67"/>
      <c r="WVD1" s="68"/>
      <c r="WVE1" s="67"/>
      <c r="WVF1" s="67"/>
      <c r="WVG1" s="67"/>
      <c r="WVH1" s="67"/>
      <c r="WVI1" s="67"/>
      <c r="WVJ1" s="67"/>
      <c r="WVK1" s="67"/>
      <c r="WVL1" s="68"/>
      <c r="WVM1" s="67"/>
      <c r="WVN1" s="67"/>
      <c r="WVO1" s="67"/>
      <c r="WVP1" s="67"/>
      <c r="WVQ1" s="67"/>
      <c r="WVR1" s="67"/>
      <c r="WVS1" s="67"/>
      <c r="WVT1" s="68"/>
      <c r="WVU1" s="67"/>
      <c r="WVV1" s="67"/>
      <c r="WVW1" s="67"/>
      <c r="WVX1" s="67"/>
      <c r="WVY1" s="67"/>
      <c r="WVZ1" s="67"/>
      <c r="WWA1" s="67"/>
      <c r="WWB1" s="68"/>
      <c r="WWC1" s="67"/>
      <c r="WWD1" s="67"/>
      <c r="WWE1" s="67"/>
      <c r="WWF1" s="67"/>
      <c r="WWG1" s="67"/>
      <c r="WWH1" s="67"/>
      <c r="WWI1" s="67"/>
      <c r="WWJ1" s="68"/>
      <c r="WWK1" s="67"/>
      <c r="WWL1" s="67"/>
      <c r="WWM1" s="67"/>
      <c r="WWN1" s="67"/>
      <c r="WWO1" s="67"/>
      <c r="WWP1" s="67"/>
      <c r="WWQ1" s="67"/>
      <c r="WWR1" s="68"/>
      <c r="WWS1" s="67"/>
      <c r="WWT1" s="67"/>
      <c r="WWU1" s="67"/>
      <c r="WWV1" s="67"/>
      <c r="WWW1" s="67"/>
      <c r="WWX1" s="67"/>
      <c r="WWY1" s="67"/>
      <c r="WWZ1" s="68"/>
      <c r="WXA1" s="67"/>
      <c r="WXB1" s="67"/>
      <c r="WXC1" s="67"/>
      <c r="WXD1" s="67"/>
      <c r="WXE1" s="67"/>
      <c r="WXF1" s="67"/>
      <c r="WXG1" s="67"/>
      <c r="WXH1" s="68"/>
      <c r="WXI1" s="67"/>
      <c r="WXJ1" s="67"/>
      <c r="WXK1" s="67"/>
      <c r="WXL1" s="67"/>
      <c r="WXM1" s="67"/>
      <c r="WXN1" s="67"/>
      <c r="WXO1" s="67"/>
      <c r="WXP1" s="68"/>
      <c r="WXQ1" s="67"/>
      <c r="WXR1" s="67"/>
      <c r="WXS1" s="67"/>
      <c r="WXT1" s="67"/>
      <c r="WXU1" s="67"/>
      <c r="WXV1" s="67"/>
      <c r="WXW1" s="67"/>
      <c r="WXX1" s="68"/>
      <c r="WXY1" s="67"/>
      <c r="WXZ1" s="67"/>
      <c r="WYA1" s="67"/>
      <c r="WYB1" s="67"/>
      <c r="WYC1" s="67"/>
      <c r="WYD1" s="67"/>
      <c r="WYE1" s="67"/>
      <c r="WYF1" s="68"/>
      <c r="WYG1" s="67"/>
      <c r="WYH1" s="67"/>
      <c r="WYI1" s="67"/>
      <c r="WYJ1" s="67"/>
      <c r="WYK1" s="67"/>
      <c r="WYL1" s="67"/>
      <c r="WYM1" s="67"/>
      <c r="WYN1" s="68"/>
      <c r="WYO1" s="67"/>
      <c r="WYP1" s="67"/>
      <c r="WYQ1" s="67"/>
      <c r="WYR1" s="67"/>
      <c r="WYS1" s="67"/>
      <c r="WYT1" s="67"/>
      <c r="WYU1" s="67"/>
      <c r="WYV1" s="68"/>
      <c r="WYW1" s="67"/>
      <c r="WYX1" s="67"/>
      <c r="WYY1" s="67"/>
      <c r="WYZ1" s="67"/>
      <c r="WZA1" s="67"/>
      <c r="WZB1" s="67"/>
      <c r="WZC1" s="67"/>
      <c r="WZD1" s="68"/>
      <c r="WZE1" s="67"/>
      <c r="WZF1" s="67"/>
      <c r="WZG1" s="67"/>
      <c r="WZH1" s="67"/>
      <c r="WZI1" s="67"/>
      <c r="WZJ1" s="67"/>
      <c r="WZK1" s="67"/>
      <c r="WZL1" s="68"/>
      <c r="WZM1" s="67"/>
      <c r="WZN1" s="67"/>
      <c r="WZO1" s="67"/>
      <c r="WZP1" s="67"/>
      <c r="WZQ1" s="67"/>
      <c r="WZR1" s="67"/>
      <c r="WZS1" s="67"/>
      <c r="WZT1" s="68"/>
      <c r="WZU1" s="67"/>
      <c r="WZV1" s="67"/>
      <c r="WZW1" s="67"/>
      <c r="WZX1" s="67"/>
      <c r="WZY1" s="67"/>
      <c r="WZZ1" s="67"/>
      <c r="XAA1" s="67"/>
      <c r="XAB1" s="68"/>
      <c r="XAC1" s="67"/>
      <c r="XAD1" s="67"/>
      <c r="XAE1" s="67"/>
      <c r="XAF1" s="67"/>
      <c r="XAG1" s="67"/>
      <c r="XAH1" s="67"/>
      <c r="XAI1" s="67"/>
      <c r="XAJ1" s="68"/>
      <c r="XAK1" s="67"/>
      <c r="XAL1" s="67"/>
      <c r="XAM1" s="67"/>
      <c r="XAN1" s="67"/>
      <c r="XAO1" s="67"/>
      <c r="XAP1" s="67"/>
      <c r="XAQ1" s="67"/>
      <c r="XAR1" s="68"/>
      <c r="XAS1" s="67"/>
      <c r="XAT1" s="67"/>
      <c r="XAU1" s="67"/>
      <c r="XAV1" s="67"/>
      <c r="XAW1" s="67"/>
      <c r="XAX1" s="67"/>
      <c r="XAY1" s="67"/>
      <c r="XAZ1" s="68"/>
      <c r="XBA1" s="67"/>
      <c r="XBB1" s="67"/>
      <c r="XBC1" s="67"/>
      <c r="XBD1" s="67"/>
      <c r="XBE1" s="67"/>
      <c r="XBF1" s="67"/>
      <c r="XBG1" s="67"/>
      <c r="XBH1" s="68"/>
      <c r="XBI1" s="67"/>
      <c r="XBJ1" s="67"/>
      <c r="XBK1" s="67"/>
      <c r="XBL1" s="67"/>
      <c r="XBM1" s="67"/>
      <c r="XBN1" s="67"/>
      <c r="XBO1" s="67"/>
      <c r="XBP1" s="68"/>
      <c r="XBQ1" s="67"/>
      <c r="XBR1" s="67"/>
      <c r="XBS1" s="67"/>
      <c r="XBT1" s="67"/>
      <c r="XBU1" s="67"/>
      <c r="XBV1" s="67"/>
      <c r="XBW1" s="67"/>
      <c r="XBX1" s="68"/>
      <c r="XBY1" s="67"/>
      <c r="XBZ1" s="67"/>
      <c r="XCA1" s="67"/>
      <c r="XCB1" s="67"/>
      <c r="XCC1" s="67"/>
      <c r="XCD1" s="67"/>
      <c r="XCE1" s="67"/>
      <c r="XCF1" s="68"/>
      <c r="XCG1" s="67"/>
      <c r="XCH1" s="67"/>
      <c r="XCI1" s="67"/>
      <c r="XCJ1" s="67"/>
      <c r="XCK1" s="67"/>
      <c r="XCL1" s="67"/>
      <c r="XCM1" s="67"/>
      <c r="XCN1" s="68"/>
      <c r="XCO1" s="67"/>
      <c r="XCP1" s="67"/>
      <c r="XCQ1" s="67"/>
      <c r="XCR1" s="67"/>
      <c r="XCS1" s="67"/>
      <c r="XCT1" s="67"/>
      <c r="XCU1" s="67"/>
      <c r="XCV1" s="68"/>
      <c r="XCW1" s="67"/>
      <c r="XCX1" s="67"/>
      <c r="XCY1" s="67"/>
      <c r="XCZ1" s="67"/>
      <c r="XDA1" s="67"/>
      <c r="XDB1" s="67"/>
      <c r="XDC1" s="67"/>
      <c r="XDD1" s="68"/>
      <c r="XDE1" s="67"/>
      <c r="XDF1" s="67"/>
      <c r="XDG1" s="67"/>
      <c r="XDH1" s="67"/>
      <c r="XDI1" s="67"/>
      <c r="XDJ1" s="67"/>
      <c r="XDK1" s="67"/>
      <c r="XDL1" s="68"/>
      <c r="XDM1" s="67"/>
      <c r="XDN1" s="67"/>
      <c r="XDO1" s="67"/>
      <c r="XDP1" s="67"/>
      <c r="XDQ1" s="67"/>
      <c r="XDR1" s="67"/>
      <c r="XDS1" s="67"/>
      <c r="XDT1" s="68"/>
      <c r="XDU1" s="67"/>
      <c r="XDV1" s="67"/>
      <c r="XDW1" s="67"/>
      <c r="XDX1" s="67"/>
      <c r="XDY1" s="67"/>
      <c r="XDZ1" s="67"/>
      <c r="XEA1" s="67"/>
      <c r="XEB1" s="68"/>
      <c r="XEC1" s="67"/>
      <c r="XED1" s="67"/>
      <c r="XEE1" s="67"/>
      <c r="XEF1" s="67"/>
      <c r="XEG1" s="67"/>
      <c r="XEH1" s="67"/>
      <c r="XEI1" s="67"/>
      <c r="XEJ1" s="68"/>
      <c r="XEK1" s="67"/>
      <c r="XEL1" s="67"/>
      <c r="XEM1" s="67"/>
      <c r="XEN1" s="67"/>
      <c r="XEO1" s="67"/>
      <c r="XEP1" s="67"/>
      <c r="XEQ1" s="67"/>
      <c r="XER1" s="68"/>
      <c r="XES1" s="67"/>
      <c r="XET1" s="67"/>
      <c r="XEU1" s="67"/>
      <c r="XEV1" s="67"/>
      <c r="XEW1" s="67"/>
      <c r="XEX1" s="67"/>
      <c r="XEY1" s="67"/>
      <c r="XEZ1" s="68"/>
      <c r="XFA1" s="67"/>
      <c r="XFB1" s="67"/>
      <c r="XFC1" s="67"/>
      <c r="XFD1" s="67"/>
    </row>
    <row r="2" spans="1:16384" ht="48" x14ac:dyDescent="0.3">
      <c r="A2" s="7">
        <v>2</v>
      </c>
      <c r="B2" s="8">
        <v>45009</v>
      </c>
      <c r="C2" s="22" t="s">
        <v>147</v>
      </c>
      <c r="D2" s="23" t="s">
        <v>148</v>
      </c>
      <c r="E2" s="22" t="s">
        <v>149</v>
      </c>
      <c r="F2" s="22" t="s">
        <v>150</v>
      </c>
      <c r="G2" s="22" t="s">
        <v>151</v>
      </c>
      <c r="H2" s="8">
        <v>45131</v>
      </c>
    </row>
    <row r="3" spans="1:16384" ht="60" x14ac:dyDescent="0.3">
      <c r="A3" s="7">
        <v>10</v>
      </c>
      <c r="B3" s="8">
        <v>45054</v>
      </c>
      <c r="C3" s="24" t="s">
        <v>152</v>
      </c>
      <c r="D3" s="23" t="s">
        <v>153</v>
      </c>
      <c r="E3" s="22" t="s">
        <v>154</v>
      </c>
      <c r="F3" s="22" t="s">
        <v>155</v>
      </c>
      <c r="G3" s="22" t="s">
        <v>156</v>
      </c>
      <c r="H3" s="8">
        <v>45324</v>
      </c>
    </row>
    <row r="4" spans="1:16384" ht="60" x14ac:dyDescent="0.3">
      <c r="A4" s="7">
        <v>11</v>
      </c>
      <c r="B4" s="8">
        <v>45056</v>
      </c>
      <c r="C4" s="24" t="s">
        <v>152</v>
      </c>
      <c r="D4" s="23" t="s">
        <v>157</v>
      </c>
      <c r="E4" s="22" t="s">
        <v>154</v>
      </c>
      <c r="F4" s="22" t="s">
        <v>155</v>
      </c>
      <c r="G4" s="22" t="s">
        <v>156</v>
      </c>
      <c r="H4" s="8">
        <v>45324</v>
      </c>
    </row>
    <row r="5" spans="1:16384" ht="48" x14ac:dyDescent="0.3">
      <c r="A5" s="7">
        <v>12</v>
      </c>
      <c r="B5" s="8">
        <v>45056</v>
      </c>
      <c r="C5" s="24" t="s">
        <v>152</v>
      </c>
      <c r="D5" s="23" t="s">
        <v>158</v>
      </c>
      <c r="E5" s="22" t="s">
        <v>154</v>
      </c>
      <c r="F5" s="22" t="s">
        <v>155</v>
      </c>
      <c r="G5" s="22" t="s">
        <v>156</v>
      </c>
      <c r="H5" s="8">
        <v>45324</v>
      </c>
    </row>
    <row r="6" spans="1:16384" ht="48" x14ac:dyDescent="0.3">
      <c r="A6" s="7">
        <v>13</v>
      </c>
      <c r="B6" s="8">
        <v>45056</v>
      </c>
      <c r="C6" s="24" t="s">
        <v>152</v>
      </c>
      <c r="D6" s="23" t="s">
        <v>159</v>
      </c>
      <c r="E6" s="22" t="s">
        <v>154</v>
      </c>
      <c r="F6" s="22" t="s">
        <v>155</v>
      </c>
      <c r="G6" s="22" t="s">
        <v>156</v>
      </c>
      <c r="H6" s="8">
        <v>45324</v>
      </c>
    </row>
    <row r="7" spans="1:16384" ht="60" x14ac:dyDescent="0.3">
      <c r="A7" s="7">
        <v>17</v>
      </c>
      <c r="B7" s="8">
        <v>45057</v>
      </c>
      <c r="C7" s="24" t="s">
        <v>152</v>
      </c>
      <c r="D7" s="23" t="s">
        <v>160</v>
      </c>
      <c r="E7" s="22" t="s">
        <v>161</v>
      </c>
      <c r="F7" s="22" t="s">
        <v>155</v>
      </c>
      <c r="G7" s="22" t="s">
        <v>156</v>
      </c>
      <c r="H7" s="8">
        <v>45324</v>
      </c>
    </row>
    <row r="8" spans="1:16384" ht="60" x14ac:dyDescent="0.3">
      <c r="A8" s="7">
        <v>18</v>
      </c>
      <c r="B8" s="8">
        <v>45057</v>
      </c>
      <c r="C8" s="24" t="s">
        <v>152</v>
      </c>
      <c r="D8" s="23" t="s">
        <v>162</v>
      </c>
      <c r="E8" s="22" t="s">
        <v>161</v>
      </c>
      <c r="F8" s="22" t="s">
        <v>155</v>
      </c>
      <c r="G8" s="22" t="s">
        <v>156</v>
      </c>
      <c r="H8" s="8">
        <v>45324</v>
      </c>
    </row>
    <row r="9" spans="1:16384" ht="60" x14ac:dyDescent="0.3">
      <c r="A9" s="7">
        <v>21</v>
      </c>
      <c r="B9" s="8">
        <v>45122</v>
      </c>
      <c r="C9" s="22" t="s">
        <v>163</v>
      </c>
      <c r="D9" s="23" t="s">
        <v>164</v>
      </c>
      <c r="E9" s="22" t="s">
        <v>165</v>
      </c>
      <c r="F9" s="22" t="s">
        <v>166</v>
      </c>
      <c r="G9" s="22" t="s">
        <v>156</v>
      </c>
      <c r="H9" s="8">
        <v>45251</v>
      </c>
    </row>
    <row r="10" spans="1:16384" ht="60" x14ac:dyDescent="0.3">
      <c r="A10" s="7">
        <v>23</v>
      </c>
      <c r="B10" s="8">
        <v>45142</v>
      </c>
      <c r="C10" s="22" t="s">
        <v>163</v>
      </c>
      <c r="D10" s="23" t="s">
        <v>167</v>
      </c>
      <c r="E10" s="22" t="s">
        <v>168</v>
      </c>
      <c r="F10" s="22" t="s">
        <v>155</v>
      </c>
      <c r="G10" s="22" t="s">
        <v>156</v>
      </c>
      <c r="H10" s="8">
        <v>45324</v>
      </c>
    </row>
    <row r="11" spans="1:16384" ht="60" x14ac:dyDescent="0.3">
      <c r="A11" s="7">
        <v>24</v>
      </c>
      <c r="B11" s="8">
        <v>45142</v>
      </c>
      <c r="C11" s="22" t="s">
        <v>163</v>
      </c>
      <c r="D11" s="23" t="s">
        <v>169</v>
      </c>
      <c r="E11" s="22" t="s">
        <v>168</v>
      </c>
      <c r="F11" s="22" t="s">
        <v>155</v>
      </c>
      <c r="G11" s="22" t="s">
        <v>156</v>
      </c>
      <c r="H11" s="8">
        <v>45324</v>
      </c>
    </row>
    <row r="12" spans="1:16384" ht="60" x14ac:dyDescent="0.3">
      <c r="A12" s="7">
        <v>25</v>
      </c>
      <c r="B12" s="8">
        <v>45142</v>
      </c>
      <c r="C12" s="22" t="s">
        <v>163</v>
      </c>
      <c r="D12" s="23" t="s">
        <v>170</v>
      </c>
      <c r="E12" s="22" t="s">
        <v>168</v>
      </c>
      <c r="F12" s="22" t="s">
        <v>155</v>
      </c>
      <c r="G12" s="22" t="s">
        <v>156</v>
      </c>
      <c r="H12" s="8">
        <v>45324</v>
      </c>
    </row>
    <row r="13" spans="1:16384" ht="60" x14ac:dyDescent="0.3">
      <c r="A13" s="7">
        <v>26</v>
      </c>
      <c r="B13" s="8">
        <v>45142</v>
      </c>
      <c r="C13" s="22" t="s">
        <v>163</v>
      </c>
      <c r="D13" s="23" t="s">
        <v>171</v>
      </c>
      <c r="E13" s="22" t="s">
        <v>168</v>
      </c>
      <c r="F13" s="22" t="s">
        <v>155</v>
      </c>
      <c r="G13" s="22" t="s">
        <v>156</v>
      </c>
      <c r="H13" s="8">
        <v>45324</v>
      </c>
    </row>
    <row r="14" spans="1:16384" ht="60" x14ac:dyDescent="0.3">
      <c r="A14" s="7">
        <v>31</v>
      </c>
      <c r="B14" s="8">
        <v>45178</v>
      </c>
      <c r="C14" s="22" t="s">
        <v>163</v>
      </c>
      <c r="D14" s="23" t="s">
        <v>172</v>
      </c>
      <c r="E14" s="22" t="s">
        <v>173</v>
      </c>
      <c r="F14" s="22" t="s">
        <v>174</v>
      </c>
      <c r="G14" s="22" t="s">
        <v>156</v>
      </c>
      <c r="H14" s="22" t="s">
        <v>175</v>
      </c>
    </row>
    <row r="15" spans="1:16384" ht="60" x14ac:dyDescent="0.3">
      <c r="A15" s="7">
        <v>39</v>
      </c>
      <c r="B15" s="8">
        <v>45195</v>
      </c>
      <c r="C15" s="22" t="s">
        <v>163</v>
      </c>
      <c r="D15" s="23" t="s">
        <v>176</v>
      </c>
      <c r="E15" s="22" t="s">
        <v>177</v>
      </c>
      <c r="F15" s="22" t="s">
        <v>174</v>
      </c>
      <c r="G15" s="22" t="s">
        <v>156</v>
      </c>
      <c r="H15" s="8">
        <v>45253</v>
      </c>
    </row>
    <row r="16" spans="1:16384" ht="60" x14ac:dyDescent="0.3">
      <c r="A16" s="7">
        <v>48</v>
      </c>
      <c r="B16" s="8">
        <v>45197</v>
      </c>
      <c r="C16" s="22" t="s">
        <v>163</v>
      </c>
      <c r="D16" s="23" t="s">
        <v>178</v>
      </c>
      <c r="E16" s="22" t="s">
        <v>154</v>
      </c>
      <c r="F16" s="22" t="s">
        <v>155</v>
      </c>
      <c r="G16" s="22" t="s">
        <v>179</v>
      </c>
      <c r="H16" s="8">
        <v>45324</v>
      </c>
    </row>
    <row r="17" spans="1:8" ht="60" x14ac:dyDescent="0.3">
      <c r="A17" s="7">
        <v>50</v>
      </c>
      <c r="B17" s="8">
        <v>45201</v>
      </c>
      <c r="C17" s="22" t="s">
        <v>163</v>
      </c>
      <c r="D17" s="23" t="s">
        <v>180</v>
      </c>
      <c r="E17" s="22" t="s">
        <v>177</v>
      </c>
      <c r="F17" s="22" t="s">
        <v>174</v>
      </c>
      <c r="G17" s="22" t="s">
        <v>156</v>
      </c>
      <c r="H17" s="8">
        <v>45253</v>
      </c>
    </row>
    <row r="18" spans="1:8" ht="60" x14ac:dyDescent="0.3">
      <c r="A18" s="7">
        <v>62</v>
      </c>
      <c r="B18" s="8">
        <v>45210</v>
      </c>
      <c r="C18" s="22" t="s">
        <v>163</v>
      </c>
      <c r="D18" s="23" t="s">
        <v>181</v>
      </c>
      <c r="E18" s="22" t="s">
        <v>173</v>
      </c>
      <c r="F18" s="22" t="s">
        <v>174</v>
      </c>
      <c r="G18" s="22" t="s">
        <v>156</v>
      </c>
      <c r="H18" s="22" t="s">
        <v>175</v>
      </c>
    </row>
    <row r="19" spans="1:8" ht="48" x14ac:dyDescent="0.3">
      <c r="A19" s="7">
        <v>68</v>
      </c>
      <c r="B19" s="8">
        <v>45222</v>
      </c>
      <c r="C19" s="24" t="s">
        <v>152</v>
      </c>
      <c r="D19" s="23" t="s">
        <v>182</v>
      </c>
      <c r="E19" s="22" t="s">
        <v>183</v>
      </c>
      <c r="F19" s="22" t="s">
        <v>150</v>
      </c>
      <c r="G19" s="22" t="s">
        <v>156</v>
      </c>
      <c r="H19" s="22"/>
    </row>
    <row r="20" spans="1:8" ht="60" x14ac:dyDescent="0.3">
      <c r="A20" s="25">
        <v>69</v>
      </c>
      <c r="B20" s="26">
        <v>45223</v>
      </c>
      <c r="C20" s="27" t="s">
        <v>184</v>
      </c>
      <c r="D20" s="28" t="s">
        <v>185</v>
      </c>
      <c r="E20" s="29" t="s">
        <v>168</v>
      </c>
      <c r="F20" s="29" t="s">
        <v>174</v>
      </c>
      <c r="G20" s="29" t="s">
        <v>156</v>
      </c>
      <c r="H20" s="26">
        <v>45252</v>
      </c>
    </row>
    <row r="21" spans="1:8" ht="48" x14ac:dyDescent="0.3">
      <c r="A21" s="7">
        <v>71</v>
      </c>
      <c r="B21" s="8">
        <v>45231</v>
      </c>
      <c r="C21" s="22" t="s">
        <v>186</v>
      </c>
      <c r="D21" s="23" t="s">
        <v>187</v>
      </c>
      <c r="E21" s="22" t="s">
        <v>188</v>
      </c>
      <c r="F21" s="22" t="s">
        <v>174</v>
      </c>
      <c r="G21" s="22" t="s">
        <v>156</v>
      </c>
      <c r="H21" s="22"/>
    </row>
    <row r="22" spans="1:8" ht="60" x14ac:dyDescent="0.3">
      <c r="A22" s="7">
        <v>88</v>
      </c>
      <c r="B22" s="8">
        <v>45247</v>
      </c>
      <c r="C22" s="22" t="s">
        <v>189</v>
      </c>
      <c r="D22" s="23" t="s">
        <v>190</v>
      </c>
      <c r="E22" s="22" t="s">
        <v>191</v>
      </c>
      <c r="F22" s="22" t="s">
        <v>174</v>
      </c>
      <c r="G22" s="22" t="s">
        <v>192</v>
      </c>
      <c r="H22" s="8">
        <v>45253</v>
      </c>
    </row>
    <row r="23" spans="1:8" ht="60" x14ac:dyDescent="0.3">
      <c r="A23" s="7">
        <v>100</v>
      </c>
      <c r="B23" s="8">
        <v>45253</v>
      </c>
      <c r="C23" s="22" t="s">
        <v>163</v>
      </c>
      <c r="D23" s="23" t="s">
        <v>193</v>
      </c>
      <c r="E23" s="22" t="s">
        <v>154</v>
      </c>
      <c r="F23" s="22" t="s">
        <v>174</v>
      </c>
      <c r="G23" s="22" t="s">
        <v>156</v>
      </c>
      <c r="H23" s="8">
        <v>45254</v>
      </c>
    </row>
    <row r="24" spans="1:8" ht="72" x14ac:dyDescent="0.3">
      <c r="A24" s="7">
        <v>101</v>
      </c>
      <c r="B24" s="8">
        <v>45253</v>
      </c>
      <c r="C24" s="22" t="s">
        <v>194</v>
      </c>
      <c r="D24" s="23" t="s">
        <v>195</v>
      </c>
      <c r="E24" s="22" t="s">
        <v>196</v>
      </c>
      <c r="F24" s="22" t="s">
        <v>174</v>
      </c>
      <c r="G24" s="22" t="s">
        <v>197</v>
      </c>
      <c r="H24" s="8">
        <v>45253</v>
      </c>
    </row>
    <row r="25" spans="1:8" ht="60" x14ac:dyDescent="0.3">
      <c r="A25" s="7">
        <v>103</v>
      </c>
      <c r="B25" s="8">
        <v>45253</v>
      </c>
      <c r="C25" s="27" t="s">
        <v>184</v>
      </c>
      <c r="D25" s="23" t="s">
        <v>198</v>
      </c>
      <c r="E25" s="22" t="s">
        <v>191</v>
      </c>
      <c r="F25" s="22" t="s">
        <v>174</v>
      </c>
      <c r="G25" s="22" t="s">
        <v>199</v>
      </c>
      <c r="H25" s="8">
        <v>45253</v>
      </c>
    </row>
    <row r="26" spans="1:8" ht="60" x14ac:dyDescent="0.3">
      <c r="A26" s="7">
        <v>104</v>
      </c>
      <c r="B26" s="8">
        <v>45253</v>
      </c>
      <c r="C26" s="27" t="s">
        <v>184</v>
      </c>
      <c r="D26" s="23" t="s">
        <v>200</v>
      </c>
      <c r="E26" s="22" t="s">
        <v>191</v>
      </c>
      <c r="F26" s="22" t="s">
        <v>174</v>
      </c>
      <c r="G26" s="22" t="s">
        <v>197</v>
      </c>
      <c r="H26" s="8">
        <v>45253</v>
      </c>
    </row>
    <row r="27" spans="1:8" ht="24" x14ac:dyDescent="0.3">
      <c r="A27" s="7">
        <v>106</v>
      </c>
      <c r="B27" s="8">
        <v>45253</v>
      </c>
      <c r="C27" s="22" t="s">
        <v>201</v>
      </c>
      <c r="D27" s="23" t="s">
        <v>202</v>
      </c>
      <c r="E27" s="22" t="s">
        <v>188</v>
      </c>
      <c r="F27" s="22" t="s">
        <v>174</v>
      </c>
      <c r="G27" s="22" t="s">
        <v>156</v>
      </c>
      <c r="H27" s="8">
        <v>45252</v>
      </c>
    </row>
    <row r="28" spans="1:8" ht="36" x14ac:dyDescent="0.3">
      <c r="A28" s="7">
        <v>107</v>
      </c>
      <c r="B28" s="8">
        <v>45253</v>
      </c>
      <c r="C28" s="22" t="s">
        <v>203</v>
      </c>
      <c r="D28" s="23" t="s">
        <v>204</v>
      </c>
      <c r="E28" s="22" t="s">
        <v>205</v>
      </c>
      <c r="F28" s="22" t="s">
        <v>174</v>
      </c>
      <c r="G28" s="22" t="s">
        <v>156</v>
      </c>
      <c r="H28" s="8">
        <v>45252</v>
      </c>
    </row>
    <row r="29" spans="1:8" ht="60" x14ac:dyDescent="0.3">
      <c r="A29" s="7">
        <v>109</v>
      </c>
      <c r="B29" s="8">
        <v>45253</v>
      </c>
      <c r="C29" s="22" t="s">
        <v>189</v>
      </c>
      <c r="D29" s="23" t="s">
        <v>206</v>
      </c>
      <c r="E29" s="22" t="s">
        <v>205</v>
      </c>
      <c r="F29" s="22" t="s">
        <v>174</v>
      </c>
      <c r="G29" s="22" t="s">
        <v>156</v>
      </c>
      <c r="H29" s="8">
        <v>45254</v>
      </c>
    </row>
    <row r="30" spans="1:8" ht="48" x14ac:dyDescent="0.3">
      <c r="A30" s="7">
        <v>111</v>
      </c>
      <c r="B30" s="8">
        <v>45253</v>
      </c>
      <c r="C30" s="22" t="s">
        <v>207</v>
      </c>
      <c r="D30" s="23" t="s">
        <v>208</v>
      </c>
      <c r="E30" s="22" t="s">
        <v>209</v>
      </c>
      <c r="F30" s="22" t="s">
        <v>210</v>
      </c>
      <c r="G30" s="22" t="s">
        <v>197</v>
      </c>
      <c r="H30" s="8">
        <v>45253</v>
      </c>
    </row>
    <row r="31" spans="1:8" ht="48" x14ac:dyDescent="0.3">
      <c r="A31" s="7">
        <v>118</v>
      </c>
      <c r="B31" s="8">
        <v>45253</v>
      </c>
      <c r="C31" s="22" t="s">
        <v>147</v>
      </c>
      <c r="D31" s="23" t="s">
        <v>211</v>
      </c>
      <c r="E31" s="22" t="s">
        <v>212</v>
      </c>
      <c r="F31" s="22" t="s">
        <v>155</v>
      </c>
      <c r="G31" s="22" t="s">
        <v>213</v>
      </c>
      <c r="H31" s="8">
        <v>45253</v>
      </c>
    </row>
    <row r="32" spans="1:8" ht="60" x14ac:dyDescent="0.3">
      <c r="A32" s="7">
        <v>128</v>
      </c>
      <c r="B32" s="8">
        <v>45258</v>
      </c>
      <c r="C32" s="27" t="s">
        <v>184</v>
      </c>
      <c r="D32" s="23" t="s">
        <v>185</v>
      </c>
      <c r="E32" s="22" t="s">
        <v>205</v>
      </c>
      <c r="F32" s="22" t="s">
        <v>214</v>
      </c>
      <c r="G32" s="22" t="s">
        <v>156</v>
      </c>
      <c r="H32" s="8">
        <v>45287</v>
      </c>
    </row>
    <row r="33" spans="1:8" ht="60" x14ac:dyDescent="0.3">
      <c r="A33" s="7">
        <v>141</v>
      </c>
      <c r="B33" s="8">
        <v>45262</v>
      </c>
      <c r="C33" s="22" t="s">
        <v>163</v>
      </c>
      <c r="D33" s="23" t="s">
        <v>215</v>
      </c>
      <c r="E33" s="22" t="s">
        <v>183</v>
      </c>
      <c r="F33" s="22" t="s">
        <v>174</v>
      </c>
      <c r="G33" s="22" t="s">
        <v>156</v>
      </c>
      <c r="H33" s="8">
        <v>45262</v>
      </c>
    </row>
    <row r="34" spans="1:8" ht="72" x14ac:dyDescent="0.3">
      <c r="A34" s="25">
        <v>168</v>
      </c>
      <c r="B34" s="26">
        <v>45281</v>
      </c>
      <c r="C34" s="29" t="s">
        <v>194</v>
      </c>
      <c r="D34" s="28" t="s">
        <v>216</v>
      </c>
      <c r="E34" s="29" t="s">
        <v>217</v>
      </c>
      <c r="F34" s="29" t="s">
        <v>174</v>
      </c>
      <c r="G34" s="29" t="s">
        <v>218</v>
      </c>
      <c r="H34" s="26">
        <v>45281</v>
      </c>
    </row>
    <row r="35" spans="1:8" ht="72" x14ac:dyDescent="0.3">
      <c r="A35" s="7">
        <v>185</v>
      </c>
      <c r="B35" s="8">
        <v>45297</v>
      </c>
      <c r="C35" s="22" t="s">
        <v>194</v>
      </c>
      <c r="D35" s="23" t="s">
        <v>219</v>
      </c>
      <c r="E35" s="22" t="s">
        <v>220</v>
      </c>
      <c r="F35" s="22" t="s">
        <v>221</v>
      </c>
      <c r="G35" s="22" t="s">
        <v>156</v>
      </c>
      <c r="H35" s="8">
        <v>45297</v>
      </c>
    </row>
    <row r="36" spans="1:8" ht="72" x14ac:dyDescent="0.3">
      <c r="A36" s="7">
        <v>205</v>
      </c>
      <c r="B36" s="8">
        <v>45301</v>
      </c>
      <c r="C36" s="22" t="s">
        <v>194</v>
      </c>
      <c r="D36" s="23" t="s">
        <v>222</v>
      </c>
      <c r="E36" s="22" t="s">
        <v>223</v>
      </c>
      <c r="F36" s="22" t="s">
        <v>214</v>
      </c>
      <c r="G36" s="22" t="s">
        <v>156</v>
      </c>
      <c r="H36" s="8">
        <v>45421</v>
      </c>
    </row>
    <row r="37" spans="1:8" ht="72.599999999999994" thickBot="1" x14ac:dyDescent="0.35">
      <c r="A37" s="7">
        <v>217</v>
      </c>
      <c r="B37" s="8">
        <v>45301</v>
      </c>
      <c r="C37" s="22" t="s">
        <v>194</v>
      </c>
      <c r="D37" s="23" t="s">
        <v>224</v>
      </c>
      <c r="E37" s="22" t="s">
        <v>223</v>
      </c>
      <c r="F37" s="22" t="s">
        <v>214</v>
      </c>
      <c r="G37" s="22" t="s">
        <v>156</v>
      </c>
      <c r="H37" s="8">
        <v>45421</v>
      </c>
    </row>
    <row r="38" spans="1:8" ht="72" x14ac:dyDescent="0.3">
      <c r="A38" s="7">
        <v>245</v>
      </c>
      <c r="B38" s="8">
        <v>45318</v>
      </c>
      <c r="C38" s="22" t="s">
        <v>194</v>
      </c>
      <c r="D38" s="23" t="s">
        <v>225</v>
      </c>
      <c r="E38" s="22" t="s">
        <v>217</v>
      </c>
      <c r="F38" s="22" t="s">
        <v>174</v>
      </c>
      <c r="G38" s="22" t="s">
        <v>156</v>
      </c>
      <c r="H38" s="30">
        <v>45323</v>
      </c>
    </row>
    <row r="39" spans="1:8" ht="72" x14ac:dyDescent="0.3">
      <c r="A39" s="7">
        <v>305</v>
      </c>
      <c r="B39" s="8">
        <v>45336</v>
      </c>
      <c r="C39" s="22" t="s">
        <v>194</v>
      </c>
      <c r="D39" s="23" t="s">
        <v>226</v>
      </c>
      <c r="E39" s="22" t="s">
        <v>227</v>
      </c>
      <c r="F39" s="22" t="s">
        <v>155</v>
      </c>
      <c r="G39" s="22" t="s">
        <v>156</v>
      </c>
      <c r="H39" s="8">
        <v>45336</v>
      </c>
    </row>
    <row r="40" spans="1:8" ht="72" x14ac:dyDescent="0.3">
      <c r="A40" s="7">
        <v>306</v>
      </c>
      <c r="B40" s="8">
        <v>45336</v>
      </c>
      <c r="C40" s="22" t="s">
        <v>194</v>
      </c>
      <c r="D40" s="23" t="s">
        <v>228</v>
      </c>
      <c r="E40" s="22" t="s">
        <v>227</v>
      </c>
      <c r="F40" s="22" t="s">
        <v>155</v>
      </c>
      <c r="G40" s="22" t="s">
        <v>156</v>
      </c>
      <c r="H40" s="8">
        <v>45336</v>
      </c>
    </row>
    <row r="41" spans="1:8" ht="72" x14ac:dyDescent="0.3">
      <c r="A41" s="7">
        <v>307</v>
      </c>
      <c r="B41" s="8">
        <v>45336</v>
      </c>
      <c r="C41" s="22" t="s">
        <v>194</v>
      </c>
      <c r="D41" s="23" t="s">
        <v>229</v>
      </c>
      <c r="E41" s="22" t="s">
        <v>227</v>
      </c>
      <c r="F41" s="22" t="s">
        <v>155</v>
      </c>
      <c r="G41" s="22" t="s">
        <v>156</v>
      </c>
      <c r="H41" s="8">
        <v>45336</v>
      </c>
    </row>
    <row r="42" spans="1:8" ht="72" x14ac:dyDescent="0.3">
      <c r="A42" s="7">
        <v>308</v>
      </c>
      <c r="B42" s="8">
        <v>45336</v>
      </c>
      <c r="C42" s="22" t="s">
        <v>194</v>
      </c>
      <c r="D42" s="23" t="s">
        <v>230</v>
      </c>
      <c r="E42" s="22" t="s">
        <v>227</v>
      </c>
      <c r="F42" s="22" t="s">
        <v>155</v>
      </c>
      <c r="G42" s="22" t="s">
        <v>156</v>
      </c>
      <c r="H42" s="8">
        <v>45336</v>
      </c>
    </row>
    <row r="43" spans="1:8" ht="72" x14ac:dyDescent="0.3">
      <c r="A43" s="7">
        <v>309</v>
      </c>
      <c r="B43" s="8">
        <v>45336</v>
      </c>
      <c r="C43" s="22" t="s">
        <v>194</v>
      </c>
      <c r="D43" s="23" t="s">
        <v>231</v>
      </c>
      <c r="E43" s="22" t="s">
        <v>227</v>
      </c>
      <c r="F43" s="22" t="s">
        <v>155</v>
      </c>
      <c r="G43" s="22" t="s">
        <v>156</v>
      </c>
      <c r="H43" s="8">
        <v>45336</v>
      </c>
    </row>
    <row r="44" spans="1:8" ht="72" x14ac:dyDescent="0.3">
      <c r="A44" s="7">
        <v>310</v>
      </c>
      <c r="B44" s="8">
        <v>45336</v>
      </c>
      <c r="C44" s="22" t="s">
        <v>194</v>
      </c>
      <c r="D44" s="23" t="s">
        <v>232</v>
      </c>
      <c r="E44" s="22" t="s">
        <v>227</v>
      </c>
      <c r="F44" s="22" t="s">
        <v>155</v>
      </c>
      <c r="G44" s="22" t="s">
        <v>156</v>
      </c>
      <c r="H44" s="8">
        <v>45336</v>
      </c>
    </row>
    <row r="45" spans="1:8" ht="60" x14ac:dyDescent="0.3">
      <c r="A45" s="7">
        <v>410</v>
      </c>
      <c r="B45" s="8">
        <v>45602</v>
      </c>
      <c r="C45" s="22" t="s">
        <v>189</v>
      </c>
      <c r="D45" s="23" t="s">
        <v>233</v>
      </c>
      <c r="E45" s="22" t="s">
        <v>205</v>
      </c>
      <c r="F45" s="22" t="s">
        <v>234</v>
      </c>
      <c r="G45" s="22" t="s">
        <v>156</v>
      </c>
      <c r="H45" s="8">
        <v>45602</v>
      </c>
    </row>
    <row r="46" spans="1:8" ht="48" x14ac:dyDescent="0.3">
      <c r="A46" s="7">
        <v>425</v>
      </c>
      <c r="B46" s="8">
        <v>45374</v>
      </c>
      <c r="C46" s="22" t="s">
        <v>235</v>
      </c>
      <c r="D46" s="23" t="s">
        <v>236</v>
      </c>
      <c r="E46" s="22" t="s">
        <v>237</v>
      </c>
      <c r="F46" s="22" t="s">
        <v>174</v>
      </c>
      <c r="G46" s="22" t="s">
        <v>156</v>
      </c>
      <c r="H46" s="8">
        <v>45374</v>
      </c>
    </row>
    <row r="47" spans="1:8" ht="36" x14ac:dyDescent="0.3">
      <c r="A47" s="25">
        <v>448</v>
      </c>
      <c r="B47" s="31">
        <v>45379</v>
      </c>
      <c r="C47" s="29" t="s">
        <v>238</v>
      </c>
      <c r="D47" s="28" t="s">
        <v>239</v>
      </c>
      <c r="E47" s="29" t="s">
        <v>240</v>
      </c>
      <c r="F47" s="29" t="s">
        <v>234</v>
      </c>
      <c r="G47" s="29" t="s">
        <v>218</v>
      </c>
      <c r="H47" s="26">
        <v>45379</v>
      </c>
    </row>
    <row r="48" spans="1:8" ht="60" x14ac:dyDescent="0.3">
      <c r="A48" s="7">
        <v>450</v>
      </c>
      <c r="B48" s="32">
        <v>45379</v>
      </c>
      <c r="C48" s="22" t="s">
        <v>241</v>
      </c>
      <c r="D48" s="23" t="s">
        <v>242</v>
      </c>
      <c r="E48" s="22" t="s">
        <v>243</v>
      </c>
      <c r="F48" s="22" t="s">
        <v>234</v>
      </c>
      <c r="G48" s="22" t="s">
        <v>156</v>
      </c>
      <c r="H48" s="8">
        <v>45379</v>
      </c>
    </row>
    <row r="49" spans="1:8" ht="48.6" thickBot="1" x14ac:dyDescent="0.35">
      <c r="A49" s="7">
        <v>488</v>
      </c>
      <c r="B49" s="32">
        <v>45385</v>
      </c>
      <c r="C49" s="22" t="s">
        <v>147</v>
      </c>
      <c r="D49" s="23" t="s">
        <v>244</v>
      </c>
      <c r="E49" s="22" t="s">
        <v>245</v>
      </c>
      <c r="F49" s="22" t="s">
        <v>234</v>
      </c>
      <c r="G49" s="22" t="s">
        <v>213</v>
      </c>
      <c r="H49" s="8">
        <v>45385</v>
      </c>
    </row>
    <row r="50" spans="1:8" ht="36.6" thickBot="1" x14ac:dyDescent="0.35">
      <c r="A50" s="7">
        <v>494</v>
      </c>
      <c r="B50" s="32">
        <v>45387</v>
      </c>
      <c r="C50" s="22" t="s">
        <v>246</v>
      </c>
      <c r="D50" s="23" t="s">
        <v>247</v>
      </c>
      <c r="E50" s="22" t="s">
        <v>248</v>
      </c>
      <c r="F50" s="22" t="s">
        <v>221</v>
      </c>
      <c r="G50" s="22" t="s">
        <v>156</v>
      </c>
      <c r="H50" s="33">
        <v>45387</v>
      </c>
    </row>
    <row r="51" spans="1:8" ht="36.6" thickBot="1" x14ac:dyDescent="0.35">
      <c r="A51" s="25">
        <v>495</v>
      </c>
      <c r="B51" s="34">
        <v>45387</v>
      </c>
      <c r="C51" s="29" t="s">
        <v>249</v>
      </c>
      <c r="D51" s="28" t="s">
        <v>250</v>
      </c>
      <c r="E51" s="29" t="s">
        <v>248</v>
      </c>
      <c r="F51" s="29" t="s">
        <v>221</v>
      </c>
      <c r="G51" s="29" t="s">
        <v>218</v>
      </c>
      <c r="H51" s="35">
        <v>45387</v>
      </c>
    </row>
    <row r="52" spans="1:8" ht="60" x14ac:dyDescent="0.3">
      <c r="A52" s="7">
        <v>497</v>
      </c>
      <c r="B52" s="32">
        <v>45387</v>
      </c>
      <c r="C52" s="22" t="s">
        <v>147</v>
      </c>
      <c r="D52" s="23" t="s">
        <v>251</v>
      </c>
      <c r="E52" s="22" t="s">
        <v>183</v>
      </c>
      <c r="F52" s="22" t="s">
        <v>234</v>
      </c>
      <c r="G52" s="22" t="s">
        <v>156</v>
      </c>
      <c r="H52" s="33">
        <v>45387</v>
      </c>
    </row>
    <row r="53" spans="1:8" ht="84" x14ac:dyDescent="0.3">
      <c r="A53" s="7">
        <v>507</v>
      </c>
      <c r="B53" s="36">
        <v>45390</v>
      </c>
      <c r="C53" s="22" t="s">
        <v>252</v>
      </c>
      <c r="D53" s="23" t="s">
        <v>253</v>
      </c>
      <c r="E53" s="37" t="s">
        <v>205</v>
      </c>
      <c r="F53" s="22" t="s">
        <v>234</v>
      </c>
      <c r="G53" s="37" t="s">
        <v>156</v>
      </c>
      <c r="H53" s="38">
        <v>45390</v>
      </c>
    </row>
    <row r="54" spans="1:8" ht="60" x14ac:dyDescent="0.3">
      <c r="A54" s="7">
        <v>511</v>
      </c>
      <c r="B54" s="32">
        <v>45393</v>
      </c>
      <c r="C54" s="22" t="s">
        <v>189</v>
      </c>
      <c r="D54" s="23" t="s">
        <v>254</v>
      </c>
      <c r="E54" s="22" t="s">
        <v>255</v>
      </c>
      <c r="F54" s="22" t="s">
        <v>174</v>
      </c>
      <c r="G54" s="22" t="s">
        <v>156</v>
      </c>
      <c r="H54" s="8">
        <v>45393</v>
      </c>
    </row>
    <row r="55" spans="1:8" ht="48" x14ac:dyDescent="0.3">
      <c r="A55" s="7">
        <v>542</v>
      </c>
      <c r="B55" s="32">
        <v>45400</v>
      </c>
      <c r="C55" s="24" t="s">
        <v>152</v>
      </c>
      <c r="D55" s="23" t="s">
        <v>256</v>
      </c>
      <c r="E55" s="22" t="s">
        <v>183</v>
      </c>
      <c r="F55" s="22" t="s">
        <v>234</v>
      </c>
      <c r="G55" s="22" t="s">
        <v>156</v>
      </c>
      <c r="H55" s="8">
        <v>45421</v>
      </c>
    </row>
    <row r="56" spans="1:8" ht="60" x14ac:dyDescent="0.3">
      <c r="A56" s="7">
        <v>544</v>
      </c>
      <c r="B56" s="32">
        <v>45401</v>
      </c>
      <c r="C56" s="39" t="s">
        <v>184</v>
      </c>
      <c r="D56" s="23" t="s">
        <v>257</v>
      </c>
      <c r="E56" s="22" t="s">
        <v>258</v>
      </c>
      <c r="F56" s="22" t="s">
        <v>174</v>
      </c>
      <c r="G56" s="22" t="s">
        <v>259</v>
      </c>
      <c r="H56" s="8">
        <v>45401</v>
      </c>
    </row>
    <row r="57" spans="1:8" ht="48" x14ac:dyDescent="0.3">
      <c r="A57" s="7">
        <v>581</v>
      </c>
      <c r="B57" s="32">
        <v>45419</v>
      </c>
      <c r="C57" s="22" t="s">
        <v>147</v>
      </c>
      <c r="D57" s="23" t="s">
        <v>260</v>
      </c>
      <c r="E57" s="22" t="s">
        <v>240</v>
      </c>
      <c r="F57" s="22" t="s">
        <v>155</v>
      </c>
      <c r="G57" s="22" t="s">
        <v>156</v>
      </c>
      <c r="H57" s="8">
        <v>45497</v>
      </c>
    </row>
    <row r="58" spans="1:8" ht="72" x14ac:dyDescent="0.3">
      <c r="A58" s="7">
        <v>624</v>
      </c>
      <c r="B58" s="8">
        <v>45426</v>
      </c>
      <c r="C58" s="24" t="s">
        <v>152</v>
      </c>
      <c r="D58" s="23" t="s">
        <v>261</v>
      </c>
      <c r="E58" s="22" t="s">
        <v>220</v>
      </c>
      <c r="F58" s="22" t="s">
        <v>221</v>
      </c>
      <c r="G58" s="22" t="s">
        <v>218</v>
      </c>
      <c r="H58" s="8">
        <v>45426</v>
      </c>
    </row>
    <row r="59" spans="1:8" ht="48" x14ac:dyDescent="0.3">
      <c r="A59" s="7">
        <v>635</v>
      </c>
      <c r="B59" s="8">
        <v>45427</v>
      </c>
      <c r="C59" s="22" t="s">
        <v>152</v>
      </c>
      <c r="D59" s="23" t="s">
        <v>262</v>
      </c>
      <c r="E59" s="22" t="s">
        <v>263</v>
      </c>
      <c r="F59" s="22" t="s">
        <v>264</v>
      </c>
      <c r="G59" s="22" t="s">
        <v>265</v>
      </c>
      <c r="H59" s="8">
        <v>45427</v>
      </c>
    </row>
    <row r="60" spans="1:8" ht="48" x14ac:dyDescent="0.3">
      <c r="A60" s="7">
        <v>638</v>
      </c>
      <c r="B60" s="8">
        <v>45428</v>
      </c>
      <c r="C60" s="22" t="s">
        <v>266</v>
      </c>
      <c r="D60" s="23" t="s">
        <v>267</v>
      </c>
      <c r="E60" s="22" t="s">
        <v>205</v>
      </c>
      <c r="F60" s="22" t="s">
        <v>221</v>
      </c>
      <c r="G60" s="22" t="s">
        <v>218</v>
      </c>
      <c r="H60" s="8">
        <v>45428</v>
      </c>
    </row>
    <row r="61" spans="1:8" ht="84" x14ac:dyDescent="0.3">
      <c r="A61" s="7">
        <v>661</v>
      </c>
      <c r="B61" s="8">
        <v>45436</v>
      </c>
      <c r="C61" s="24" t="s">
        <v>152</v>
      </c>
      <c r="D61" s="23" t="s">
        <v>268</v>
      </c>
      <c r="E61" s="22" t="s">
        <v>205</v>
      </c>
      <c r="F61" s="22" t="s">
        <v>174</v>
      </c>
      <c r="G61" s="22" t="s">
        <v>265</v>
      </c>
      <c r="H61" s="8">
        <v>45436</v>
      </c>
    </row>
    <row r="62" spans="1:8" ht="48" x14ac:dyDescent="0.3">
      <c r="A62" s="7">
        <v>675</v>
      </c>
      <c r="B62" s="8">
        <v>45440</v>
      </c>
      <c r="C62" s="24" t="s">
        <v>269</v>
      </c>
      <c r="D62" s="23" t="s">
        <v>270</v>
      </c>
      <c r="E62" s="22" t="s">
        <v>271</v>
      </c>
      <c r="F62" s="22" t="s">
        <v>234</v>
      </c>
      <c r="G62" s="22" t="s">
        <v>156</v>
      </c>
      <c r="H62" s="8">
        <v>45440</v>
      </c>
    </row>
    <row r="63" spans="1:8" ht="84" x14ac:dyDescent="0.3">
      <c r="A63" s="7">
        <v>708</v>
      </c>
      <c r="B63" s="8">
        <v>45454</v>
      </c>
      <c r="C63" s="22" t="s">
        <v>272</v>
      </c>
      <c r="D63" s="23" t="s">
        <v>273</v>
      </c>
      <c r="E63" s="22" t="s">
        <v>205</v>
      </c>
      <c r="F63" s="22" t="s">
        <v>150</v>
      </c>
      <c r="G63" s="22" t="s">
        <v>156</v>
      </c>
      <c r="H63" s="8">
        <v>45454</v>
      </c>
    </row>
    <row r="64" spans="1:8" ht="60" x14ac:dyDescent="0.3">
      <c r="A64" s="7">
        <v>728</v>
      </c>
      <c r="B64" s="32">
        <v>45463</v>
      </c>
      <c r="C64" s="22" t="s">
        <v>147</v>
      </c>
      <c r="D64" s="23" t="s">
        <v>274</v>
      </c>
      <c r="E64" s="22" t="s">
        <v>275</v>
      </c>
      <c r="F64" s="22" t="s">
        <v>174</v>
      </c>
      <c r="G64" s="22" t="s">
        <v>259</v>
      </c>
      <c r="H64" s="8">
        <v>45463</v>
      </c>
    </row>
    <row r="65" spans="1:8" ht="72" x14ac:dyDescent="0.3">
      <c r="A65" s="7">
        <v>739</v>
      </c>
      <c r="B65" s="36">
        <v>45467</v>
      </c>
      <c r="C65" s="22" t="s">
        <v>147</v>
      </c>
      <c r="D65" s="40" t="s">
        <v>276</v>
      </c>
      <c r="E65" s="37" t="s">
        <v>277</v>
      </c>
      <c r="F65" s="37" t="s">
        <v>174</v>
      </c>
      <c r="G65" s="37" t="s">
        <v>259</v>
      </c>
      <c r="H65" s="38">
        <v>45467</v>
      </c>
    </row>
    <row r="66" spans="1:8" ht="48" x14ac:dyDescent="0.3">
      <c r="A66" s="7">
        <v>761</v>
      </c>
      <c r="B66" s="32">
        <v>45488</v>
      </c>
      <c r="C66" s="24" t="s">
        <v>147</v>
      </c>
      <c r="D66" s="40" t="s">
        <v>278</v>
      </c>
      <c r="E66" s="22" t="s">
        <v>183</v>
      </c>
      <c r="F66" s="22" t="s">
        <v>221</v>
      </c>
      <c r="G66" s="22" t="s">
        <v>156</v>
      </c>
      <c r="H66" s="8">
        <v>45488</v>
      </c>
    </row>
    <row r="67" spans="1:8" ht="48" x14ac:dyDescent="0.3">
      <c r="A67" s="7">
        <v>778</v>
      </c>
      <c r="B67" s="32">
        <v>45486</v>
      </c>
      <c r="C67" s="22" t="s">
        <v>147</v>
      </c>
      <c r="D67" s="23" t="s">
        <v>279</v>
      </c>
      <c r="E67" s="22" t="s">
        <v>177</v>
      </c>
      <c r="F67" s="22" t="s">
        <v>280</v>
      </c>
      <c r="G67" s="22" t="s">
        <v>265</v>
      </c>
      <c r="H67" s="8">
        <v>45486</v>
      </c>
    </row>
    <row r="68" spans="1:8" ht="48" x14ac:dyDescent="0.3">
      <c r="A68" s="7">
        <v>779</v>
      </c>
      <c r="B68" s="32">
        <v>45486</v>
      </c>
      <c r="C68" s="22" t="s">
        <v>147</v>
      </c>
      <c r="D68" s="23" t="s">
        <v>281</v>
      </c>
      <c r="E68" s="22" t="s">
        <v>177</v>
      </c>
      <c r="F68" s="22" t="s">
        <v>280</v>
      </c>
      <c r="G68" s="22" t="s">
        <v>265</v>
      </c>
      <c r="H68" s="8">
        <v>45486</v>
      </c>
    </row>
    <row r="69" spans="1:8" ht="48" x14ac:dyDescent="0.3">
      <c r="A69" s="7">
        <v>780</v>
      </c>
      <c r="B69" s="32">
        <v>45486</v>
      </c>
      <c r="C69" s="22" t="s">
        <v>147</v>
      </c>
      <c r="D69" s="41" t="s">
        <v>282</v>
      </c>
      <c r="E69" s="22" t="s">
        <v>177</v>
      </c>
      <c r="F69" s="22" t="s">
        <v>280</v>
      </c>
      <c r="G69" s="22" t="s">
        <v>265</v>
      </c>
      <c r="H69" s="8">
        <v>45486</v>
      </c>
    </row>
    <row r="70" spans="1:8" ht="60" x14ac:dyDescent="0.3">
      <c r="A70" s="7">
        <v>782</v>
      </c>
      <c r="B70" s="32">
        <v>45488</v>
      </c>
      <c r="C70" s="22" t="s">
        <v>147</v>
      </c>
      <c r="D70" s="23" t="s">
        <v>283</v>
      </c>
      <c r="E70" s="22" t="s">
        <v>177</v>
      </c>
      <c r="F70" s="22" t="s">
        <v>284</v>
      </c>
      <c r="G70" s="22" t="s">
        <v>265</v>
      </c>
      <c r="H70" s="8">
        <v>45488</v>
      </c>
    </row>
    <row r="71" spans="1:8" ht="48" x14ac:dyDescent="0.3">
      <c r="A71" s="7">
        <v>783</v>
      </c>
      <c r="B71" s="32">
        <v>45488</v>
      </c>
      <c r="C71" s="22" t="s">
        <v>147</v>
      </c>
      <c r="D71" s="23" t="s">
        <v>285</v>
      </c>
      <c r="E71" s="22" t="s">
        <v>177</v>
      </c>
      <c r="F71" s="22" t="s">
        <v>284</v>
      </c>
      <c r="G71" s="22" t="s">
        <v>265</v>
      </c>
      <c r="H71" s="8">
        <v>45488</v>
      </c>
    </row>
    <row r="72" spans="1:8" ht="48" x14ac:dyDescent="0.3">
      <c r="A72" s="7">
        <v>784</v>
      </c>
      <c r="B72" s="32">
        <v>45488</v>
      </c>
      <c r="C72" s="22" t="s">
        <v>147</v>
      </c>
      <c r="D72" s="23" t="s">
        <v>286</v>
      </c>
      <c r="E72" s="22" t="s">
        <v>177</v>
      </c>
      <c r="F72" s="22" t="s">
        <v>284</v>
      </c>
      <c r="G72" s="22" t="s">
        <v>265</v>
      </c>
      <c r="H72" s="8">
        <v>45488</v>
      </c>
    </row>
    <row r="73" spans="1:8" ht="48" x14ac:dyDescent="0.3">
      <c r="A73" s="7">
        <v>785</v>
      </c>
      <c r="B73" s="32">
        <v>45488</v>
      </c>
      <c r="C73" s="22" t="s">
        <v>147</v>
      </c>
      <c r="D73" s="23" t="s">
        <v>287</v>
      </c>
      <c r="E73" s="22" t="s">
        <v>177</v>
      </c>
      <c r="F73" s="22" t="s">
        <v>284</v>
      </c>
      <c r="G73" s="22" t="s">
        <v>265</v>
      </c>
      <c r="H73" s="8">
        <v>45488</v>
      </c>
    </row>
    <row r="74" spans="1:8" ht="48" x14ac:dyDescent="0.3">
      <c r="A74" s="7">
        <v>786</v>
      </c>
      <c r="B74" s="32">
        <v>45488</v>
      </c>
      <c r="C74" s="22" t="s">
        <v>147</v>
      </c>
      <c r="D74" s="23" t="s">
        <v>281</v>
      </c>
      <c r="E74" s="22" t="s">
        <v>177</v>
      </c>
      <c r="F74" s="22" t="s">
        <v>280</v>
      </c>
      <c r="G74" s="22" t="s">
        <v>265</v>
      </c>
      <c r="H74" s="8">
        <v>45488</v>
      </c>
    </row>
    <row r="75" spans="1:8" ht="48" x14ac:dyDescent="0.3">
      <c r="A75" s="7">
        <v>787</v>
      </c>
      <c r="B75" s="32">
        <v>45488</v>
      </c>
      <c r="C75" s="22" t="s">
        <v>147</v>
      </c>
      <c r="D75" s="23" t="s">
        <v>288</v>
      </c>
      <c r="E75" s="22" t="s">
        <v>177</v>
      </c>
      <c r="F75" s="22" t="s">
        <v>280</v>
      </c>
      <c r="G75" s="22" t="s">
        <v>265</v>
      </c>
      <c r="H75" s="8">
        <v>45488</v>
      </c>
    </row>
    <row r="76" spans="1:8" ht="60" x14ac:dyDescent="0.3">
      <c r="A76" s="7">
        <v>788</v>
      </c>
      <c r="B76" s="32">
        <v>45488</v>
      </c>
      <c r="C76" s="22" t="s">
        <v>147</v>
      </c>
      <c r="D76" s="23" t="s">
        <v>274</v>
      </c>
      <c r="E76" s="22" t="s">
        <v>177</v>
      </c>
      <c r="F76" s="22" t="s">
        <v>280</v>
      </c>
      <c r="G76" s="22" t="s">
        <v>265</v>
      </c>
      <c r="H76" s="8">
        <v>45488</v>
      </c>
    </row>
    <row r="77" spans="1:8" ht="48" x14ac:dyDescent="0.3">
      <c r="A77" s="7">
        <v>790</v>
      </c>
      <c r="B77" s="32">
        <v>45488</v>
      </c>
      <c r="C77" s="22" t="s">
        <v>147</v>
      </c>
      <c r="D77" s="41" t="s">
        <v>289</v>
      </c>
      <c r="E77" s="22" t="s">
        <v>177</v>
      </c>
      <c r="F77" s="22" t="s">
        <v>280</v>
      </c>
      <c r="G77" s="22" t="s">
        <v>265</v>
      </c>
      <c r="H77" s="8">
        <v>45488</v>
      </c>
    </row>
    <row r="78" spans="1:8" ht="48" x14ac:dyDescent="0.3">
      <c r="A78" s="7">
        <v>791</v>
      </c>
      <c r="B78" s="32">
        <v>45488</v>
      </c>
      <c r="C78" s="22" t="s">
        <v>147</v>
      </c>
      <c r="D78" s="41" t="s">
        <v>290</v>
      </c>
      <c r="E78" s="22" t="s">
        <v>177</v>
      </c>
      <c r="F78" s="22" t="s">
        <v>280</v>
      </c>
      <c r="G78" s="22" t="s">
        <v>265</v>
      </c>
      <c r="H78" s="8">
        <v>45488</v>
      </c>
    </row>
    <row r="79" spans="1:8" ht="48" x14ac:dyDescent="0.3">
      <c r="A79" s="7">
        <v>792</v>
      </c>
      <c r="B79" s="32">
        <v>45488</v>
      </c>
      <c r="C79" s="22" t="s">
        <v>147</v>
      </c>
      <c r="D79" s="41" t="s">
        <v>291</v>
      </c>
      <c r="E79" s="22" t="s">
        <v>177</v>
      </c>
      <c r="F79" s="22" t="s">
        <v>280</v>
      </c>
      <c r="G79" s="22" t="s">
        <v>265</v>
      </c>
      <c r="H79" s="8">
        <v>45488</v>
      </c>
    </row>
    <row r="80" spans="1:8" ht="84" x14ac:dyDescent="0.3">
      <c r="A80" s="7">
        <v>795</v>
      </c>
      <c r="B80" s="32">
        <v>45489</v>
      </c>
      <c r="C80" s="22" t="s">
        <v>147</v>
      </c>
      <c r="D80" s="23" t="s">
        <v>292</v>
      </c>
      <c r="E80" s="22" t="s">
        <v>177</v>
      </c>
      <c r="F80" s="22" t="s">
        <v>284</v>
      </c>
      <c r="G80" s="22" t="s">
        <v>265</v>
      </c>
      <c r="H80" s="8">
        <v>45489</v>
      </c>
    </row>
    <row r="81" spans="1:8" ht="84" x14ac:dyDescent="0.3">
      <c r="A81" s="7">
        <v>796</v>
      </c>
      <c r="B81" s="32">
        <v>45489</v>
      </c>
      <c r="C81" s="22" t="s">
        <v>147</v>
      </c>
      <c r="D81" s="23" t="s">
        <v>293</v>
      </c>
      <c r="E81" s="22" t="s">
        <v>177</v>
      </c>
      <c r="F81" s="22" t="s">
        <v>284</v>
      </c>
      <c r="G81" s="22" t="s">
        <v>265</v>
      </c>
      <c r="H81" s="8">
        <v>45489</v>
      </c>
    </row>
    <row r="82" spans="1:8" ht="84" x14ac:dyDescent="0.3">
      <c r="A82" s="7">
        <v>797</v>
      </c>
      <c r="B82" s="32">
        <v>45489</v>
      </c>
      <c r="C82" s="22" t="s">
        <v>147</v>
      </c>
      <c r="D82" s="23" t="s">
        <v>294</v>
      </c>
      <c r="E82" s="22" t="s">
        <v>177</v>
      </c>
      <c r="F82" s="22" t="s">
        <v>284</v>
      </c>
      <c r="G82" s="22" t="s">
        <v>265</v>
      </c>
      <c r="H82" s="8">
        <v>45489</v>
      </c>
    </row>
    <row r="83" spans="1:8" ht="48" x14ac:dyDescent="0.3">
      <c r="A83" s="7">
        <v>798</v>
      </c>
      <c r="B83" s="32">
        <v>45489</v>
      </c>
      <c r="C83" s="22" t="s">
        <v>147</v>
      </c>
      <c r="D83" s="23" t="s">
        <v>295</v>
      </c>
      <c r="E83" s="22" t="s">
        <v>177</v>
      </c>
      <c r="F83" s="22" t="s">
        <v>284</v>
      </c>
      <c r="G83" s="22" t="s">
        <v>265</v>
      </c>
      <c r="H83" s="8">
        <v>45489</v>
      </c>
    </row>
    <row r="84" spans="1:8" ht="48" x14ac:dyDescent="0.3">
      <c r="A84" s="7">
        <v>800</v>
      </c>
      <c r="B84" s="32">
        <v>45489</v>
      </c>
      <c r="C84" s="22" t="s">
        <v>147</v>
      </c>
      <c r="D84" s="23" t="s">
        <v>296</v>
      </c>
      <c r="E84" s="22" t="s">
        <v>177</v>
      </c>
      <c r="F84" s="22" t="s">
        <v>284</v>
      </c>
      <c r="G84" s="22" t="s">
        <v>265</v>
      </c>
      <c r="H84" s="8">
        <v>45489</v>
      </c>
    </row>
    <row r="85" spans="1:8" ht="48" x14ac:dyDescent="0.3">
      <c r="A85" s="7">
        <v>801</v>
      </c>
      <c r="B85" s="32">
        <v>45489</v>
      </c>
      <c r="C85" s="22" t="s">
        <v>147</v>
      </c>
      <c r="D85" s="23" t="s">
        <v>297</v>
      </c>
      <c r="E85" s="22" t="s">
        <v>177</v>
      </c>
      <c r="F85" s="22" t="s">
        <v>284</v>
      </c>
      <c r="G85" s="22" t="s">
        <v>265</v>
      </c>
      <c r="H85" s="8">
        <v>45489</v>
      </c>
    </row>
    <row r="86" spans="1:8" ht="48" x14ac:dyDescent="0.3">
      <c r="A86" s="7">
        <v>802</v>
      </c>
      <c r="B86" s="32">
        <v>45489</v>
      </c>
      <c r="C86" s="22" t="s">
        <v>147</v>
      </c>
      <c r="D86" s="23" t="s">
        <v>298</v>
      </c>
      <c r="E86" s="22" t="s">
        <v>177</v>
      </c>
      <c r="F86" s="22" t="s">
        <v>284</v>
      </c>
      <c r="G86" s="22" t="s">
        <v>265</v>
      </c>
      <c r="H86" s="8">
        <v>45489</v>
      </c>
    </row>
    <row r="87" spans="1:8" ht="48" x14ac:dyDescent="0.3">
      <c r="A87" s="7">
        <v>803</v>
      </c>
      <c r="B87" s="32">
        <v>45489</v>
      </c>
      <c r="C87" s="22" t="s">
        <v>147</v>
      </c>
      <c r="D87" s="23" t="s">
        <v>299</v>
      </c>
      <c r="E87" s="22" t="s">
        <v>177</v>
      </c>
      <c r="F87" s="22" t="s">
        <v>284</v>
      </c>
      <c r="G87" s="22" t="s">
        <v>265</v>
      </c>
      <c r="H87" s="8">
        <v>45489</v>
      </c>
    </row>
    <row r="88" spans="1:8" ht="48" x14ac:dyDescent="0.3">
      <c r="A88" s="7">
        <v>804</v>
      </c>
      <c r="B88" s="32">
        <v>45489</v>
      </c>
      <c r="C88" s="22" t="s">
        <v>147</v>
      </c>
      <c r="D88" s="23" t="s">
        <v>300</v>
      </c>
      <c r="E88" s="22" t="s">
        <v>177</v>
      </c>
      <c r="F88" s="22" t="s">
        <v>284</v>
      </c>
      <c r="G88" s="22" t="s">
        <v>265</v>
      </c>
      <c r="H88" s="8">
        <v>45489</v>
      </c>
    </row>
    <row r="89" spans="1:8" ht="48" x14ac:dyDescent="0.3">
      <c r="A89" s="7">
        <v>807</v>
      </c>
      <c r="B89" s="32">
        <v>45489</v>
      </c>
      <c r="C89" s="22" t="s">
        <v>147</v>
      </c>
      <c r="D89" s="23" t="s">
        <v>301</v>
      </c>
      <c r="E89" s="22" t="s">
        <v>177</v>
      </c>
      <c r="F89" s="22" t="s">
        <v>264</v>
      </c>
      <c r="G89" s="22" t="s">
        <v>265</v>
      </c>
      <c r="H89" s="8">
        <v>45489</v>
      </c>
    </row>
    <row r="90" spans="1:8" ht="48" x14ac:dyDescent="0.3">
      <c r="A90" s="7">
        <v>811</v>
      </c>
      <c r="B90" s="32">
        <v>45489</v>
      </c>
      <c r="C90" s="22" t="s">
        <v>147</v>
      </c>
      <c r="D90" s="23" t="s">
        <v>302</v>
      </c>
      <c r="E90" s="22" t="s">
        <v>177</v>
      </c>
      <c r="F90" s="22" t="s">
        <v>264</v>
      </c>
      <c r="G90" s="22" t="s">
        <v>265</v>
      </c>
      <c r="H90" s="8">
        <v>45489</v>
      </c>
    </row>
    <row r="91" spans="1:8" ht="48" x14ac:dyDescent="0.3">
      <c r="A91" s="7">
        <v>812</v>
      </c>
      <c r="B91" s="32">
        <v>45489</v>
      </c>
      <c r="C91" s="22" t="s">
        <v>147</v>
      </c>
      <c r="D91" s="23" t="s">
        <v>303</v>
      </c>
      <c r="E91" s="22" t="s">
        <v>177</v>
      </c>
      <c r="F91" s="22" t="s">
        <v>264</v>
      </c>
      <c r="G91" s="22" t="s">
        <v>265</v>
      </c>
      <c r="H91" s="8">
        <v>45489</v>
      </c>
    </row>
    <row r="92" spans="1:8" ht="48" x14ac:dyDescent="0.3">
      <c r="A92" s="7">
        <v>813</v>
      </c>
      <c r="B92" s="32">
        <v>45489</v>
      </c>
      <c r="C92" s="22" t="s">
        <v>147</v>
      </c>
      <c r="D92" s="23" t="s">
        <v>304</v>
      </c>
      <c r="E92" s="22" t="s">
        <v>177</v>
      </c>
      <c r="F92" s="22" t="s">
        <v>264</v>
      </c>
      <c r="G92" s="22" t="s">
        <v>265</v>
      </c>
      <c r="H92" s="8">
        <v>45489</v>
      </c>
    </row>
    <row r="93" spans="1:8" ht="48" x14ac:dyDescent="0.3">
      <c r="A93" s="7">
        <v>814</v>
      </c>
      <c r="B93" s="32">
        <v>45489</v>
      </c>
      <c r="C93" s="22" t="s">
        <v>147</v>
      </c>
      <c r="D93" s="41" t="s">
        <v>282</v>
      </c>
      <c r="E93" s="22" t="s">
        <v>177</v>
      </c>
      <c r="F93" s="22" t="s">
        <v>280</v>
      </c>
      <c r="G93" s="22" t="s">
        <v>265</v>
      </c>
      <c r="H93" s="8">
        <v>45489</v>
      </c>
    </row>
    <row r="94" spans="1:8" ht="60" x14ac:dyDescent="0.3">
      <c r="A94" s="7">
        <v>815</v>
      </c>
      <c r="B94" s="32">
        <v>45489</v>
      </c>
      <c r="C94" s="22" t="s">
        <v>147</v>
      </c>
      <c r="D94" s="41" t="s">
        <v>305</v>
      </c>
      <c r="E94" s="22" t="s">
        <v>177</v>
      </c>
      <c r="F94" s="22" t="s">
        <v>280</v>
      </c>
      <c r="G94" s="22" t="s">
        <v>265</v>
      </c>
      <c r="H94" s="8">
        <v>45489</v>
      </c>
    </row>
    <row r="95" spans="1:8" ht="48" x14ac:dyDescent="0.3">
      <c r="A95" s="7">
        <v>816</v>
      </c>
      <c r="B95" s="32">
        <v>45489</v>
      </c>
      <c r="C95" s="22" t="s">
        <v>147</v>
      </c>
      <c r="D95" s="41" t="s">
        <v>306</v>
      </c>
      <c r="E95" s="22" t="s">
        <v>177</v>
      </c>
      <c r="F95" s="22" t="s">
        <v>280</v>
      </c>
      <c r="G95" s="22" t="s">
        <v>265</v>
      </c>
      <c r="H95" s="8">
        <v>45489</v>
      </c>
    </row>
    <row r="96" spans="1:8" ht="60" x14ac:dyDescent="0.3">
      <c r="A96" s="7">
        <v>817</v>
      </c>
      <c r="B96" s="32">
        <v>45489</v>
      </c>
      <c r="C96" s="22" t="s">
        <v>147</v>
      </c>
      <c r="D96" s="41" t="s">
        <v>307</v>
      </c>
      <c r="E96" s="22" t="s">
        <v>177</v>
      </c>
      <c r="F96" s="22" t="s">
        <v>280</v>
      </c>
      <c r="G96" s="22" t="s">
        <v>265</v>
      </c>
      <c r="H96" s="8">
        <v>45489</v>
      </c>
    </row>
    <row r="97" spans="1:8" ht="48" x14ac:dyDescent="0.3">
      <c r="A97" s="7">
        <v>818</v>
      </c>
      <c r="B97" s="32">
        <v>45489</v>
      </c>
      <c r="C97" s="22" t="s">
        <v>147</v>
      </c>
      <c r="D97" s="41" t="s">
        <v>308</v>
      </c>
      <c r="E97" s="22" t="s">
        <v>177</v>
      </c>
      <c r="F97" s="22" t="s">
        <v>280</v>
      </c>
      <c r="G97" s="22" t="s">
        <v>265</v>
      </c>
      <c r="H97" s="8">
        <v>45489</v>
      </c>
    </row>
    <row r="98" spans="1:8" ht="60" x14ac:dyDescent="0.3">
      <c r="A98" s="7">
        <v>819</v>
      </c>
      <c r="B98" s="32">
        <v>45489</v>
      </c>
      <c r="C98" s="22" t="s">
        <v>147</v>
      </c>
      <c r="D98" s="41" t="s">
        <v>309</v>
      </c>
      <c r="E98" s="22" t="s">
        <v>177</v>
      </c>
      <c r="F98" s="22" t="s">
        <v>280</v>
      </c>
      <c r="G98" s="22" t="s">
        <v>265</v>
      </c>
      <c r="H98" s="8">
        <v>45489</v>
      </c>
    </row>
    <row r="99" spans="1:8" ht="48" x14ac:dyDescent="0.3">
      <c r="A99" s="7">
        <v>820</v>
      </c>
      <c r="B99" s="32">
        <v>45489</v>
      </c>
      <c r="C99" s="22" t="s">
        <v>147</v>
      </c>
      <c r="D99" s="41" t="s">
        <v>310</v>
      </c>
      <c r="E99" s="22" t="s">
        <v>177</v>
      </c>
      <c r="F99" s="22" t="s">
        <v>280</v>
      </c>
      <c r="G99" s="22" t="s">
        <v>265</v>
      </c>
      <c r="H99" s="8">
        <v>45489</v>
      </c>
    </row>
    <row r="100" spans="1:8" ht="48" x14ac:dyDescent="0.3">
      <c r="A100" s="7">
        <v>821</v>
      </c>
      <c r="B100" s="32">
        <v>45489</v>
      </c>
      <c r="C100" s="22" t="s">
        <v>147</v>
      </c>
      <c r="D100" s="41" t="s">
        <v>311</v>
      </c>
      <c r="E100" s="22" t="s">
        <v>177</v>
      </c>
      <c r="F100" s="22" t="s">
        <v>280</v>
      </c>
      <c r="G100" s="22" t="s">
        <v>265</v>
      </c>
      <c r="H100" s="8">
        <v>45489</v>
      </c>
    </row>
    <row r="101" spans="1:8" ht="48" x14ac:dyDescent="0.3">
      <c r="A101" s="7">
        <v>822</v>
      </c>
      <c r="B101" s="32">
        <v>45489</v>
      </c>
      <c r="C101" s="22" t="s">
        <v>147</v>
      </c>
      <c r="D101" s="41" t="s">
        <v>312</v>
      </c>
      <c r="E101" s="22" t="s">
        <v>177</v>
      </c>
      <c r="F101" s="22" t="s">
        <v>280</v>
      </c>
      <c r="G101" s="22" t="s">
        <v>265</v>
      </c>
      <c r="H101" s="8">
        <v>45489</v>
      </c>
    </row>
    <row r="102" spans="1:8" ht="60" x14ac:dyDescent="0.3">
      <c r="A102" s="7">
        <v>823</v>
      </c>
      <c r="B102" s="32">
        <v>45489</v>
      </c>
      <c r="C102" s="22" t="s">
        <v>147</v>
      </c>
      <c r="D102" s="41" t="s">
        <v>313</v>
      </c>
      <c r="E102" s="22" t="s">
        <v>177</v>
      </c>
      <c r="F102" s="22" t="s">
        <v>280</v>
      </c>
      <c r="G102" s="22" t="s">
        <v>265</v>
      </c>
      <c r="H102" s="8">
        <v>45489</v>
      </c>
    </row>
    <row r="103" spans="1:8" ht="60" x14ac:dyDescent="0.3">
      <c r="A103" s="7">
        <v>824</v>
      </c>
      <c r="B103" s="32">
        <v>45489</v>
      </c>
      <c r="C103" s="22" t="s">
        <v>147</v>
      </c>
      <c r="D103" s="41" t="s">
        <v>314</v>
      </c>
      <c r="E103" s="22" t="s">
        <v>177</v>
      </c>
      <c r="F103" s="22" t="s">
        <v>280</v>
      </c>
      <c r="G103" s="22" t="s">
        <v>265</v>
      </c>
      <c r="H103" s="8">
        <v>45489</v>
      </c>
    </row>
    <row r="104" spans="1:8" ht="48" x14ac:dyDescent="0.3">
      <c r="A104" s="7">
        <v>825</v>
      </c>
      <c r="B104" s="32">
        <v>45489</v>
      </c>
      <c r="C104" s="22" t="s">
        <v>147</v>
      </c>
      <c r="D104" s="41" t="s">
        <v>315</v>
      </c>
      <c r="E104" s="22" t="s">
        <v>177</v>
      </c>
      <c r="F104" s="22" t="s">
        <v>280</v>
      </c>
      <c r="G104" s="22" t="s">
        <v>265</v>
      </c>
      <c r="H104" s="8">
        <v>45489</v>
      </c>
    </row>
    <row r="105" spans="1:8" ht="48" x14ac:dyDescent="0.3">
      <c r="A105" s="7">
        <v>826</v>
      </c>
      <c r="B105" s="32">
        <v>45489</v>
      </c>
      <c r="C105" s="22" t="s">
        <v>147</v>
      </c>
      <c r="D105" s="41" t="s">
        <v>316</v>
      </c>
      <c r="E105" s="22" t="s">
        <v>177</v>
      </c>
      <c r="F105" s="22" t="s">
        <v>280</v>
      </c>
      <c r="G105" s="22" t="s">
        <v>265</v>
      </c>
      <c r="H105" s="8">
        <v>45489</v>
      </c>
    </row>
    <row r="106" spans="1:8" ht="48" x14ac:dyDescent="0.3">
      <c r="A106" s="7">
        <v>827</v>
      </c>
      <c r="B106" s="32">
        <v>45489</v>
      </c>
      <c r="C106" s="22" t="s">
        <v>147</v>
      </c>
      <c r="D106" s="41" t="s">
        <v>317</v>
      </c>
      <c r="E106" s="22" t="s">
        <v>177</v>
      </c>
      <c r="F106" s="22" t="s">
        <v>280</v>
      </c>
      <c r="G106" s="22" t="s">
        <v>156</v>
      </c>
      <c r="H106" s="42">
        <v>45489</v>
      </c>
    </row>
    <row r="107" spans="1:8" ht="48" x14ac:dyDescent="0.3">
      <c r="A107" s="7">
        <v>828</v>
      </c>
      <c r="B107" s="32">
        <v>45489</v>
      </c>
      <c r="C107" s="22" t="s">
        <v>147</v>
      </c>
      <c r="D107" s="41" t="s">
        <v>318</v>
      </c>
      <c r="E107" s="22" t="s">
        <v>177</v>
      </c>
      <c r="F107" s="22" t="s">
        <v>280</v>
      </c>
      <c r="G107" s="22" t="s">
        <v>265</v>
      </c>
      <c r="H107" s="8">
        <v>45489</v>
      </c>
    </row>
    <row r="108" spans="1:8" ht="48" x14ac:dyDescent="0.3">
      <c r="A108" s="7">
        <v>829</v>
      </c>
      <c r="B108" s="8">
        <v>45489</v>
      </c>
      <c r="C108" s="22" t="s">
        <v>147</v>
      </c>
      <c r="D108" s="41" t="s">
        <v>319</v>
      </c>
      <c r="E108" s="22" t="s">
        <v>177</v>
      </c>
      <c r="F108" s="22" t="s">
        <v>280</v>
      </c>
      <c r="G108" s="22" t="s">
        <v>265</v>
      </c>
      <c r="H108" s="8">
        <v>45489</v>
      </c>
    </row>
    <row r="109" spans="1:8" ht="48" x14ac:dyDescent="0.3">
      <c r="A109" s="7">
        <v>834</v>
      </c>
      <c r="B109" s="8">
        <v>45491</v>
      </c>
      <c r="C109" s="22" t="s">
        <v>147</v>
      </c>
      <c r="D109" s="23" t="s">
        <v>320</v>
      </c>
      <c r="E109" s="22" t="s">
        <v>321</v>
      </c>
      <c r="F109" s="22" t="s">
        <v>264</v>
      </c>
      <c r="G109" s="22" t="s">
        <v>259</v>
      </c>
      <c r="H109" s="8">
        <v>45491</v>
      </c>
    </row>
    <row r="110" spans="1:8" ht="60" x14ac:dyDescent="0.3">
      <c r="A110" s="7">
        <v>835</v>
      </c>
      <c r="B110" s="8">
        <v>45492</v>
      </c>
      <c r="C110" s="22" t="s">
        <v>322</v>
      </c>
      <c r="D110" s="23" t="s">
        <v>323</v>
      </c>
      <c r="E110" s="22" t="s">
        <v>161</v>
      </c>
      <c r="F110" s="22" t="s">
        <v>221</v>
      </c>
      <c r="G110" s="22" t="s">
        <v>156</v>
      </c>
      <c r="H110" s="8">
        <v>45492</v>
      </c>
    </row>
    <row r="111" spans="1:8" ht="48" x14ac:dyDescent="0.3">
      <c r="A111" s="25">
        <v>851</v>
      </c>
      <c r="B111" s="26">
        <v>45495</v>
      </c>
      <c r="C111" s="22" t="s">
        <v>147</v>
      </c>
      <c r="D111" s="28" t="s">
        <v>324</v>
      </c>
      <c r="E111" s="29" t="s">
        <v>325</v>
      </c>
      <c r="F111" s="29" t="s">
        <v>155</v>
      </c>
      <c r="G111" s="29" t="s">
        <v>265</v>
      </c>
      <c r="H111" s="26">
        <v>45496</v>
      </c>
    </row>
    <row r="112" spans="1:8" ht="48" x14ac:dyDescent="0.3">
      <c r="A112" s="25">
        <v>853</v>
      </c>
      <c r="B112" s="26">
        <v>45495</v>
      </c>
      <c r="C112" s="22" t="s">
        <v>147</v>
      </c>
      <c r="D112" s="28" t="s">
        <v>326</v>
      </c>
      <c r="E112" s="29" t="s">
        <v>327</v>
      </c>
      <c r="F112" s="29" t="s">
        <v>155</v>
      </c>
      <c r="G112" s="29" t="s">
        <v>265</v>
      </c>
      <c r="H112" s="26">
        <v>45496</v>
      </c>
    </row>
    <row r="113" spans="1:8" ht="48" x14ac:dyDescent="0.3">
      <c r="A113" s="7">
        <v>856</v>
      </c>
      <c r="B113" s="8">
        <v>45495</v>
      </c>
      <c r="C113" s="22" t="s">
        <v>147</v>
      </c>
      <c r="D113" s="23" t="s">
        <v>328</v>
      </c>
      <c r="E113" s="22" t="s">
        <v>177</v>
      </c>
      <c r="F113" s="22" t="s">
        <v>284</v>
      </c>
      <c r="G113" s="22" t="s">
        <v>265</v>
      </c>
      <c r="H113" s="8">
        <v>45495</v>
      </c>
    </row>
    <row r="114" spans="1:8" ht="48" x14ac:dyDescent="0.3">
      <c r="A114" s="7">
        <v>910</v>
      </c>
      <c r="B114" s="8">
        <v>45499</v>
      </c>
      <c r="C114" s="22" t="s">
        <v>147</v>
      </c>
      <c r="D114" s="23" t="s">
        <v>329</v>
      </c>
      <c r="E114" s="22" t="s">
        <v>177</v>
      </c>
      <c r="F114" s="22" t="s">
        <v>264</v>
      </c>
      <c r="G114" s="22" t="s">
        <v>265</v>
      </c>
      <c r="H114" s="8">
        <v>45499</v>
      </c>
    </row>
    <row r="115" spans="1:8" ht="84" x14ac:dyDescent="0.3">
      <c r="A115" s="7">
        <v>919</v>
      </c>
      <c r="B115" s="8">
        <v>45500</v>
      </c>
      <c r="C115" s="22" t="s">
        <v>330</v>
      </c>
      <c r="D115" s="23" t="s">
        <v>331</v>
      </c>
      <c r="E115" s="22" t="s">
        <v>332</v>
      </c>
      <c r="F115" s="22" t="s">
        <v>174</v>
      </c>
      <c r="G115" s="22" t="s">
        <v>156</v>
      </c>
      <c r="H115" s="8">
        <v>45409</v>
      </c>
    </row>
    <row r="116" spans="1:8" ht="48" x14ac:dyDescent="0.3">
      <c r="A116" s="7">
        <v>926</v>
      </c>
      <c r="B116" s="8">
        <v>45500</v>
      </c>
      <c r="C116" s="22" t="s">
        <v>147</v>
      </c>
      <c r="D116" s="23" t="s">
        <v>333</v>
      </c>
      <c r="E116" s="22" t="s">
        <v>177</v>
      </c>
      <c r="F116" s="22" t="s">
        <v>264</v>
      </c>
      <c r="G116" s="22" t="s">
        <v>265</v>
      </c>
      <c r="H116" s="8">
        <v>45500</v>
      </c>
    </row>
    <row r="117" spans="1:8" ht="72" x14ac:dyDescent="0.3">
      <c r="A117" s="7">
        <v>928</v>
      </c>
      <c r="B117" s="8">
        <v>45500</v>
      </c>
      <c r="C117" s="22" t="s">
        <v>147</v>
      </c>
      <c r="D117" s="23" t="s">
        <v>334</v>
      </c>
      <c r="E117" s="22" t="s">
        <v>177</v>
      </c>
      <c r="F117" s="22" t="s">
        <v>264</v>
      </c>
      <c r="G117" s="22" t="s">
        <v>265</v>
      </c>
      <c r="H117" s="8">
        <v>45500</v>
      </c>
    </row>
    <row r="118" spans="1:8" ht="60" x14ac:dyDescent="0.3">
      <c r="A118" s="7">
        <v>929</v>
      </c>
      <c r="B118" s="8">
        <v>45500</v>
      </c>
      <c r="C118" s="22" t="s">
        <v>147</v>
      </c>
      <c r="D118" s="23" t="s">
        <v>335</v>
      </c>
      <c r="E118" s="22" t="s">
        <v>177</v>
      </c>
      <c r="F118" s="22" t="s">
        <v>264</v>
      </c>
      <c r="G118" s="22" t="s">
        <v>265</v>
      </c>
      <c r="H118" s="8">
        <v>45500</v>
      </c>
    </row>
    <row r="119" spans="1:8" ht="48" x14ac:dyDescent="0.3">
      <c r="A119" s="7">
        <v>930</v>
      </c>
      <c r="B119" s="8">
        <v>45500</v>
      </c>
      <c r="C119" s="22" t="s">
        <v>147</v>
      </c>
      <c r="D119" s="23" t="s">
        <v>336</v>
      </c>
      <c r="E119" s="22" t="s">
        <v>177</v>
      </c>
      <c r="F119" s="22" t="s">
        <v>264</v>
      </c>
      <c r="G119" s="22" t="s">
        <v>265</v>
      </c>
      <c r="H119" s="8">
        <v>45500</v>
      </c>
    </row>
    <row r="120" spans="1:8" ht="48" x14ac:dyDescent="0.3">
      <c r="A120" s="7">
        <v>931</v>
      </c>
      <c r="B120" s="8">
        <v>45500</v>
      </c>
      <c r="C120" s="22" t="s">
        <v>147</v>
      </c>
      <c r="D120" s="23" t="s">
        <v>337</v>
      </c>
      <c r="E120" s="22" t="s">
        <v>177</v>
      </c>
      <c r="F120" s="22" t="s">
        <v>264</v>
      </c>
      <c r="G120" s="22" t="s">
        <v>265</v>
      </c>
      <c r="H120" s="8">
        <v>45500</v>
      </c>
    </row>
    <row r="121" spans="1:8" ht="60" x14ac:dyDescent="0.3">
      <c r="A121" s="7">
        <v>935</v>
      </c>
      <c r="B121" s="38">
        <v>45502</v>
      </c>
      <c r="C121" s="22" t="s">
        <v>163</v>
      </c>
      <c r="D121" s="41" t="s">
        <v>338</v>
      </c>
      <c r="E121" s="37" t="s">
        <v>205</v>
      </c>
      <c r="F121" s="22" t="s">
        <v>280</v>
      </c>
      <c r="G121" s="22" t="s">
        <v>156</v>
      </c>
      <c r="H121" s="38">
        <v>45502</v>
      </c>
    </row>
    <row r="122" spans="1:8" ht="60" x14ac:dyDescent="0.3">
      <c r="A122" s="7">
        <v>936</v>
      </c>
      <c r="B122" s="38">
        <v>45502</v>
      </c>
      <c r="C122" s="22" t="s">
        <v>163</v>
      </c>
      <c r="D122" s="41" t="s">
        <v>339</v>
      </c>
      <c r="E122" s="37" t="s">
        <v>205</v>
      </c>
      <c r="F122" s="22" t="s">
        <v>280</v>
      </c>
      <c r="G122" s="22" t="s">
        <v>156</v>
      </c>
      <c r="H122" s="38">
        <v>45502</v>
      </c>
    </row>
    <row r="123" spans="1:8" ht="60" x14ac:dyDescent="0.3">
      <c r="A123" s="7">
        <v>937</v>
      </c>
      <c r="B123" s="43">
        <v>45502</v>
      </c>
      <c r="C123" s="22" t="s">
        <v>163</v>
      </c>
      <c r="D123" s="44" t="s">
        <v>340</v>
      </c>
      <c r="E123" s="45" t="s">
        <v>161</v>
      </c>
      <c r="F123" s="22" t="s">
        <v>280</v>
      </c>
      <c r="G123" s="29" t="s">
        <v>218</v>
      </c>
      <c r="H123" s="43">
        <v>45502</v>
      </c>
    </row>
    <row r="124" spans="1:8" ht="60" x14ac:dyDescent="0.3">
      <c r="A124" s="7">
        <v>938</v>
      </c>
      <c r="B124" s="43">
        <v>45502</v>
      </c>
      <c r="C124" s="22" t="s">
        <v>163</v>
      </c>
      <c r="D124" s="44" t="s">
        <v>341</v>
      </c>
      <c r="E124" s="45" t="s">
        <v>161</v>
      </c>
      <c r="F124" s="22" t="s">
        <v>280</v>
      </c>
      <c r="G124" s="29" t="s">
        <v>342</v>
      </c>
      <c r="H124" s="43">
        <v>45502</v>
      </c>
    </row>
    <row r="125" spans="1:8" ht="48" x14ac:dyDescent="0.3">
      <c r="A125" s="7">
        <v>939</v>
      </c>
      <c r="B125" s="38">
        <v>45503</v>
      </c>
      <c r="C125" s="22" t="s">
        <v>147</v>
      </c>
      <c r="D125" s="40" t="s">
        <v>343</v>
      </c>
      <c r="E125" s="37" t="s">
        <v>183</v>
      </c>
      <c r="F125" s="22" t="s">
        <v>264</v>
      </c>
      <c r="G125" s="22" t="s">
        <v>156</v>
      </c>
      <c r="H125" s="46">
        <v>45503</v>
      </c>
    </row>
    <row r="126" spans="1:8" ht="48" x14ac:dyDescent="0.3">
      <c r="A126" s="7">
        <v>995</v>
      </c>
      <c r="B126" s="8">
        <v>45528</v>
      </c>
      <c r="C126" s="22" t="s">
        <v>147</v>
      </c>
      <c r="D126" s="23" t="s">
        <v>344</v>
      </c>
      <c r="E126" s="22" t="s">
        <v>183</v>
      </c>
      <c r="F126" s="22" t="s">
        <v>150</v>
      </c>
      <c r="G126" s="22" t="s">
        <v>156</v>
      </c>
      <c r="H126" s="42">
        <v>45528</v>
      </c>
    </row>
    <row r="127" spans="1:8" ht="60" x14ac:dyDescent="0.3">
      <c r="A127" s="25">
        <v>1003</v>
      </c>
      <c r="B127" s="43">
        <v>45532</v>
      </c>
      <c r="C127" s="29" t="s">
        <v>345</v>
      </c>
      <c r="D127" s="28" t="s">
        <v>346</v>
      </c>
      <c r="E127" s="45" t="s">
        <v>183</v>
      </c>
      <c r="F127" s="29" t="s">
        <v>150</v>
      </c>
      <c r="G127" s="29" t="s">
        <v>265</v>
      </c>
      <c r="H127" s="43">
        <v>45532</v>
      </c>
    </row>
    <row r="128" spans="1:8" ht="60" x14ac:dyDescent="0.3">
      <c r="A128" s="25">
        <v>1037</v>
      </c>
      <c r="B128" s="43">
        <v>45600</v>
      </c>
      <c r="C128" s="29" t="s">
        <v>347</v>
      </c>
      <c r="D128" s="47" t="s">
        <v>348</v>
      </c>
      <c r="E128" s="45" t="s">
        <v>161</v>
      </c>
      <c r="F128" s="45" t="s">
        <v>221</v>
      </c>
      <c r="G128" s="45" t="s">
        <v>218</v>
      </c>
      <c r="H128" s="43">
        <v>45600</v>
      </c>
    </row>
    <row r="129" spans="1:8" ht="36" x14ac:dyDescent="0.3">
      <c r="A129" s="25">
        <v>1105</v>
      </c>
      <c r="B129" s="26">
        <v>45577</v>
      </c>
      <c r="C129" s="29" t="s">
        <v>238</v>
      </c>
      <c r="D129" s="28" t="s">
        <v>349</v>
      </c>
      <c r="E129" s="29" t="s">
        <v>243</v>
      </c>
      <c r="F129" s="29" t="s">
        <v>234</v>
      </c>
      <c r="G129" s="29" t="s">
        <v>218</v>
      </c>
      <c r="H129" s="26">
        <v>45577</v>
      </c>
    </row>
    <row r="130" spans="1:8" ht="60" x14ac:dyDescent="0.3">
      <c r="A130" s="48">
        <v>1109</v>
      </c>
      <c r="B130" s="43">
        <v>45579</v>
      </c>
      <c r="C130" s="22" t="s">
        <v>163</v>
      </c>
      <c r="D130" s="47" t="s">
        <v>350</v>
      </c>
      <c r="E130" s="45" t="s">
        <v>245</v>
      </c>
      <c r="F130" s="45" t="s">
        <v>234</v>
      </c>
      <c r="G130" s="45" t="s">
        <v>218</v>
      </c>
      <c r="H130" s="43">
        <v>45579</v>
      </c>
    </row>
    <row r="131" spans="1:8" ht="48" x14ac:dyDescent="0.3">
      <c r="A131" s="7">
        <v>1141</v>
      </c>
      <c r="B131" s="8">
        <v>45589</v>
      </c>
      <c r="C131" s="22" t="s">
        <v>147</v>
      </c>
      <c r="D131" s="23" t="s">
        <v>351</v>
      </c>
      <c r="E131" s="22" t="s">
        <v>275</v>
      </c>
      <c r="F131" s="22" t="s">
        <v>174</v>
      </c>
      <c r="G131" s="22" t="s">
        <v>352</v>
      </c>
      <c r="H131" s="8">
        <v>45589</v>
      </c>
    </row>
    <row r="132" spans="1:8" ht="72" x14ac:dyDescent="0.3">
      <c r="A132" s="7">
        <v>1155</v>
      </c>
      <c r="B132" s="8">
        <v>45601</v>
      </c>
      <c r="C132" s="22" t="s">
        <v>353</v>
      </c>
      <c r="D132" s="23" t="s">
        <v>354</v>
      </c>
      <c r="E132" s="22" t="s">
        <v>183</v>
      </c>
      <c r="F132" s="22" t="s">
        <v>174</v>
      </c>
      <c r="G132" s="22" t="s">
        <v>156</v>
      </c>
      <c r="H132" s="8">
        <v>45601</v>
      </c>
    </row>
    <row r="133" spans="1:8" ht="72" x14ac:dyDescent="0.3">
      <c r="A133" s="7">
        <v>1168</v>
      </c>
      <c r="B133" s="8">
        <v>45608</v>
      </c>
      <c r="C133" s="22" t="s">
        <v>194</v>
      </c>
      <c r="D133" s="23" t="s">
        <v>355</v>
      </c>
      <c r="E133" s="22" t="s">
        <v>205</v>
      </c>
      <c r="F133" s="22" t="s">
        <v>174</v>
      </c>
      <c r="G133" s="22" t="s">
        <v>156</v>
      </c>
      <c r="H133" s="8">
        <v>45608</v>
      </c>
    </row>
    <row r="134" spans="1:8" ht="48" x14ac:dyDescent="0.3">
      <c r="A134" s="7">
        <v>1173</v>
      </c>
      <c r="B134" s="8">
        <v>45609</v>
      </c>
      <c r="C134" s="37" t="s">
        <v>356</v>
      </c>
      <c r="D134" s="23" t="s">
        <v>216</v>
      </c>
      <c r="E134" s="22" t="s">
        <v>161</v>
      </c>
      <c r="F134" s="22" t="s">
        <v>234</v>
      </c>
      <c r="G134" s="22" t="s">
        <v>156</v>
      </c>
      <c r="H134" s="8">
        <v>45609</v>
      </c>
    </row>
    <row r="135" spans="1:8" ht="96" x14ac:dyDescent="0.3">
      <c r="A135" s="7">
        <v>1191</v>
      </c>
      <c r="B135" s="8">
        <v>45614</v>
      </c>
      <c r="C135" s="22" t="s">
        <v>353</v>
      </c>
      <c r="D135" s="23" t="s">
        <v>357</v>
      </c>
      <c r="E135" s="22" t="s">
        <v>183</v>
      </c>
      <c r="F135" s="22" t="s">
        <v>358</v>
      </c>
      <c r="G135" s="22" t="s">
        <v>156</v>
      </c>
      <c r="H135" s="8">
        <v>45614</v>
      </c>
    </row>
    <row r="136" spans="1:8" ht="84" x14ac:dyDescent="0.3">
      <c r="A136" s="7">
        <v>1192</v>
      </c>
      <c r="B136" s="8">
        <v>45614</v>
      </c>
      <c r="C136" s="22" t="s">
        <v>353</v>
      </c>
      <c r="D136" s="23" t="s">
        <v>359</v>
      </c>
      <c r="E136" s="22" t="s">
        <v>183</v>
      </c>
      <c r="F136" s="22" t="s">
        <v>358</v>
      </c>
      <c r="G136" s="22" t="s">
        <v>156</v>
      </c>
      <c r="H136" s="8">
        <v>45614</v>
      </c>
    </row>
    <row r="137" spans="1:8" ht="72" x14ac:dyDescent="0.3">
      <c r="A137" s="7">
        <v>1194</v>
      </c>
      <c r="B137" s="8">
        <v>45614</v>
      </c>
      <c r="C137" s="24" t="s">
        <v>353</v>
      </c>
      <c r="D137" s="23" t="s">
        <v>360</v>
      </c>
      <c r="E137" s="22" t="s">
        <v>183</v>
      </c>
      <c r="F137" s="22" t="s">
        <v>358</v>
      </c>
      <c r="G137" s="22" t="s">
        <v>156</v>
      </c>
      <c r="H137" s="8">
        <v>45614</v>
      </c>
    </row>
    <row r="138" spans="1:8" ht="72" x14ac:dyDescent="0.3">
      <c r="A138" s="25">
        <v>1197</v>
      </c>
      <c r="B138" s="26">
        <v>45616</v>
      </c>
      <c r="C138" s="29" t="s">
        <v>152</v>
      </c>
      <c r="D138" s="28" t="s">
        <v>361</v>
      </c>
      <c r="E138" s="29" t="s">
        <v>205</v>
      </c>
      <c r="F138" s="29" t="s">
        <v>221</v>
      </c>
      <c r="G138" s="29" t="s">
        <v>362</v>
      </c>
      <c r="H138" s="26">
        <v>45616</v>
      </c>
    </row>
    <row r="139" spans="1:8" ht="48" x14ac:dyDescent="0.3">
      <c r="A139" s="7">
        <v>1198</v>
      </c>
      <c r="B139" s="8">
        <v>45616</v>
      </c>
      <c r="C139" s="22" t="s">
        <v>152</v>
      </c>
      <c r="D139" s="23" t="s">
        <v>363</v>
      </c>
      <c r="E139" s="22" t="s">
        <v>183</v>
      </c>
      <c r="F139" s="22" t="s">
        <v>221</v>
      </c>
      <c r="G139" s="22" t="s">
        <v>156</v>
      </c>
      <c r="H139" s="8">
        <v>45616</v>
      </c>
    </row>
    <row r="140" spans="1:8" ht="60" x14ac:dyDescent="0.3">
      <c r="A140" s="7">
        <v>1203</v>
      </c>
      <c r="B140" s="8">
        <v>45618</v>
      </c>
      <c r="C140" s="24" t="s">
        <v>152</v>
      </c>
      <c r="D140" s="23" t="s">
        <v>364</v>
      </c>
      <c r="E140" s="22" t="s">
        <v>183</v>
      </c>
      <c r="F140" s="22" t="s">
        <v>221</v>
      </c>
      <c r="G140" s="22" t="s">
        <v>156</v>
      </c>
      <c r="H140" s="8">
        <v>45618</v>
      </c>
    </row>
    <row r="141" spans="1:8" ht="48" x14ac:dyDescent="0.3">
      <c r="A141" s="7">
        <v>1208</v>
      </c>
      <c r="B141" s="8">
        <v>45618</v>
      </c>
      <c r="C141" s="22" t="s">
        <v>152</v>
      </c>
      <c r="D141" s="23" t="s">
        <v>365</v>
      </c>
      <c r="E141" s="22" t="s">
        <v>183</v>
      </c>
      <c r="F141" s="22" t="s">
        <v>221</v>
      </c>
      <c r="G141" s="22" t="s">
        <v>156</v>
      </c>
      <c r="H141" s="8">
        <v>45618</v>
      </c>
    </row>
    <row r="142" spans="1:8" ht="48" x14ac:dyDescent="0.3">
      <c r="A142" s="7">
        <v>1254</v>
      </c>
      <c r="B142" s="8">
        <v>45626</v>
      </c>
      <c r="C142" s="22" t="s">
        <v>356</v>
      </c>
      <c r="D142" s="23" t="s">
        <v>216</v>
      </c>
      <c r="E142" s="22" t="s">
        <v>366</v>
      </c>
      <c r="F142" s="22" t="s">
        <v>174</v>
      </c>
      <c r="G142" s="22" t="s">
        <v>156</v>
      </c>
      <c r="H142" s="8">
        <v>45626</v>
      </c>
    </row>
    <row r="143" spans="1:8" ht="72" x14ac:dyDescent="0.3">
      <c r="A143" s="7">
        <v>1260</v>
      </c>
      <c r="B143" s="8">
        <v>45628</v>
      </c>
      <c r="C143" s="22" t="s">
        <v>194</v>
      </c>
      <c r="D143" s="23" t="s">
        <v>367</v>
      </c>
      <c r="E143" s="22" t="s">
        <v>183</v>
      </c>
      <c r="F143" s="22" t="s">
        <v>234</v>
      </c>
      <c r="G143" s="22" t="s">
        <v>156</v>
      </c>
      <c r="H143" s="8">
        <v>45628</v>
      </c>
    </row>
    <row r="144" spans="1:8" ht="72" x14ac:dyDescent="0.3">
      <c r="A144" s="7">
        <v>1262</v>
      </c>
      <c r="B144" s="8">
        <v>45628</v>
      </c>
      <c r="C144" s="22" t="s">
        <v>194</v>
      </c>
      <c r="D144" s="23" t="s">
        <v>368</v>
      </c>
      <c r="E144" s="22" t="s">
        <v>183</v>
      </c>
      <c r="F144" s="22" t="s">
        <v>234</v>
      </c>
      <c r="G144" s="22" t="s">
        <v>156</v>
      </c>
      <c r="H144" s="8">
        <v>45628</v>
      </c>
    </row>
    <row r="145" spans="1:8" ht="72" x14ac:dyDescent="0.3">
      <c r="A145" s="7">
        <v>1265</v>
      </c>
      <c r="B145" s="8">
        <v>45629</v>
      </c>
      <c r="C145" s="22" t="s">
        <v>194</v>
      </c>
      <c r="D145" s="23" t="s">
        <v>369</v>
      </c>
      <c r="E145" s="22" t="s">
        <v>183</v>
      </c>
      <c r="F145" s="22" t="s">
        <v>234</v>
      </c>
      <c r="G145" s="22" t="s">
        <v>156</v>
      </c>
      <c r="H145" s="8">
        <v>45629</v>
      </c>
    </row>
    <row r="146" spans="1:8" ht="72" x14ac:dyDescent="0.3">
      <c r="A146" s="7">
        <v>1266</v>
      </c>
      <c r="B146" s="8">
        <v>45629</v>
      </c>
      <c r="C146" s="22" t="s">
        <v>194</v>
      </c>
      <c r="D146" s="23" t="s">
        <v>370</v>
      </c>
      <c r="E146" s="22" t="s">
        <v>183</v>
      </c>
      <c r="F146" s="22" t="s">
        <v>234</v>
      </c>
      <c r="G146" s="22" t="s">
        <v>156</v>
      </c>
      <c r="H146" s="8">
        <v>45629</v>
      </c>
    </row>
    <row r="147" spans="1:8" ht="72" x14ac:dyDescent="0.3">
      <c r="A147" s="7">
        <v>1271</v>
      </c>
      <c r="B147" s="8">
        <v>45629</v>
      </c>
      <c r="C147" s="22" t="s">
        <v>194</v>
      </c>
      <c r="D147" s="23" t="s">
        <v>371</v>
      </c>
      <c r="E147" s="22" t="s">
        <v>183</v>
      </c>
      <c r="F147" s="22" t="s">
        <v>358</v>
      </c>
      <c r="G147" s="22" t="s">
        <v>156</v>
      </c>
      <c r="H147" s="8">
        <v>45629</v>
      </c>
    </row>
    <row r="148" spans="1:8" ht="72" x14ac:dyDescent="0.3">
      <c r="A148" s="7">
        <v>1277</v>
      </c>
      <c r="B148" s="8">
        <v>45629</v>
      </c>
      <c r="C148" s="22" t="s">
        <v>194</v>
      </c>
      <c r="D148" s="23" t="s">
        <v>372</v>
      </c>
      <c r="E148" s="22" t="s">
        <v>183</v>
      </c>
      <c r="F148" s="22" t="s">
        <v>234</v>
      </c>
      <c r="G148" s="22" t="s">
        <v>156</v>
      </c>
      <c r="H148" s="8">
        <v>45629</v>
      </c>
    </row>
    <row r="149" spans="1:8" ht="72" x14ac:dyDescent="0.3">
      <c r="A149" s="7">
        <v>1278</v>
      </c>
      <c r="B149" s="8">
        <v>45629</v>
      </c>
      <c r="C149" s="22" t="s">
        <v>194</v>
      </c>
      <c r="D149" s="23" t="s">
        <v>373</v>
      </c>
      <c r="E149" s="22" t="s">
        <v>183</v>
      </c>
      <c r="F149" s="22" t="s">
        <v>234</v>
      </c>
      <c r="G149" s="22" t="s">
        <v>156</v>
      </c>
      <c r="H149" s="8">
        <v>45629</v>
      </c>
    </row>
    <row r="150" spans="1:8" ht="72" x14ac:dyDescent="0.3">
      <c r="A150" s="7">
        <v>1282</v>
      </c>
      <c r="B150" s="8">
        <v>45629</v>
      </c>
      <c r="C150" s="22" t="s">
        <v>194</v>
      </c>
      <c r="D150" s="23" t="s">
        <v>374</v>
      </c>
      <c r="E150" s="22" t="s">
        <v>183</v>
      </c>
      <c r="F150" s="22" t="s">
        <v>264</v>
      </c>
      <c r="G150" s="22" t="s">
        <v>156</v>
      </c>
      <c r="H150" s="8">
        <v>45629</v>
      </c>
    </row>
    <row r="151" spans="1:8" ht="72" x14ac:dyDescent="0.3">
      <c r="A151" s="7">
        <v>1283</v>
      </c>
      <c r="B151" s="8">
        <v>45629</v>
      </c>
      <c r="C151" s="22" t="s">
        <v>194</v>
      </c>
      <c r="D151" s="23" t="s">
        <v>375</v>
      </c>
      <c r="E151" s="22" t="s">
        <v>183</v>
      </c>
      <c r="F151" s="22" t="s">
        <v>264</v>
      </c>
      <c r="G151" s="22" t="s">
        <v>156</v>
      </c>
      <c r="H151" s="8">
        <v>45629</v>
      </c>
    </row>
    <row r="152" spans="1:8" ht="72" x14ac:dyDescent="0.3">
      <c r="A152" s="7">
        <v>1321</v>
      </c>
      <c r="B152" s="8">
        <v>45643</v>
      </c>
      <c r="C152" s="22" t="s">
        <v>194</v>
      </c>
      <c r="D152" s="23" t="s">
        <v>376</v>
      </c>
      <c r="E152" s="22" t="s">
        <v>223</v>
      </c>
      <c r="F152" s="22" t="s">
        <v>221</v>
      </c>
      <c r="G152" s="22" t="s">
        <v>156</v>
      </c>
      <c r="H152" s="8">
        <v>45708</v>
      </c>
    </row>
    <row r="153" spans="1:8" ht="72" x14ac:dyDescent="0.3">
      <c r="A153" s="7">
        <v>1325</v>
      </c>
      <c r="B153" s="8">
        <v>45644</v>
      </c>
      <c r="C153" s="22" t="s">
        <v>194</v>
      </c>
      <c r="D153" s="23" t="s">
        <v>377</v>
      </c>
      <c r="E153" s="22" t="s">
        <v>223</v>
      </c>
      <c r="F153" s="22" t="s">
        <v>221</v>
      </c>
      <c r="G153" s="22" t="s">
        <v>156</v>
      </c>
      <c r="H153" s="8">
        <v>45644</v>
      </c>
    </row>
    <row r="154" spans="1:8" ht="48" x14ac:dyDescent="0.3">
      <c r="A154" s="7">
        <v>1367</v>
      </c>
      <c r="B154" s="8">
        <v>45663</v>
      </c>
      <c r="C154" s="22" t="s">
        <v>147</v>
      </c>
      <c r="D154" s="23" t="s">
        <v>378</v>
      </c>
      <c r="E154" s="22" t="s">
        <v>275</v>
      </c>
      <c r="F154" s="22" t="s">
        <v>174</v>
      </c>
      <c r="G154" s="22" t="s">
        <v>352</v>
      </c>
      <c r="H154" s="8">
        <v>45663</v>
      </c>
    </row>
    <row r="155" spans="1:8" ht="72" x14ac:dyDescent="0.3">
      <c r="A155" s="25">
        <v>1379</v>
      </c>
      <c r="B155" s="26">
        <v>45667</v>
      </c>
      <c r="C155" s="29" t="s">
        <v>379</v>
      </c>
      <c r="D155" s="28" t="s">
        <v>380</v>
      </c>
      <c r="E155" s="29" t="s">
        <v>381</v>
      </c>
      <c r="F155" s="29" t="s">
        <v>221</v>
      </c>
      <c r="G155" s="29" t="s">
        <v>218</v>
      </c>
      <c r="H155" s="26">
        <v>45667</v>
      </c>
    </row>
    <row r="156" spans="1:8" ht="72" x14ac:dyDescent="0.3">
      <c r="A156" s="48">
        <v>1417</v>
      </c>
      <c r="B156" s="43">
        <v>45674</v>
      </c>
      <c r="C156" s="45" t="s">
        <v>379</v>
      </c>
      <c r="D156" s="47" t="s">
        <v>382</v>
      </c>
      <c r="E156" s="45" t="s">
        <v>383</v>
      </c>
      <c r="F156" s="45" t="s">
        <v>221</v>
      </c>
      <c r="G156" s="45" t="s">
        <v>218</v>
      </c>
      <c r="H156" s="43">
        <v>45674</v>
      </c>
    </row>
    <row r="157" spans="1:8" ht="48" x14ac:dyDescent="0.3">
      <c r="A157" s="7">
        <v>1429</v>
      </c>
      <c r="B157" s="8">
        <v>45678</v>
      </c>
      <c r="C157" s="24" t="s">
        <v>152</v>
      </c>
      <c r="D157" s="23" t="s">
        <v>384</v>
      </c>
      <c r="E157" s="22" t="s">
        <v>385</v>
      </c>
      <c r="F157" s="22" t="s">
        <v>174</v>
      </c>
      <c r="G157" s="22" t="s">
        <v>156</v>
      </c>
      <c r="H157" s="8">
        <v>45678</v>
      </c>
    </row>
    <row r="158" spans="1:8" ht="60" x14ac:dyDescent="0.3">
      <c r="A158" s="49">
        <v>1445</v>
      </c>
      <c r="B158" s="38">
        <v>45682</v>
      </c>
      <c r="C158" s="37" t="s">
        <v>345</v>
      </c>
      <c r="D158" s="40" t="s">
        <v>386</v>
      </c>
      <c r="E158" s="37" t="s">
        <v>183</v>
      </c>
      <c r="F158" s="37" t="s">
        <v>221</v>
      </c>
      <c r="G158" s="37" t="s">
        <v>156</v>
      </c>
      <c r="H158" s="38">
        <v>45709</v>
      </c>
    </row>
    <row r="159" spans="1:8" ht="72" x14ac:dyDescent="0.3">
      <c r="A159" s="49">
        <v>1489</v>
      </c>
      <c r="B159" s="8">
        <v>45692</v>
      </c>
      <c r="C159" s="22" t="s">
        <v>194</v>
      </c>
      <c r="D159" s="23" t="s">
        <v>387</v>
      </c>
      <c r="E159" s="22" t="s">
        <v>183</v>
      </c>
      <c r="F159" s="22" t="s">
        <v>221</v>
      </c>
      <c r="G159" s="22" t="s">
        <v>156</v>
      </c>
      <c r="H159" s="8">
        <v>45692</v>
      </c>
    </row>
    <row r="160" spans="1:8" ht="86.4" x14ac:dyDescent="0.3">
      <c r="A160" s="50">
        <v>1532</v>
      </c>
      <c r="B160" s="51">
        <v>45700</v>
      </c>
      <c r="C160" s="52" t="s">
        <v>163</v>
      </c>
      <c r="D160" s="53" t="s">
        <v>388</v>
      </c>
      <c r="E160" s="52" t="s">
        <v>385</v>
      </c>
      <c r="F160" s="52" t="s">
        <v>174</v>
      </c>
      <c r="G160" s="52" t="s">
        <v>362</v>
      </c>
      <c r="H160" s="51">
        <v>45700</v>
      </c>
    </row>
    <row r="161" spans="1:8" ht="48" x14ac:dyDescent="0.3">
      <c r="A161" s="48">
        <v>1769</v>
      </c>
      <c r="B161" s="26">
        <v>45747</v>
      </c>
      <c r="C161" s="29" t="s">
        <v>356</v>
      </c>
      <c r="D161" s="47" t="s">
        <v>389</v>
      </c>
      <c r="E161" s="54" t="s">
        <v>390</v>
      </c>
      <c r="F161" s="29" t="s">
        <v>174</v>
      </c>
      <c r="G161" s="29" t="s">
        <v>218</v>
      </c>
      <c r="H161" s="26">
        <v>45747</v>
      </c>
    </row>
    <row r="162" spans="1:8" ht="72" x14ac:dyDescent="0.3">
      <c r="A162" s="49">
        <v>1773</v>
      </c>
      <c r="B162" s="8">
        <v>45748</v>
      </c>
      <c r="C162" s="22" t="s">
        <v>391</v>
      </c>
      <c r="D162" s="23" t="s">
        <v>392</v>
      </c>
      <c r="E162" s="22" t="s">
        <v>183</v>
      </c>
      <c r="F162" s="22" t="s">
        <v>221</v>
      </c>
      <c r="G162" s="22" t="s">
        <v>156</v>
      </c>
      <c r="H162" s="8">
        <v>45748</v>
      </c>
    </row>
    <row r="163" spans="1:8" ht="36" x14ac:dyDescent="0.3">
      <c r="A163" s="48">
        <v>1850</v>
      </c>
      <c r="B163" s="43">
        <v>45759</v>
      </c>
      <c r="C163" s="45" t="s">
        <v>393</v>
      </c>
      <c r="D163" s="47" t="s">
        <v>394</v>
      </c>
      <c r="E163" s="45" t="s">
        <v>395</v>
      </c>
      <c r="F163" s="45" t="s">
        <v>174</v>
      </c>
      <c r="G163" s="45" t="s">
        <v>218</v>
      </c>
      <c r="H163" s="43">
        <v>45759</v>
      </c>
    </row>
    <row r="164" spans="1:8" ht="60" x14ac:dyDescent="0.3">
      <c r="A164" s="49">
        <v>1936</v>
      </c>
      <c r="B164" s="38">
        <v>45772</v>
      </c>
      <c r="C164" s="22" t="s">
        <v>189</v>
      </c>
      <c r="D164" s="40" t="s">
        <v>206</v>
      </c>
      <c r="E164" s="37" t="s">
        <v>243</v>
      </c>
      <c r="F164" s="37" t="s">
        <v>174</v>
      </c>
      <c r="G164" s="37" t="s">
        <v>362</v>
      </c>
      <c r="H164" s="38">
        <v>45772</v>
      </c>
    </row>
    <row r="165" spans="1:8" ht="60" x14ac:dyDescent="0.3">
      <c r="A165" s="48">
        <v>1945</v>
      </c>
      <c r="B165" s="26">
        <v>45775</v>
      </c>
      <c r="C165" s="29" t="s">
        <v>396</v>
      </c>
      <c r="D165" s="28" t="s">
        <v>397</v>
      </c>
      <c r="E165" s="29" t="s">
        <v>398</v>
      </c>
      <c r="F165" s="29" t="s">
        <v>150</v>
      </c>
      <c r="G165" s="29" t="s">
        <v>362</v>
      </c>
      <c r="H165" s="26">
        <v>45775</v>
      </c>
    </row>
    <row r="166" spans="1:8" ht="60" x14ac:dyDescent="0.3">
      <c r="A166" s="49">
        <v>1946</v>
      </c>
      <c r="B166" s="8">
        <v>45775</v>
      </c>
      <c r="C166" s="22" t="s">
        <v>396</v>
      </c>
      <c r="D166" s="23" t="s">
        <v>399</v>
      </c>
      <c r="E166" s="22" t="s">
        <v>398</v>
      </c>
      <c r="F166" s="22" t="s">
        <v>150</v>
      </c>
      <c r="G166" s="22" t="s">
        <v>156</v>
      </c>
      <c r="H166" s="8">
        <v>45775</v>
      </c>
    </row>
    <row r="167" spans="1:8" ht="72" x14ac:dyDescent="0.3">
      <c r="A167" s="49">
        <v>1971</v>
      </c>
      <c r="B167" s="38">
        <v>45784</v>
      </c>
      <c r="C167" s="37" t="s">
        <v>194</v>
      </c>
      <c r="D167" s="40" t="s">
        <v>400</v>
      </c>
      <c r="E167" s="37" t="s">
        <v>401</v>
      </c>
      <c r="F167" s="37" t="s">
        <v>402</v>
      </c>
      <c r="G167" s="37" t="s">
        <v>218</v>
      </c>
      <c r="H167" s="38">
        <v>45784</v>
      </c>
    </row>
    <row r="168" spans="1:8" ht="48" x14ac:dyDescent="0.3">
      <c r="A168" s="49">
        <v>1994</v>
      </c>
      <c r="B168" s="8">
        <v>45792</v>
      </c>
      <c r="C168" s="24" t="s">
        <v>152</v>
      </c>
      <c r="D168" s="23" t="s">
        <v>403</v>
      </c>
      <c r="E168" s="23" t="s">
        <v>243</v>
      </c>
      <c r="F168" s="22" t="s">
        <v>174</v>
      </c>
      <c r="G168" s="22" t="s">
        <v>156</v>
      </c>
      <c r="H168" s="8">
        <v>45792</v>
      </c>
    </row>
    <row r="169" spans="1:8" ht="36" x14ac:dyDescent="0.3">
      <c r="A169" s="49">
        <v>2008</v>
      </c>
      <c r="B169" s="38">
        <v>45796</v>
      </c>
      <c r="C169" s="37" t="s">
        <v>404</v>
      </c>
      <c r="D169" s="40" t="s">
        <v>405</v>
      </c>
      <c r="E169" s="40" t="s">
        <v>205</v>
      </c>
      <c r="F169" s="37" t="s">
        <v>234</v>
      </c>
      <c r="G169" s="37" t="s">
        <v>218</v>
      </c>
      <c r="H169" s="38">
        <v>45975</v>
      </c>
    </row>
    <row r="170" spans="1:8" ht="60" x14ac:dyDescent="0.3">
      <c r="A170" s="25">
        <v>2036</v>
      </c>
      <c r="B170" s="26">
        <v>45803</v>
      </c>
      <c r="C170" s="37" t="s">
        <v>393</v>
      </c>
      <c r="D170" s="28" t="s">
        <v>406</v>
      </c>
      <c r="E170" s="28" t="s">
        <v>398</v>
      </c>
      <c r="F170" s="29" t="s">
        <v>150</v>
      </c>
      <c r="G170" s="29" t="s">
        <v>218</v>
      </c>
      <c r="H170" s="26">
        <v>45804</v>
      </c>
    </row>
    <row r="171" spans="1:8" ht="48" x14ac:dyDescent="0.3">
      <c r="A171" s="7">
        <v>2050</v>
      </c>
      <c r="B171" s="8">
        <v>45804</v>
      </c>
      <c r="C171" s="22" t="s">
        <v>407</v>
      </c>
      <c r="D171" s="23" t="s">
        <v>386</v>
      </c>
      <c r="E171" s="23" t="s">
        <v>161</v>
      </c>
      <c r="F171" s="22" t="s">
        <v>221</v>
      </c>
      <c r="G171" s="22" t="s">
        <v>218</v>
      </c>
      <c r="H171" s="8">
        <v>45804</v>
      </c>
    </row>
    <row r="172" spans="1:8" ht="60" x14ac:dyDescent="0.3">
      <c r="A172" s="25">
        <v>2054</v>
      </c>
      <c r="B172" s="43">
        <v>45805</v>
      </c>
      <c r="C172" s="45" t="s">
        <v>345</v>
      </c>
      <c r="D172" s="28" t="s">
        <v>408</v>
      </c>
      <c r="E172" s="47" t="s">
        <v>205</v>
      </c>
      <c r="F172" s="45" t="s">
        <v>174</v>
      </c>
      <c r="G172" s="45" t="s">
        <v>218</v>
      </c>
      <c r="H172" s="43">
        <v>45805</v>
      </c>
    </row>
    <row r="173" spans="1:8" ht="72" x14ac:dyDescent="0.3">
      <c r="A173" s="22">
        <v>2082</v>
      </c>
      <c r="B173" s="8">
        <v>45827</v>
      </c>
      <c r="C173" s="24" t="s">
        <v>152</v>
      </c>
      <c r="D173" s="23" t="s">
        <v>409</v>
      </c>
      <c r="E173" s="23" t="s">
        <v>410</v>
      </c>
      <c r="F173" s="22" t="s">
        <v>174</v>
      </c>
      <c r="G173" s="22" t="s">
        <v>218</v>
      </c>
      <c r="H173" s="8">
        <v>45827</v>
      </c>
    </row>
    <row r="174" spans="1:8" ht="60" x14ac:dyDescent="0.3">
      <c r="A174" s="55">
        <v>2099</v>
      </c>
      <c r="B174" s="8">
        <v>45842</v>
      </c>
      <c r="C174" s="22" t="s">
        <v>407</v>
      </c>
      <c r="D174" s="23" t="s">
        <v>411</v>
      </c>
      <c r="E174" s="23" t="s">
        <v>205</v>
      </c>
      <c r="F174" s="22" t="s">
        <v>174</v>
      </c>
      <c r="G174" s="22" t="s">
        <v>156</v>
      </c>
      <c r="H174" s="8">
        <v>45842</v>
      </c>
    </row>
    <row r="175" spans="1:8" ht="84" x14ac:dyDescent="0.3">
      <c r="A175" s="22">
        <v>2115</v>
      </c>
      <c r="B175" s="8">
        <v>45849</v>
      </c>
      <c r="C175" s="22" t="s">
        <v>412</v>
      </c>
      <c r="D175" s="23" t="s">
        <v>413</v>
      </c>
      <c r="E175" s="23" t="s">
        <v>205</v>
      </c>
      <c r="F175" s="22" t="s">
        <v>174</v>
      </c>
      <c r="G175" s="22" t="s">
        <v>362</v>
      </c>
      <c r="H175" s="8">
        <v>45855</v>
      </c>
    </row>
    <row r="176" spans="1:8" ht="48" x14ac:dyDescent="0.3">
      <c r="A176" s="7">
        <v>2116</v>
      </c>
      <c r="B176" s="8">
        <v>45850</v>
      </c>
      <c r="C176" s="22" t="s">
        <v>404</v>
      </c>
      <c r="D176" s="23" t="s">
        <v>414</v>
      </c>
      <c r="E176" s="23" t="s">
        <v>161</v>
      </c>
      <c r="F176" s="22" t="s">
        <v>234</v>
      </c>
      <c r="G176" s="22" t="s">
        <v>362</v>
      </c>
      <c r="H176" s="8">
        <v>45850</v>
      </c>
    </row>
    <row r="177" spans="1:8" ht="60" x14ac:dyDescent="0.3">
      <c r="A177" s="22">
        <v>2117</v>
      </c>
      <c r="B177" s="8">
        <v>45853</v>
      </c>
      <c r="C177" s="22" t="s">
        <v>163</v>
      </c>
      <c r="D177" s="23" t="s">
        <v>415</v>
      </c>
      <c r="E177" s="23" t="s">
        <v>416</v>
      </c>
      <c r="F177" s="22" t="s">
        <v>234</v>
      </c>
      <c r="G177" s="22" t="s">
        <v>156</v>
      </c>
      <c r="H177" s="8">
        <v>45853</v>
      </c>
    </row>
    <row r="178" spans="1:8" ht="48" x14ac:dyDescent="0.3">
      <c r="A178" s="22">
        <v>2122</v>
      </c>
      <c r="B178" s="8">
        <v>45859</v>
      </c>
      <c r="C178" s="22" t="s">
        <v>235</v>
      </c>
      <c r="D178" s="23" t="s">
        <v>365</v>
      </c>
      <c r="E178" s="23" t="s">
        <v>417</v>
      </c>
      <c r="F178" s="22" t="s">
        <v>174</v>
      </c>
      <c r="G178" s="22" t="s">
        <v>218</v>
      </c>
      <c r="H178" s="8">
        <v>45859</v>
      </c>
    </row>
    <row r="179" spans="1:8" ht="48" x14ac:dyDescent="0.3">
      <c r="A179" s="22">
        <v>2123</v>
      </c>
      <c r="B179" s="8">
        <v>45861</v>
      </c>
      <c r="C179" s="22" t="s">
        <v>418</v>
      </c>
      <c r="D179" s="23" t="s">
        <v>419</v>
      </c>
      <c r="E179" s="23" t="s">
        <v>161</v>
      </c>
      <c r="F179" s="22" t="s">
        <v>150</v>
      </c>
      <c r="G179" s="22" t="s">
        <v>156</v>
      </c>
      <c r="H179" s="8">
        <v>45904</v>
      </c>
    </row>
    <row r="180" spans="1:8" ht="72" x14ac:dyDescent="0.3">
      <c r="A180" s="22">
        <v>2130</v>
      </c>
      <c r="B180" s="8">
        <v>45869</v>
      </c>
      <c r="C180" s="22" t="s">
        <v>194</v>
      </c>
      <c r="D180" s="23" t="s">
        <v>420</v>
      </c>
      <c r="E180" s="23" t="s">
        <v>183</v>
      </c>
      <c r="F180" s="22" t="s">
        <v>221</v>
      </c>
      <c r="G180" s="22" t="s">
        <v>362</v>
      </c>
      <c r="H180" s="8">
        <v>45869</v>
      </c>
    </row>
    <row r="181" spans="1:8" ht="60" x14ac:dyDescent="0.3">
      <c r="A181" s="22">
        <v>2159</v>
      </c>
      <c r="B181" s="8">
        <v>45881</v>
      </c>
      <c r="C181" s="27" t="s">
        <v>184</v>
      </c>
      <c r="D181" s="23" t="s">
        <v>421</v>
      </c>
      <c r="E181" s="23" t="s">
        <v>243</v>
      </c>
      <c r="F181" s="22" t="s">
        <v>174</v>
      </c>
      <c r="G181" s="22" t="s">
        <v>362</v>
      </c>
      <c r="H181" s="8">
        <v>45881</v>
      </c>
    </row>
    <row r="182" spans="1:8" ht="72" x14ac:dyDescent="0.3">
      <c r="A182" s="22">
        <v>2162</v>
      </c>
      <c r="B182" s="8">
        <v>45881</v>
      </c>
      <c r="C182" s="22" t="s">
        <v>194</v>
      </c>
      <c r="D182" s="23" t="s">
        <v>422</v>
      </c>
      <c r="E182" s="23" t="s">
        <v>243</v>
      </c>
      <c r="F182" s="22" t="s">
        <v>174</v>
      </c>
      <c r="G182" s="22" t="s">
        <v>218</v>
      </c>
      <c r="H182" s="8">
        <v>45881</v>
      </c>
    </row>
    <row r="183" spans="1:8" ht="72" x14ac:dyDescent="0.3">
      <c r="A183" s="22">
        <v>2163</v>
      </c>
      <c r="B183" s="8">
        <v>45883</v>
      </c>
      <c r="C183" s="22" t="s">
        <v>194</v>
      </c>
      <c r="D183" s="23" t="s">
        <v>423</v>
      </c>
      <c r="E183" s="23" t="s">
        <v>161</v>
      </c>
      <c r="F183" s="22" t="s">
        <v>234</v>
      </c>
      <c r="G183" s="22" t="s">
        <v>218</v>
      </c>
      <c r="H183" s="8">
        <v>45883</v>
      </c>
    </row>
    <row r="184" spans="1:8" ht="48" x14ac:dyDescent="0.3">
      <c r="A184" s="22">
        <v>2164</v>
      </c>
      <c r="B184" s="8">
        <v>45883</v>
      </c>
      <c r="C184" s="22" t="s">
        <v>407</v>
      </c>
      <c r="D184" s="23" t="s">
        <v>424</v>
      </c>
      <c r="E184" s="23" t="s">
        <v>161</v>
      </c>
      <c r="F184" s="22" t="s">
        <v>221</v>
      </c>
      <c r="G184" s="22" t="s">
        <v>218</v>
      </c>
      <c r="H184" s="8">
        <v>45883</v>
      </c>
    </row>
    <row r="185" spans="1:8" ht="48" x14ac:dyDescent="0.3">
      <c r="A185" s="22">
        <v>2172</v>
      </c>
      <c r="B185" s="8">
        <v>45889</v>
      </c>
      <c r="C185" s="22" t="s">
        <v>407</v>
      </c>
      <c r="D185" s="23" t="s">
        <v>424</v>
      </c>
      <c r="E185" s="23" t="s">
        <v>205</v>
      </c>
      <c r="F185" s="22" t="s">
        <v>174</v>
      </c>
      <c r="G185" s="22" t="s">
        <v>218</v>
      </c>
      <c r="H185" s="8">
        <v>45889</v>
      </c>
    </row>
    <row r="186" spans="1:8" ht="48" x14ac:dyDescent="0.3">
      <c r="A186" s="22">
        <v>2175</v>
      </c>
      <c r="B186" s="8">
        <v>45892</v>
      </c>
      <c r="C186" s="22" t="s">
        <v>418</v>
      </c>
      <c r="D186" s="23" t="s">
        <v>425</v>
      </c>
      <c r="E186" s="23" t="s">
        <v>205</v>
      </c>
      <c r="F186" s="22" t="s">
        <v>150</v>
      </c>
      <c r="G186" s="22" t="s">
        <v>218</v>
      </c>
      <c r="H186" s="8">
        <v>45892</v>
      </c>
    </row>
    <row r="187" spans="1:8" ht="48" x14ac:dyDescent="0.3">
      <c r="A187" s="22">
        <v>2176</v>
      </c>
      <c r="B187" s="8">
        <v>45892</v>
      </c>
      <c r="C187" s="22" t="s">
        <v>418</v>
      </c>
      <c r="D187" s="23" t="s">
        <v>419</v>
      </c>
      <c r="E187" s="23" t="s">
        <v>398</v>
      </c>
      <c r="F187" s="22" t="s">
        <v>150</v>
      </c>
      <c r="G187" s="22" t="s">
        <v>218</v>
      </c>
      <c r="H187" s="8">
        <v>45892</v>
      </c>
    </row>
    <row r="188" spans="1:8" ht="72" x14ac:dyDescent="0.3">
      <c r="A188" s="22">
        <v>2189</v>
      </c>
      <c r="B188" s="8">
        <v>45899</v>
      </c>
      <c r="C188" s="22" t="s">
        <v>393</v>
      </c>
      <c r="D188" s="23" t="s">
        <v>426</v>
      </c>
      <c r="E188" s="23" t="s">
        <v>401</v>
      </c>
      <c r="F188" s="22" t="s">
        <v>174</v>
      </c>
      <c r="G188" s="22" t="s">
        <v>156</v>
      </c>
      <c r="H188" s="8">
        <v>45904</v>
      </c>
    </row>
    <row r="189" spans="1:8" ht="60" x14ac:dyDescent="0.3">
      <c r="A189" s="22">
        <v>2190</v>
      </c>
      <c r="B189" s="8">
        <v>45899</v>
      </c>
      <c r="C189" s="22" t="s">
        <v>345</v>
      </c>
      <c r="D189" s="23" t="s">
        <v>427</v>
      </c>
      <c r="E189" s="23" t="s">
        <v>205</v>
      </c>
      <c r="F189" s="22" t="s">
        <v>174</v>
      </c>
      <c r="G189" s="22" t="s">
        <v>218</v>
      </c>
      <c r="H189" s="8">
        <v>45899</v>
      </c>
    </row>
    <row r="190" spans="1:8" ht="36" x14ac:dyDescent="0.3">
      <c r="A190" s="25">
        <v>2200</v>
      </c>
      <c r="B190" s="26">
        <v>45905</v>
      </c>
      <c r="C190" s="29" t="s">
        <v>393</v>
      </c>
      <c r="D190" s="28" t="s">
        <v>428</v>
      </c>
      <c r="E190" s="28" t="s">
        <v>429</v>
      </c>
      <c r="F190" s="29" t="s">
        <v>174</v>
      </c>
      <c r="G190" s="29" t="s">
        <v>218</v>
      </c>
      <c r="H190" s="26">
        <v>45905</v>
      </c>
    </row>
    <row r="191" spans="1:8" ht="36" x14ac:dyDescent="0.3">
      <c r="A191" s="25">
        <v>2201</v>
      </c>
      <c r="B191" s="26">
        <v>45905</v>
      </c>
      <c r="C191" s="29" t="s">
        <v>393</v>
      </c>
      <c r="D191" s="28" t="s">
        <v>428</v>
      </c>
      <c r="E191" s="28" t="s">
        <v>401</v>
      </c>
      <c r="F191" s="29" t="s">
        <v>174</v>
      </c>
      <c r="G191" s="29" t="s">
        <v>218</v>
      </c>
      <c r="H191" s="26">
        <v>45905</v>
      </c>
    </row>
    <row r="192" spans="1:8" ht="48" x14ac:dyDescent="0.3">
      <c r="A192" s="7">
        <v>2210</v>
      </c>
      <c r="B192" s="8">
        <v>45908</v>
      </c>
      <c r="C192" s="22" t="s">
        <v>407</v>
      </c>
      <c r="D192" s="23" t="s">
        <v>430</v>
      </c>
      <c r="E192" s="23" t="s">
        <v>161</v>
      </c>
      <c r="F192" s="23" t="s">
        <v>221</v>
      </c>
      <c r="G192" s="22" t="s">
        <v>218</v>
      </c>
      <c r="H192" s="8">
        <v>45908</v>
      </c>
    </row>
    <row r="193" spans="1:8" ht="72" x14ac:dyDescent="0.3">
      <c r="A193" s="7">
        <v>2218</v>
      </c>
      <c r="B193" s="8">
        <v>45910</v>
      </c>
      <c r="C193" s="22" t="s">
        <v>194</v>
      </c>
      <c r="D193" s="23" t="s">
        <v>431</v>
      </c>
      <c r="E193" s="23" t="s">
        <v>401</v>
      </c>
      <c r="F193" s="22" t="s">
        <v>432</v>
      </c>
      <c r="G193" s="22" t="s">
        <v>218</v>
      </c>
      <c r="H193" s="8">
        <v>45910</v>
      </c>
    </row>
    <row r="194" spans="1:8" ht="60" x14ac:dyDescent="0.3">
      <c r="A194" s="56">
        <v>2235</v>
      </c>
      <c r="B194" s="8">
        <v>45915</v>
      </c>
      <c r="C194" s="57" t="s">
        <v>433</v>
      </c>
      <c r="D194" s="23" t="s">
        <v>434</v>
      </c>
      <c r="E194" s="23" t="s">
        <v>401</v>
      </c>
      <c r="F194" s="22" t="s">
        <v>432</v>
      </c>
      <c r="G194" s="22" t="s">
        <v>218</v>
      </c>
      <c r="H194" s="8">
        <v>45915</v>
      </c>
    </row>
    <row r="195" spans="1:8" ht="60" x14ac:dyDescent="0.3">
      <c r="A195" s="49">
        <v>2271</v>
      </c>
      <c r="B195" s="8">
        <v>45920</v>
      </c>
      <c r="C195" s="22" t="s">
        <v>356</v>
      </c>
      <c r="D195" s="23" t="s">
        <v>435</v>
      </c>
      <c r="E195" s="23" t="s">
        <v>366</v>
      </c>
      <c r="F195" s="22" t="s">
        <v>174</v>
      </c>
      <c r="G195" s="22" t="s">
        <v>218</v>
      </c>
      <c r="H195" s="8">
        <v>45985</v>
      </c>
    </row>
    <row r="196" spans="1:8" ht="60" x14ac:dyDescent="0.3">
      <c r="A196" s="58">
        <v>2277</v>
      </c>
      <c r="B196" s="59">
        <v>45922</v>
      </c>
      <c r="C196" s="40" t="s">
        <v>396</v>
      </c>
      <c r="D196" s="40" t="s">
        <v>436</v>
      </c>
      <c r="E196" s="40" t="s">
        <v>398</v>
      </c>
      <c r="F196" s="40" t="s">
        <v>174</v>
      </c>
      <c r="G196" s="22" t="s">
        <v>362</v>
      </c>
      <c r="H196" s="38">
        <v>45922</v>
      </c>
    </row>
    <row r="197" spans="1:8" ht="60" x14ac:dyDescent="0.3">
      <c r="A197" s="58">
        <v>2281</v>
      </c>
      <c r="B197" s="59">
        <v>45923</v>
      </c>
      <c r="C197" s="40" t="s">
        <v>396</v>
      </c>
      <c r="D197" s="40" t="s">
        <v>437</v>
      </c>
      <c r="E197" s="40" t="s">
        <v>161</v>
      </c>
      <c r="F197" s="40" t="s">
        <v>221</v>
      </c>
      <c r="G197" s="22" t="s">
        <v>362</v>
      </c>
      <c r="H197" s="59">
        <v>45923</v>
      </c>
    </row>
    <row r="198" spans="1:8" ht="60" x14ac:dyDescent="0.3">
      <c r="A198" s="49">
        <v>2282</v>
      </c>
      <c r="B198" s="59">
        <v>45923</v>
      </c>
      <c r="C198" s="40" t="s">
        <v>396</v>
      </c>
      <c r="D198" s="40" t="s">
        <v>438</v>
      </c>
      <c r="E198" s="40" t="s">
        <v>161</v>
      </c>
      <c r="F198" s="40" t="s">
        <v>221</v>
      </c>
      <c r="G198" s="22" t="s">
        <v>362</v>
      </c>
      <c r="H198" s="59">
        <v>45923</v>
      </c>
    </row>
    <row r="199" spans="1:8" ht="60" x14ac:dyDescent="0.3">
      <c r="A199" s="49">
        <v>2285</v>
      </c>
      <c r="B199" s="59">
        <v>45923</v>
      </c>
      <c r="C199" s="40" t="s">
        <v>396</v>
      </c>
      <c r="D199" s="40" t="s">
        <v>439</v>
      </c>
      <c r="E199" s="40" t="s">
        <v>161</v>
      </c>
      <c r="F199" s="40" t="s">
        <v>221</v>
      </c>
      <c r="G199" s="22" t="s">
        <v>362</v>
      </c>
      <c r="H199" s="59">
        <v>45923</v>
      </c>
    </row>
    <row r="200" spans="1:8" ht="60" x14ac:dyDescent="0.3">
      <c r="A200" s="49">
        <v>2288</v>
      </c>
      <c r="B200" s="8">
        <v>45923</v>
      </c>
      <c r="C200" s="57" t="s">
        <v>433</v>
      </c>
      <c r="D200" s="23" t="s">
        <v>440</v>
      </c>
      <c r="E200" s="23" t="s">
        <v>205</v>
      </c>
      <c r="F200" s="23" t="s">
        <v>174</v>
      </c>
      <c r="G200" s="22" t="s">
        <v>362</v>
      </c>
      <c r="H200" s="8">
        <v>45923</v>
      </c>
    </row>
    <row r="201" spans="1:8" ht="60" x14ac:dyDescent="0.3">
      <c r="A201" s="49">
        <v>2289</v>
      </c>
      <c r="B201" s="8">
        <v>45924</v>
      </c>
      <c r="C201" s="57" t="s">
        <v>433</v>
      </c>
      <c r="D201" s="23" t="s">
        <v>441</v>
      </c>
      <c r="E201" s="23" t="s">
        <v>183</v>
      </c>
      <c r="F201" s="23" t="s">
        <v>174</v>
      </c>
      <c r="G201" s="22" t="s">
        <v>218</v>
      </c>
      <c r="H201" s="8">
        <v>45924</v>
      </c>
    </row>
    <row r="202" spans="1:8" ht="36" x14ac:dyDescent="0.3">
      <c r="A202" s="49">
        <v>2292</v>
      </c>
      <c r="B202" s="8">
        <v>45933</v>
      </c>
      <c r="C202" s="23" t="s">
        <v>442</v>
      </c>
      <c r="D202" s="23" t="s">
        <v>443</v>
      </c>
      <c r="E202" s="23" t="s">
        <v>183</v>
      </c>
      <c r="F202" s="23" t="s">
        <v>234</v>
      </c>
      <c r="G202" s="22" t="s">
        <v>218</v>
      </c>
      <c r="H202" s="8">
        <v>45933</v>
      </c>
    </row>
    <row r="203" spans="1:8" ht="60" x14ac:dyDescent="0.3">
      <c r="A203" s="49">
        <v>2293</v>
      </c>
      <c r="B203" s="8">
        <v>45933</v>
      </c>
      <c r="C203" s="23" t="s">
        <v>345</v>
      </c>
      <c r="D203" s="23" t="s">
        <v>443</v>
      </c>
      <c r="E203" s="23" t="s">
        <v>183</v>
      </c>
      <c r="F203" s="23" t="s">
        <v>221</v>
      </c>
      <c r="G203" s="22" t="s">
        <v>218</v>
      </c>
      <c r="H203" s="8">
        <v>45933</v>
      </c>
    </row>
    <row r="204" spans="1:8" ht="48" x14ac:dyDescent="0.3">
      <c r="A204" s="49">
        <v>2319</v>
      </c>
      <c r="B204" s="38">
        <v>45943</v>
      </c>
      <c r="C204" s="37" t="s">
        <v>407</v>
      </c>
      <c r="D204" s="40" t="s">
        <v>444</v>
      </c>
      <c r="E204" s="40" t="s">
        <v>161</v>
      </c>
      <c r="F204" s="40" t="s">
        <v>174</v>
      </c>
      <c r="G204" s="37" t="s">
        <v>218</v>
      </c>
      <c r="H204" s="38">
        <v>45943</v>
      </c>
    </row>
    <row r="205" spans="1:8" ht="60" x14ac:dyDescent="0.3">
      <c r="A205" s="49">
        <v>2331</v>
      </c>
      <c r="B205" s="8">
        <v>45954</v>
      </c>
      <c r="C205" s="22" t="s">
        <v>433</v>
      </c>
      <c r="D205" s="23" t="s">
        <v>445</v>
      </c>
      <c r="E205" s="23" t="s">
        <v>205</v>
      </c>
      <c r="F205" s="23" t="s">
        <v>174</v>
      </c>
      <c r="G205" s="22" t="s">
        <v>218</v>
      </c>
      <c r="H205" s="8">
        <v>45954</v>
      </c>
    </row>
    <row r="206" spans="1:8" ht="60" x14ac:dyDescent="0.3">
      <c r="A206" s="49">
        <v>2333</v>
      </c>
      <c r="B206" s="8">
        <v>45954</v>
      </c>
      <c r="C206" s="22" t="s">
        <v>433</v>
      </c>
      <c r="D206" s="23" t="s">
        <v>446</v>
      </c>
      <c r="E206" s="23" t="s">
        <v>205</v>
      </c>
      <c r="F206" s="23" t="s">
        <v>174</v>
      </c>
      <c r="G206" s="22" t="s">
        <v>218</v>
      </c>
      <c r="H206" s="8">
        <v>45954</v>
      </c>
    </row>
    <row r="207" spans="1:8" ht="60" x14ac:dyDescent="0.3">
      <c r="A207" s="49">
        <v>2338</v>
      </c>
      <c r="B207" s="8">
        <v>45954</v>
      </c>
      <c r="C207" s="22" t="s">
        <v>433</v>
      </c>
      <c r="D207" s="23" t="s">
        <v>447</v>
      </c>
      <c r="E207" s="23" t="s">
        <v>205</v>
      </c>
      <c r="F207" s="23" t="s">
        <v>174</v>
      </c>
      <c r="G207" s="22" t="s">
        <v>218</v>
      </c>
      <c r="H207" s="8">
        <v>46011</v>
      </c>
    </row>
    <row r="208" spans="1:8" ht="60" x14ac:dyDescent="0.3">
      <c r="A208" s="49">
        <v>2341</v>
      </c>
      <c r="B208" s="8">
        <v>45954</v>
      </c>
      <c r="C208" s="22" t="s">
        <v>433</v>
      </c>
      <c r="D208" s="23" t="s">
        <v>448</v>
      </c>
      <c r="E208" s="23" t="s">
        <v>205</v>
      </c>
      <c r="F208" s="23" t="s">
        <v>174</v>
      </c>
      <c r="G208" s="22" t="s">
        <v>218</v>
      </c>
      <c r="H208" s="8">
        <v>45954</v>
      </c>
    </row>
    <row r="209" spans="1:8" ht="60" x14ac:dyDescent="0.3">
      <c r="A209" s="49">
        <v>2357</v>
      </c>
      <c r="B209" s="8">
        <v>45957</v>
      </c>
      <c r="C209" s="22" t="s">
        <v>433</v>
      </c>
      <c r="D209" s="23" t="s">
        <v>449</v>
      </c>
      <c r="E209" s="23" t="s">
        <v>205</v>
      </c>
      <c r="F209" s="23" t="s">
        <v>221</v>
      </c>
      <c r="G209" s="22" t="s">
        <v>218</v>
      </c>
      <c r="H209" s="8">
        <v>46027</v>
      </c>
    </row>
    <row r="210" spans="1:8" ht="48" x14ac:dyDescent="0.3">
      <c r="A210" s="48">
        <v>2358</v>
      </c>
      <c r="B210" s="26">
        <v>45958</v>
      </c>
      <c r="C210" s="29" t="s">
        <v>418</v>
      </c>
      <c r="D210" s="28" t="s">
        <v>450</v>
      </c>
      <c r="E210" s="28" t="s">
        <v>227</v>
      </c>
      <c r="F210" s="28" t="s">
        <v>432</v>
      </c>
      <c r="G210" s="29" t="s">
        <v>218</v>
      </c>
      <c r="H210" s="26">
        <v>45958</v>
      </c>
    </row>
    <row r="211" spans="1:8" ht="72" x14ac:dyDescent="0.3">
      <c r="A211" s="49">
        <v>2360</v>
      </c>
      <c r="B211" s="38">
        <v>45960</v>
      </c>
      <c r="C211" s="37" t="s">
        <v>194</v>
      </c>
      <c r="D211" s="40" t="s">
        <v>355</v>
      </c>
      <c r="E211" s="40" t="s">
        <v>451</v>
      </c>
      <c r="F211" s="40" t="s">
        <v>174</v>
      </c>
      <c r="G211" s="37" t="s">
        <v>218</v>
      </c>
      <c r="H211" s="38">
        <v>45960</v>
      </c>
    </row>
    <row r="212" spans="1:8" ht="72" x14ac:dyDescent="0.3">
      <c r="A212" s="49">
        <v>2361</v>
      </c>
      <c r="B212" s="8">
        <v>45964</v>
      </c>
      <c r="C212" s="22" t="s">
        <v>194</v>
      </c>
      <c r="D212" s="23" t="s">
        <v>452</v>
      </c>
      <c r="E212" s="23" t="s">
        <v>451</v>
      </c>
      <c r="F212" s="23" t="s">
        <v>174</v>
      </c>
      <c r="G212" s="22" t="s">
        <v>362</v>
      </c>
      <c r="H212" s="8">
        <v>45964</v>
      </c>
    </row>
    <row r="213" spans="1:8" ht="84" x14ac:dyDescent="0.3">
      <c r="A213" s="49">
        <v>2392</v>
      </c>
      <c r="B213" s="8">
        <v>45975</v>
      </c>
      <c r="C213" s="22" t="s">
        <v>412</v>
      </c>
      <c r="D213" s="23" t="s">
        <v>453</v>
      </c>
      <c r="E213" s="23" t="s">
        <v>205</v>
      </c>
      <c r="F213" s="23" t="s">
        <v>221</v>
      </c>
      <c r="G213" s="22" t="s">
        <v>218</v>
      </c>
      <c r="H213" s="8">
        <v>46011</v>
      </c>
    </row>
    <row r="214" spans="1:8" ht="48" x14ac:dyDescent="0.3">
      <c r="A214" s="49">
        <v>2393</v>
      </c>
      <c r="B214" s="8">
        <v>45975</v>
      </c>
      <c r="C214" s="22" t="s">
        <v>418</v>
      </c>
      <c r="D214" s="23" t="s">
        <v>454</v>
      </c>
      <c r="E214" s="23" t="s">
        <v>398</v>
      </c>
      <c r="F214" s="23" t="s">
        <v>150</v>
      </c>
      <c r="G214" s="22" t="s">
        <v>218</v>
      </c>
      <c r="H214" s="8">
        <v>45979</v>
      </c>
    </row>
    <row r="215" spans="1:8" ht="48" x14ac:dyDescent="0.3">
      <c r="A215" s="49">
        <v>2396</v>
      </c>
      <c r="B215" s="8">
        <v>45976</v>
      </c>
      <c r="C215" s="22" t="s">
        <v>235</v>
      </c>
      <c r="D215" s="23" t="s">
        <v>455</v>
      </c>
      <c r="E215" s="23" t="s">
        <v>401</v>
      </c>
      <c r="F215" s="23" t="s">
        <v>174</v>
      </c>
      <c r="G215" s="37" t="s">
        <v>218</v>
      </c>
      <c r="H215" s="8">
        <v>45982</v>
      </c>
    </row>
    <row r="216" spans="1:8" ht="60" x14ac:dyDescent="0.3">
      <c r="A216" s="49">
        <v>2403</v>
      </c>
      <c r="B216" s="8">
        <v>45979</v>
      </c>
      <c r="C216" s="22" t="s">
        <v>456</v>
      </c>
      <c r="D216" s="23" t="s">
        <v>457</v>
      </c>
      <c r="E216" s="23" t="s">
        <v>416</v>
      </c>
      <c r="F216" s="23" t="s">
        <v>221</v>
      </c>
      <c r="G216" s="37" t="s">
        <v>218</v>
      </c>
      <c r="H216" s="8">
        <v>45979</v>
      </c>
    </row>
    <row r="217" spans="1:8" ht="60" x14ac:dyDescent="0.3">
      <c r="A217" s="49">
        <v>2404</v>
      </c>
      <c r="B217" s="8">
        <v>45979</v>
      </c>
      <c r="C217" s="22" t="s">
        <v>456</v>
      </c>
      <c r="D217" s="23" t="s">
        <v>458</v>
      </c>
      <c r="E217" s="23" t="s">
        <v>416</v>
      </c>
      <c r="F217" s="23" t="s">
        <v>221</v>
      </c>
      <c r="G217" s="37" t="s">
        <v>218</v>
      </c>
      <c r="H217" s="8">
        <v>45979</v>
      </c>
    </row>
    <row r="218" spans="1:8" ht="60" x14ac:dyDescent="0.3">
      <c r="A218" s="49">
        <v>2414</v>
      </c>
      <c r="B218" s="8">
        <v>45980</v>
      </c>
      <c r="C218" s="22" t="s">
        <v>456</v>
      </c>
      <c r="D218" s="23" t="s">
        <v>459</v>
      </c>
      <c r="E218" s="23" t="s">
        <v>416</v>
      </c>
      <c r="F218" s="23" t="s">
        <v>234</v>
      </c>
      <c r="G218" s="37" t="s">
        <v>218</v>
      </c>
      <c r="H218" s="8">
        <v>45980</v>
      </c>
    </row>
    <row r="219" spans="1:8" ht="60" x14ac:dyDescent="0.3">
      <c r="A219" s="49">
        <v>2419</v>
      </c>
      <c r="B219" s="8">
        <v>45980</v>
      </c>
      <c r="C219" s="22" t="s">
        <v>456</v>
      </c>
      <c r="D219" s="23" t="s">
        <v>460</v>
      </c>
      <c r="E219" s="23" t="s">
        <v>416</v>
      </c>
      <c r="F219" s="23" t="s">
        <v>221</v>
      </c>
      <c r="G219" s="37" t="s">
        <v>218</v>
      </c>
      <c r="H219" s="8">
        <v>45980</v>
      </c>
    </row>
    <row r="220" spans="1:8" ht="72" x14ac:dyDescent="0.3">
      <c r="A220" s="49">
        <v>2425</v>
      </c>
      <c r="B220" s="8">
        <v>45982</v>
      </c>
      <c r="C220" s="27" t="s">
        <v>184</v>
      </c>
      <c r="D220" s="23" t="s">
        <v>461</v>
      </c>
      <c r="E220" s="23" t="s">
        <v>223</v>
      </c>
      <c r="F220" s="23" t="s">
        <v>174</v>
      </c>
      <c r="G220" s="37" t="s">
        <v>218</v>
      </c>
      <c r="H220" s="8">
        <v>45982</v>
      </c>
    </row>
    <row r="221" spans="1:8" ht="72" x14ac:dyDescent="0.3">
      <c r="A221" s="49">
        <v>2427</v>
      </c>
      <c r="B221" s="8">
        <v>45982</v>
      </c>
      <c r="C221" s="27" t="s">
        <v>184</v>
      </c>
      <c r="D221" s="23" t="s">
        <v>462</v>
      </c>
      <c r="E221" s="23" t="s">
        <v>223</v>
      </c>
      <c r="F221" s="23" t="s">
        <v>174</v>
      </c>
      <c r="G221" s="37" t="s">
        <v>218</v>
      </c>
      <c r="H221" s="8">
        <v>45982</v>
      </c>
    </row>
    <row r="222" spans="1:8" ht="60" x14ac:dyDescent="0.3">
      <c r="A222" s="49">
        <v>2428</v>
      </c>
      <c r="B222" s="8">
        <v>45982</v>
      </c>
      <c r="C222" s="22" t="s">
        <v>456</v>
      </c>
      <c r="D222" s="23" t="s">
        <v>463</v>
      </c>
      <c r="E222" s="23" t="s">
        <v>416</v>
      </c>
      <c r="F222" s="23" t="s">
        <v>221</v>
      </c>
      <c r="G222" s="37" t="s">
        <v>218</v>
      </c>
      <c r="H222" s="8">
        <v>45982</v>
      </c>
    </row>
    <row r="223" spans="1:8" ht="60" x14ac:dyDescent="0.3">
      <c r="A223" s="49">
        <v>2430</v>
      </c>
      <c r="B223" s="8">
        <v>45982</v>
      </c>
      <c r="C223" s="27" t="s">
        <v>184</v>
      </c>
      <c r="D223" s="23" t="s">
        <v>464</v>
      </c>
      <c r="E223" s="23" t="s">
        <v>223</v>
      </c>
      <c r="F223" s="23" t="s">
        <v>174</v>
      </c>
      <c r="G223" s="37" t="s">
        <v>218</v>
      </c>
      <c r="H223" s="8">
        <v>45982</v>
      </c>
    </row>
    <row r="224" spans="1:8" ht="48" x14ac:dyDescent="0.3">
      <c r="A224" s="49">
        <v>2470</v>
      </c>
      <c r="B224" s="8">
        <v>45983</v>
      </c>
      <c r="C224" s="22" t="s">
        <v>407</v>
      </c>
      <c r="D224" s="23" t="s">
        <v>465</v>
      </c>
      <c r="E224" s="23" t="s">
        <v>398</v>
      </c>
      <c r="F224" s="23" t="s">
        <v>174</v>
      </c>
      <c r="G224" s="22" t="s">
        <v>218</v>
      </c>
      <c r="H224" s="8">
        <v>45983</v>
      </c>
    </row>
    <row r="225" spans="1:8" ht="60" x14ac:dyDescent="0.3">
      <c r="A225" s="49">
        <v>2475</v>
      </c>
      <c r="B225" s="8">
        <v>45987</v>
      </c>
      <c r="C225" s="22" t="s">
        <v>456</v>
      </c>
      <c r="D225" s="23" t="s">
        <v>466</v>
      </c>
      <c r="E225" s="23" t="s">
        <v>366</v>
      </c>
      <c r="F225" s="23" t="s">
        <v>150</v>
      </c>
      <c r="G225" s="22" t="s">
        <v>218</v>
      </c>
      <c r="H225" s="8">
        <v>45987</v>
      </c>
    </row>
    <row r="226" spans="1:8" ht="60" x14ac:dyDescent="0.3">
      <c r="A226" s="49">
        <v>2476</v>
      </c>
      <c r="B226" s="8">
        <v>45987</v>
      </c>
      <c r="C226" s="22" t="s">
        <v>456</v>
      </c>
      <c r="D226" s="23" t="s">
        <v>467</v>
      </c>
      <c r="E226" s="23" t="s">
        <v>366</v>
      </c>
      <c r="F226" s="23" t="s">
        <v>150</v>
      </c>
      <c r="G226" s="22" t="s">
        <v>218</v>
      </c>
      <c r="H226" s="8">
        <v>45987</v>
      </c>
    </row>
    <row r="227" spans="1:8" ht="60" x14ac:dyDescent="0.3">
      <c r="A227" s="49">
        <v>2477</v>
      </c>
      <c r="B227" s="8">
        <v>45987</v>
      </c>
      <c r="C227" s="22" t="s">
        <v>456</v>
      </c>
      <c r="D227" s="23" t="s">
        <v>468</v>
      </c>
      <c r="E227" s="23" t="s">
        <v>366</v>
      </c>
      <c r="F227" s="23" t="s">
        <v>150</v>
      </c>
      <c r="G227" s="22" t="s">
        <v>218</v>
      </c>
      <c r="H227" s="8">
        <v>45987</v>
      </c>
    </row>
    <row r="228" spans="1:8" ht="60" x14ac:dyDescent="0.3">
      <c r="A228" s="49">
        <v>2478</v>
      </c>
      <c r="B228" s="8">
        <v>45987</v>
      </c>
      <c r="C228" s="22" t="s">
        <v>456</v>
      </c>
      <c r="D228" s="23" t="s">
        <v>469</v>
      </c>
      <c r="E228" s="23" t="s">
        <v>366</v>
      </c>
      <c r="F228" s="23" t="s">
        <v>150</v>
      </c>
      <c r="G228" s="22" t="s">
        <v>218</v>
      </c>
      <c r="H228" s="8">
        <v>45987</v>
      </c>
    </row>
    <row r="229" spans="1:8" ht="60" x14ac:dyDescent="0.3">
      <c r="A229" s="49">
        <v>2481</v>
      </c>
      <c r="B229" s="8">
        <v>45989</v>
      </c>
      <c r="C229" s="22" t="s">
        <v>456</v>
      </c>
      <c r="D229" s="23" t="s">
        <v>470</v>
      </c>
      <c r="E229" s="23" t="s">
        <v>416</v>
      </c>
      <c r="F229" s="23" t="s">
        <v>234</v>
      </c>
      <c r="G229" s="22" t="s">
        <v>362</v>
      </c>
      <c r="H229" s="8">
        <v>45989</v>
      </c>
    </row>
    <row r="230" spans="1:8" ht="60" x14ac:dyDescent="0.3">
      <c r="A230" s="49">
        <v>2493</v>
      </c>
      <c r="B230" s="8">
        <v>45989</v>
      </c>
      <c r="C230" s="22" t="s">
        <v>433</v>
      </c>
      <c r="D230" s="23" t="s">
        <v>471</v>
      </c>
      <c r="E230" s="23" t="s">
        <v>183</v>
      </c>
      <c r="F230" s="23" t="s">
        <v>150</v>
      </c>
      <c r="G230" s="22" t="s">
        <v>218</v>
      </c>
      <c r="H230" s="8">
        <v>45989</v>
      </c>
    </row>
    <row r="231" spans="1:8" ht="72" x14ac:dyDescent="0.3">
      <c r="A231" s="49">
        <v>2497</v>
      </c>
      <c r="B231" s="8">
        <v>45993</v>
      </c>
      <c r="C231" s="22" t="s">
        <v>456</v>
      </c>
      <c r="D231" s="23" t="s">
        <v>472</v>
      </c>
      <c r="E231" s="23" t="s">
        <v>416</v>
      </c>
      <c r="F231" s="23" t="s">
        <v>234</v>
      </c>
      <c r="G231" s="22" t="s">
        <v>218</v>
      </c>
      <c r="H231" s="8">
        <v>45993</v>
      </c>
    </row>
    <row r="232" spans="1:8" ht="72" x14ac:dyDescent="0.3">
      <c r="A232" s="49">
        <v>2499</v>
      </c>
      <c r="B232" s="8">
        <v>45994</v>
      </c>
      <c r="C232" s="22" t="s">
        <v>456</v>
      </c>
      <c r="D232" s="23" t="s">
        <v>472</v>
      </c>
      <c r="E232" s="23" t="s">
        <v>401</v>
      </c>
      <c r="F232" s="23" t="s">
        <v>473</v>
      </c>
      <c r="G232" s="22" t="s">
        <v>218</v>
      </c>
      <c r="H232" s="8">
        <v>45994</v>
      </c>
    </row>
    <row r="233" spans="1:8" ht="60" x14ac:dyDescent="0.3">
      <c r="A233" s="49">
        <v>2500</v>
      </c>
      <c r="B233" s="8">
        <v>45994</v>
      </c>
      <c r="C233" s="22" t="s">
        <v>456</v>
      </c>
      <c r="D233" s="23" t="s">
        <v>474</v>
      </c>
      <c r="E233" s="23" t="s">
        <v>401</v>
      </c>
      <c r="F233" s="23" t="s">
        <v>473</v>
      </c>
      <c r="G233" s="22" t="s">
        <v>218</v>
      </c>
      <c r="H233" s="8">
        <v>45994</v>
      </c>
    </row>
    <row r="234" spans="1:8" ht="60" x14ac:dyDescent="0.3">
      <c r="A234" s="49">
        <v>2527</v>
      </c>
      <c r="B234" s="8">
        <v>45999</v>
      </c>
      <c r="C234" s="22" t="s">
        <v>433</v>
      </c>
      <c r="D234" s="23" t="s">
        <v>475</v>
      </c>
      <c r="E234" s="23" t="s">
        <v>161</v>
      </c>
      <c r="F234" s="23" t="s">
        <v>221</v>
      </c>
      <c r="G234" s="23" t="s">
        <v>218</v>
      </c>
      <c r="H234" s="8">
        <v>45999</v>
      </c>
    </row>
    <row r="235" spans="1:8" ht="60" x14ac:dyDescent="0.3">
      <c r="A235" s="49">
        <v>2517</v>
      </c>
      <c r="B235" s="8">
        <v>45997</v>
      </c>
      <c r="C235" s="22" t="s">
        <v>235</v>
      </c>
      <c r="D235" s="23" t="s">
        <v>476</v>
      </c>
      <c r="E235" s="23" t="s">
        <v>410</v>
      </c>
      <c r="F235" s="23" t="s">
        <v>234</v>
      </c>
      <c r="G235" s="22" t="s">
        <v>218</v>
      </c>
      <c r="H235" s="8">
        <v>45997</v>
      </c>
    </row>
    <row r="236" spans="1:8" ht="84" x14ac:dyDescent="0.3">
      <c r="A236" s="49">
        <v>2518</v>
      </c>
      <c r="B236" s="38">
        <v>45999</v>
      </c>
      <c r="C236" s="37" t="s">
        <v>456</v>
      </c>
      <c r="D236" s="40" t="s">
        <v>477</v>
      </c>
      <c r="E236" s="22" t="s">
        <v>478</v>
      </c>
      <c r="F236" s="40" t="s">
        <v>479</v>
      </c>
      <c r="G236" s="40" t="s">
        <v>218</v>
      </c>
      <c r="H236" s="38">
        <v>45999</v>
      </c>
    </row>
    <row r="237" spans="1:8" ht="60" x14ac:dyDescent="0.3">
      <c r="A237" s="49">
        <v>2519</v>
      </c>
      <c r="B237" s="38">
        <v>45999</v>
      </c>
      <c r="C237" s="37" t="s">
        <v>456</v>
      </c>
      <c r="D237" s="40" t="s">
        <v>480</v>
      </c>
      <c r="E237" s="22" t="s">
        <v>478</v>
      </c>
      <c r="F237" s="40" t="s">
        <v>479</v>
      </c>
      <c r="G237" s="40" t="s">
        <v>218</v>
      </c>
      <c r="H237" s="38">
        <v>45999</v>
      </c>
    </row>
    <row r="238" spans="1:8" ht="60" x14ac:dyDescent="0.3">
      <c r="A238" s="49">
        <v>2522</v>
      </c>
      <c r="B238" s="8">
        <v>45999</v>
      </c>
      <c r="C238" s="22" t="s">
        <v>456</v>
      </c>
      <c r="D238" s="23" t="s">
        <v>481</v>
      </c>
      <c r="E238" s="23" t="s">
        <v>416</v>
      </c>
      <c r="F238" s="23" t="s">
        <v>221</v>
      </c>
      <c r="G238" s="23" t="s">
        <v>218</v>
      </c>
      <c r="H238" s="8">
        <v>45999</v>
      </c>
    </row>
    <row r="239" spans="1:8" ht="60" x14ac:dyDescent="0.3">
      <c r="A239" s="49">
        <v>2528</v>
      </c>
      <c r="B239" s="8">
        <v>45999</v>
      </c>
      <c r="C239" s="22" t="s">
        <v>433</v>
      </c>
      <c r="D239" s="23" t="s">
        <v>482</v>
      </c>
      <c r="E239" s="23" t="s">
        <v>183</v>
      </c>
      <c r="F239" s="23" t="s">
        <v>150</v>
      </c>
      <c r="G239" s="23" t="s">
        <v>218</v>
      </c>
      <c r="H239" s="8">
        <v>45999</v>
      </c>
    </row>
    <row r="240" spans="1:8" ht="60" x14ac:dyDescent="0.3">
      <c r="A240" s="49">
        <v>2530</v>
      </c>
      <c r="B240" s="8">
        <v>45999</v>
      </c>
      <c r="C240" s="22" t="s">
        <v>433</v>
      </c>
      <c r="D240" s="23" t="s">
        <v>483</v>
      </c>
      <c r="E240" s="23" t="s">
        <v>183</v>
      </c>
      <c r="F240" s="23" t="s">
        <v>150</v>
      </c>
      <c r="G240" s="23" t="s">
        <v>218</v>
      </c>
      <c r="H240" s="8">
        <v>45999</v>
      </c>
    </row>
    <row r="241" spans="1:8" ht="60" x14ac:dyDescent="0.3">
      <c r="A241" s="49">
        <v>2540</v>
      </c>
      <c r="B241" s="8">
        <v>46000</v>
      </c>
      <c r="C241" s="22" t="s">
        <v>433</v>
      </c>
      <c r="D241" s="23" t="s">
        <v>484</v>
      </c>
      <c r="E241" s="23" t="s">
        <v>161</v>
      </c>
      <c r="F241" s="23" t="s">
        <v>221</v>
      </c>
      <c r="G241" s="23" t="s">
        <v>362</v>
      </c>
      <c r="H241" s="8">
        <v>46000</v>
      </c>
    </row>
    <row r="242" spans="1:8" ht="48" x14ac:dyDescent="0.3">
      <c r="A242" s="48">
        <v>2532</v>
      </c>
      <c r="B242" s="26">
        <v>46000</v>
      </c>
      <c r="C242" s="29" t="s">
        <v>418</v>
      </c>
      <c r="D242" s="28" t="s">
        <v>485</v>
      </c>
      <c r="E242" s="28" t="s">
        <v>227</v>
      </c>
      <c r="F242" s="28" t="s">
        <v>432</v>
      </c>
      <c r="G242" s="28" t="s">
        <v>218</v>
      </c>
      <c r="H242" s="26">
        <v>46000</v>
      </c>
    </row>
    <row r="243" spans="1:8" ht="60" x14ac:dyDescent="0.3">
      <c r="A243" s="49">
        <v>2533</v>
      </c>
      <c r="B243" s="8">
        <v>46000</v>
      </c>
      <c r="C243" s="27" t="s">
        <v>184</v>
      </c>
      <c r="D243" s="23" t="s">
        <v>486</v>
      </c>
      <c r="E243" s="23" t="s">
        <v>223</v>
      </c>
      <c r="F243" s="23" t="s">
        <v>234</v>
      </c>
      <c r="G243" s="23" t="s">
        <v>218</v>
      </c>
      <c r="H243" s="8">
        <v>46000</v>
      </c>
    </row>
    <row r="244" spans="1:8" ht="60" x14ac:dyDescent="0.3">
      <c r="A244" s="49">
        <v>2535</v>
      </c>
      <c r="B244" s="8">
        <v>46000</v>
      </c>
      <c r="C244" s="27" t="s">
        <v>184</v>
      </c>
      <c r="D244" s="23" t="s">
        <v>487</v>
      </c>
      <c r="E244" s="23" t="s">
        <v>223</v>
      </c>
      <c r="F244" s="23" t="s">
        <v>234</v>
      </c>
      <c r="G244" s="23" t="s">
        <v>362</v>
      </c>
      <c r="H244" s="8">
        <v>46000</v>
      </c>
    </row>
    <row r="245" spans="1:8" ht="72" x14ac:dyDescent="0.3">
      <c r="A245" s="49">
        <v>2537</v>
      </c>
      <c r="B245" s="8">
        <v>46000</v>
      </c>
      <c r="C245" s="27" t="s">
        <v>184</v>
      </c>
      <c r="D245" s="23" t="s">
        <v>488</v>
      </c>
      <c r="E245" s="23" t="s">
        <v>223</v>
      </c>
      <c r="F245" s="23" t="s">
        <v>234</v>
      </c>
      <c r="G245" s="23" t="s">
        <v>362</v>
      </c>
      <c r="H245" s="8">
        <v>46000</v>
      </c>
    </row>
    <row r="246" spans="1:8" ht="72" x14ac:dyDescent="0.3">
      <c r="A246" s="49">
        <v>2538</v>
      </c>
      <c r="B246" s="8">
        <v>46000</v>
      </c>
      <c r="C246" s="27" t="s">
        <v>184</v>
      </c>
      <c r="D246" s="23" t="s">
        <v>489</v>
      </c>
      <c r="E246" s="23" t="s">
        <v>223</v>
      </c>
      <c r="F246" s="23" t="s">
        <v>234</v>
      </c>
      <c r="G246" s="23" t="s">
        <v>218</v>
      </c>
      <c r="H246" s="8">
        <v>46000</v>
      </c>
    </row>
    <row r="247" spans="1:8" ht="60" x14ac:dyDescent="0.3">
      <c r="A247" s="49">
        <v>2541</v>
      </c>
      <c r="B247" s="8">
        <v>46000</v>
      </c>
      <c r="C247" s="22" t="s">
        <v>433</v>
      </c>
      <c r="D247" s="23" t="s">
        <v>490</v>
      </c>
      <c r="E247" s="23" t="s">
        <v>161</v>
      </c>
      <c r="F247" s="23" t="s">
        <v>221</v>
      </c>
      <c r="G247" s="23" t="s">
        <v>218</v>
      </c>
      <c r="H247" s="8">
        <v>46000</v>
      </c>
    </row>
    <row r="248" spans="1:8" ht="60" x14ac:dyDescent="0.3">
      <c r="A248" s="49">
        <v>2543</v>
      </c>
      <c r="B248" s="8">
        <v>46000</v>
      </c>
      <c r="C248" s="22" t="s">
        <v>433</v>
      </c>
      <c r="D248" s="23" t="s">
        <v>491</v>
      </c>
      <c r="E248" s="23" t="s">
        <v>161</v>
      </c>
      <c r="F248" s="23" t="s">
        <v>221</v>
      </c>
      <c r="G248" s="23" t="s">
        <v>218</v>
      </c>
      <c r="H248" s="8">
        <v>46000</v>
      </c>
    </row>
    <row r="249" spans="1:8" ht="60" x14ac:dyDescent="0.3">
      <c r="A249" s="49">
        <v>2545</v>
      </c>
      <c r="B249" s="8">
        <v>46000</v>
      </c>
      <c r="C249" s="22" t="s">
        <v>433</v>
      </c>
      <c r="D249" s="23" t="s">
        <v>492</v>
      </c>
      <c r="E249" s="23" t="s">
        <v>161</v>
      </c>
      <c r="F249" s="23" t="s">
        <v>221</v>
      </c>
      <c r="G249" s="23" t="s">
        <v>218</v>
      </c>
      <c r="H249" s="8">
        <v>46000</v>
      </c>
    </row>
    <row r="250" spans="1:8" ht="60" x14ac:dyDescent="0.3">
      <c r="A250" s="49">
        <v>2546</v>
      </c>
      <c r="B250" s="8">
        <v>46000</v>
      </c>
      <c r="C250" s="22" t="s">
        <v>433</v>
      </c>
      <c r="D250" s="23" t="s">
        <v>493</v>
      </c>
      <c r="E250" s="23" t="s">
        <v>161</v>
      </c>
      <c r="F250" s="23" t="s">
        <v>221</v>
      </c>
      <c r="G250" s="23" t="s">
        <v>218</v>
      </c>
      <c r="H250" s="8">
        <v>46000</v>
      </c>
    </row>
    <row r="251" spans="1:8" ht="60" x14ac:dyDescent="0.3">
      <c r="A251" s="49">
        <v>2547</v>
      </c>
      <c r="B251" s="8">
        <v>46000</v>
      </c>
      <c r="C251" s="22" t="s">
        <v>433</v>
      </c>
      <c r="D251" s="23" t="s">
        <v>494</v>
      </c>
      <c r="E251" s="23" t="s">
        <v>161</v>
      </c>
      <c r="F251" s="23" t="s">
        <v>221</v>
      </c>
      <c r="G251" s="23" t="s">
        <v>218</v>
      </c>
      <c r="H251" s="8">
        <v>46000</v>
      </c>
    </row>
    <row r="252" spans="1:8" ht="60" x14ac:dyDescent="0.3">
      <c r="A252" s="49">
        <v>2548</v>
      </c>
      <c r="B252" s="8">
        <v>46000</v>
      </c>
      <c r="C252" s="22" t="s">
        <v>433</v>
      </c>
      <c r="D252" s="23" t="s">
        <v>495</v>
      </c>
      <c r="E252" s="23" t="s">
        <v>161</v>
      </c>
      <c r="F252" s="23" t="s">
        <v>221</v>
      </c>
      <c r="G252" s="23" t="s">
        <v>362</v>
      </c>
      <c r="H252" s="8">
        <v>46000</v>
      </c>
    </row>
    <row r="253" spans="1:8" ht="60" x14ac:dyDescent="0.3">
      <c r="A253" s="49">
        <v>2550</v>
      </c>
      <c r="B253" s="8">
        <v>46000</v>
      </c>
      <c r="C253" s="22" t="s">
        <v>433</v>
      </c>
      <c r="D253" s="23" t="s">
        <v>496</v>
      </c>
      <c r="E253" s="23" t="s">
        <v>161</v>
      </c>
      <c r="F253" s="23" t="s">
        <v>221</v>
      </c>
      <c r="G253" s="23" t="s">
        <v>218</v>
      </c>
      <c r="H253" s="8">
        <v>46000</v>
      </c>
    </row>
    <row r="254" spans="1:8" ht="72" x14ac:dyDescent="0.3">
      <c r="A254" s="49">
        <v>2549</v>
      </c>
      <c r="B254" s="8">
        <v>46000</v>
      </c>
      <c r="C254" s="27" t="s">
        <v>184</v>
      </c>
      <c r="D254" s="23" t="s">
        <v>497</v>
      </c>
      <c r="E254" s="23" t="s">
        <v>223</v>
      </c>
      <c r="F254" s="23" t="s">
        <v>234</v>
      </c>
      <c r="G254" s="23" t="s">
        <v>218</v>
      </c>
      <c r="H254" s="8">
        <v>46000</v>
      </c>
    </row>
    <row r="255" spans="1:8" ht="60" x14ac:dyDescent="0.3">
      <c r="A255" s="49">
        <v>2552</v>
      </c>
      <c r="B255" s="8">
        <v>46000</v>
      </c>
      <c r="C255" s="22" t="s">
        <v>433</v>
      </c>
      <c r="D255" s="23" t="s">
        <v>498</v>
      </c>
      <c r="E255" s="23" t="s">
        <v>161</v>
      </c>
      <c r="F255" s="23" t="s">
        <v>221</v>
      </c>
      <c r="G255" s="23" t="s">
        <v>218</v>
      </c>
      <c r="H255" s="8">
        <v>46001</v>
      </c>
    </row>
    <row r="256" spans="1:8" ht="60" x14ac:dyDescent="0.3">
      <c r="A256" s="49">
        <v>2551</v>
      </c>
      <c r="B256" s="8">
        <v>46000</v>
      </c>
      <c r="C256" s="27" t="s">
        <v>184</v>
      </c>
      <c r="D256" s="23" t="s">
        <v>499</v>
      </c>
      <c r="E256" s="23" t="s">
        <v>223</v>
      </c>
      <c r="F256" s="23" t="s">
        <v>234</v>
      </c>
      <c r="G256" s="23" t="s">
        <v>362</v>
      </c>
      <c r="H256" s="8">
        <v>46000</v>
      </c>
    </row>
    <row r="257" spans="1:8" ht="60" x14ac:dyDescent="0.3">
      <c r="A257" s="49">
        <v>2553</v>
      </c>
      <c r="B257" s="8">
        <v>46001</v>
      </c>
      <c r="C257" s="22" t="s">
        <v>433</v>
      </c>
      <c r="D257" s="23" t="s">
        <v>500</v>
      </c>
      <c r="E257" s="23" t="s">
        <v>161</v>
      </c>
      <c r="F257" s="23" t="s">
        <v>221</v>
      </c>
      <c r="G257" s="23" t="s">
        <v>218</v>
      </c>
      <c r="H257" s="8">
        <v>46001</v>
      </c>
    </row>
    <row r="258" spans="1:8" ht="60" x14ac:dyDescent="0.3">
      <c r="A258" s="49">
        <v>2580</v>
      </c>
      <c r="B258" s="8">
        <v>46001</v>
      </c>
      <c r="C258" s="22" t="s">
        <v>184</v>
      </c>
      <c r="D258" s="23" t="s">
        <v>501</v>
      </c>
      <c r="E258" s="23" t="s">
        <v>223</v>
      </c>
      <c r="F258" s="23" t="s">
        <v>234</v>
      </c>
      <c r="G258" s="60" t="s">
        <v>362</v>
      </c>
      <c r="H258" s="8">
        <v>46001</v>
      </c>
    </row>
    <row r="259" spans="1:8" ht="60" x14ac:dyDescent="0.3">
      <c r="A259" s="49">
        <v>2608</v>
      </c>
      <c r="B259" s="61">
        <v>46003</v>
      </c>
      <c r="C259" s="22" t="s">
        <v>433</v>
      </c>
      <c r="D259" s="23" t="s">
        <v>502</v>
      </c>
      <c r="E259" s="23" t="s">
        <v>161</v>
      </c>
      <c r="F259" s="23" t="s">
        <v>221</v>
      </c>
      <c r="G259" s="22" t="s">
        <v>218</v>
      </c>
      <c r="H259" s="61">
        <v>46003</v>
      </c>
    </row>
    <row r="260" spans="1:8" ht="48" x14ac:dyDescent="0.3">
      <c r="A260" s="49">
        <v>2582</v>
      </c>
      <c r="B260" s="8">
        <v>46001</v>
      </c>
      <c r="C260" s="22" t="s">
        <v>503</v>
      </c>
      <c r="D260" s="23" t="s">
        <v>504</v>
      </c>
      <c r="E260" s="23" t="s">
        <v>505</v>
      </c>
      <c r="F260" s="23" t="s">
        <v>174</v>
      </c>
      <c r="G260" s="60" t="s">
        <v>218</v>
      </c>
      <c r="H260" s="8">
        <v>46001</v>
      </c>
    </row>
    <row r="261" spans="1:8" ht="60" x14ac:dyDescent="0.3">
      <c r="A261" s="49">
        <v>2584</v>
      </c>
      <c r="B261" s="61">
        <v>46002</v>
      </c>
      <c r="C261" s="27" t="s">
        <v>456</v>
      </c>
      <c r="D261" s="62" t="s">
        <v>467</v>
      </c>
      <c r="E261" s="63" t="s">
        <v>506</v>
      </c>
      <c r="F261" s="62" t="s">
        <v>150</v>
      </c>
      <c r="G261" s="64" t="s">
        <v>218</v>
      </c>
      <c r="H261" s="61">
        <v>46002</v>
      </c>
    </row>
    <row r="262" spans="1:8" ht="60" x14ac:dyDescent="0.3">
      <c r="A262" s="49">
        <v>2585</v>
      </c>
      <c r="B262" s="61">
        <v>46002</v>
      </c>
      <c r="C262" s="27" t="s">
        <v>456</v>
      </c>
      <c r="D262" s="62" t="s">
        <v>466</v>
      </c>
      <c r="E262" s="63" t="s">
        <v>506</v>
      </c>
      <c r="F262" s="62" t="s">
        <v>150</v>
      </c>
      <c r="G262" s="64" t="s">
        <v>218</v>
      </c>
      <c r="H262" s="61">
        <v>46002</v>
      </c>
    </row>
    <row r="263" spans="1:8" ht="60" x14ac:dyDescent="0.3">
      <c r="A263" s="49">
        <v>2587</v>
      </c>
      <c r="B263" s="61">
        <v>46002</v>
      </c>
      <c r="C263" s="27" t="s">
        <v>456</v>
      </c>
      <c r="D263" s="62" t="s">
        <v>468</v>
      </c>
      <c r="E263" s="63" t="s">
        <v>506</v>
      </c>
      <c r="F263" s="62" t="s">
        <v>150</v>
      </c>
      <c r="G263" s="64" t="s">
        <v>218</v>
      </c>
      <c r="H263" s="61">
        <v>46002</v>
      </c>
    </row>
    <row r="264" spans="1:8" ht="60" x14ac:dyDescent="0.3">
      <c r="A264" s="49">
        <v>2593</v>
      </c>
      <c r="B264" s="61">
        <v>46002</v>
      </c>
      <c r="C264" s="27" t="s">
        <v>456</v>
      </c>
      <c r="D264" s="62" t="s">
        <v>507</v>
      </c>
      <c r="E264" s="23" t="s">
        <v>508</v>
      </c>
      <c r="F264" s="62" t="s">
        <v>234</v>
      </c>
      <c r="G264" s="27" t="s">
        <v>218</v>
      </c>
      <c r="H264" s="61">
        <v>46002</v>
      </c>
    </row>
    <row r="265" spans="1:8" ht="60" x14ac:dyDescent="0.3">
      <c r="A265" s="49">
        <v>2594</v>
      </c>
      <c r="B265" s="61">
        <v>46002</v>
      </c>
      <c r="C265" s="27" t="s">
        <v>456</v>
      </c>
      <c r="D265" s="62" t="s">
        <v>459</v>
      </c>
      <c r="E265" s="23" t="s">
        <v>508</v>
      </c>
      <c r="F265" s="62" t="s">
        <v>234</v>
      </c>
      <c r="G265" s="27" t="s">
        <v>362</v>
      </c>
      <c r="H265" s="61">
        <v>46002</v>
      </c>
    </row>
    <row r="266" spans="1:8" ht="60" x14ac:dyDescent="0.3">
      <c r="A266" s="49">
        <v>2595</v>
      </c>
      <c r="B266" s="61">
        <v>46002</v>
      </c>
      <c r="C266" s="27" t="s">
        <v>456</v>
      </c>
      <c r="D266" s="62" t="s">
        <v>509</v>
      </c>
      <c r="E266" s="23" t="s">
        <v>508</v>
      </c>
      <c r="F266" s="62" t="s">
        <v>234</v>
      </c>
      <c r="G266" s="27" t="s">
        <v>362</v>
      </c>
      <c r="H266" s="61">
        <v>46002</v>
      </c>
    </row>
    <row r="267" spans="1:8" ht="60" x14ac:dyDescent="0.3">
      <c r="A267" s="49">
        <v>2596</v>
      </c>
      <c r="B267" s="61">
        <v>46002</v>
      </c>
      <c r="C267" s="27" t="s">
        <v>456</v>
      </c>
      <c r="D267" s="62" t="s">
        <v>480</v>
      </c>
      <c r="E267" s="23" t="s">
        <v>508</v>
      </c>
      <c r="F267" s="62" t="s">
        <v>234</v>
      </c>
      <c r="G267" s="27" t="s">
        <v>362</v>
      </c>
      <c r="H267" s="61">
        <v>46002</v>
      </c>
    </row>
    <row r="268" spans="1:8" ht="84" x14ac:dyDescent="0.3">
      <c r="A268" s="49">
        <v>2597</v>
      </c>
      <c r="B268" s="61">
        <v>46002</v>
      </c>
      <c r="C268" s="27" t="s">
        <v>456</v>
      </c>
      <c r="D268" s="62" t="s">
        <v>477</v>
      </c>
      <c r="E268" s="23" t="s">
        <v>508</v>
      </c>
      <c r="F268" s="62" t="s">
        <v>234</v>
      </c>
      <c r="G268" s="27" t="s">
        <v>362</v>
      </c>
      <c r="H268" s="61">
        <v>46002</v>
      </c>
    </row>
    <row r="269" spans="1:8" ht="60" x14ac:dyDescent="0.3">
      <c r="A269" s="49">
        <v>2598</v>
      </c>
      <c r="B269" s="61">
        <v>46002</v>
      </c>
      <c r="C269" s="27" t="s">
        <v>456</v>
      </c>
      <c r="D269" s="62" t="s">
        <v>474</v>
      </c>
      <c r="E269" s="23" t="s">
        <v>508</v>
      </c>
      <c r="F269" s="62" t="s">
        <v>234</v>
      </c>
      <c r="G269" s="27" t="s">
        <v>218</v>
      </c>
      <c r="H269" s="61">
        <v>46002</v>
      </c>
    </row>
    <row r="270" spans="1:8" ht="60" x14ac:dyDescent="0.3">
      <c r="A270" s="49">
        <v>2599</v>
      </c>
      <c r="B270" s="61">
        <v>46002</v>
      </c>
      <c r="C270" s="27" t="s">
        <v>456</v>
      </c>
      <c r="D270" s="62" t="s">
        <v>510</v>
      </c>
      <c r="E270" s="23" t="s">
        <v>508</v>
      </c>
      <c r="F270" s="62" t="s">
        <v>234</v>
      </c>
      <c r="G270" s="22" t="s">
        <v>218</v>
      </c>
      <c r="H270" s="61">
        <v>46002</v>
      </c>
    </row>
    <row r="271" spans="1:8" ht="60" x14ac:dyDescent="0.3">
      <c r="A271" s="49">
        <v>2600</v>
      </c>
      <c r="B271" s="61">
        <v>46002</v>
      </c>
      <c r="C271" s="27" t="s">
        <v>456</v>
      </c>
      <c r="D271" s="62" t="s">
        <v>511</v>
      </c>
      <c r="E271" s="23" t="s">
        <v>508</v>
      </c>
      <c r="F271" s="62" t="s">
        <v>234</v>
      </c>
      <c r="G271" s="27" t="s">
        <v>362</v>
      </c>
      <c r="H271" s="61">
        <v>46002</v>
      </c>
    </row>
    <row r="272" spans="1:8" ht="60" x14ac:dyDescent="0.3">
      <c r="A272" s="49">
        <v>2601</v>
      </c>
      <c r="B272" s="61">
        <v>46002</v>
      </c>
      <c r="C272" s="27" t="s">
        <v>456</v>
      </c>
      <c r="D272" s="62" t="s">
        <v>512</v>
      </c>
      <c r="E272" s="23" t="s">
        <v>508</v>
      </c>
      <c r="F272" s="62" t="s">
        <v>234</v>
      </c>
      <c r="G272" s="22" t="s">
        <v>218</v>
      </c>
      <c r="H272" s="61">
        <v>46002</v>
      </c>
    </row>
    <row r="273" spans="1:8" ht="84" x14ac:dyDescent="0.3">
      <c r="A273" s="49">
        <v>2611</v>
      </c>
      <c r="B273" s="61">
        <v>46003</v>
      </c>
      <c r="C273" s="22" t="s">
        <v>456</v>
      </c>
      <c r="D273" s="23" t="s">
        <v>477</v>
      </c>
      <c r="E273" s="23" t="s">
        <v>398</v>
      </c>
      <c r="F273" s="23" t="s">
        <v>473</v>
      </c>
      <c r="G273" s="22" t="s">
        <v>218</v>
      </c>
      <c r="H273" s="61">
        <v>46003</v>
      </c>
    </row>
    <row r="274" spans="1:8" ht="60" x14ac:dyDescent="0.3">
      <c r="A274" s="49">
        <v>2612</v>
      </c>
      <c r="B274" s="61">
        <v>46003</v>
      </c>
      <c r="C274" s="22" t="s">
        <v>456</v>
      </c>
      <c r="D274" s="23" t="s">
        <v>459</v>
      </c>
      <c r="E274" s="23" t="s">
        <v>398</v>
      </c>
      <c r="F274" s="23" t="s">
        <v>473</v>
      </c>
      <c r="G274" s="22" t="s">
        <v>218</v>
      </c>
      <c r="H274" s="61">
        <v>46003</v>
      </c>
    </row>
    <row r="275" spans="1:8" ht="60" x14ac:dyDescent="0.3">
      <c r="A275" s="49">
        <v>2613</v>
      </c>
      <c r="B275" s="61">
        <v>46003</v>
      </c>
      <c r="C275" s="27" t="s">
        <v>184</v>
      </c>
      <c r="D275" s="62" t="s">
        <v>513</v>
      </c>
      <c r="E275" s="23" t="s">
        <v>223</v>
      </c>
      <c r="F275" s="62" t="s">
        <v>234</v>
      </c>
      <c r="G275" s="27" t="s">
        <v>218</v>
      </c>
      <c r="H275" s="61">
        <v>46003</v>
      </c>
    </row>
    <row r="276" spans="1:8" ht="60" x14ac:dyDescent="0.3">
      <c r="A276" s="49">
        <v>2614</v>
      </c>
      <c r="B276" s="61">
        <v>46003</v>
      </c>
      <c r="C276" s="27" t="s">
        <v>456</v>
      </c>
      <c r="D276" s="62" t="s">
        <v>514</v>
      </c>
      <c r="E276" s="23" t="s">
        <v>161</v>
      </c>
      <c r="F276" s="62" t="s">
        <v>150</v>
      </c>
      <c r="G276" s="27" t="s">
        <v>218</v>
      </c>
      <c r="H276" s="61">
        <v>46003</v>
      </c>
    </row>
    <row r="277" spans="1:8" ht="60" x14ac:dyDescent="0.3">
      <c r="A277" s="49">
        <v>2616</v>
      </c>
      <c r="B277" s="61">
        <v>46003</v>
      </c>
      <c r="C277" s="27" t="s">
        <v>456</v>
      </c>
      <c r="D277" s="62" t="s">
        <v>515</v>
      </c>
      <c r="E277" s="23" t="s">
        <v>161</v>
      </c>
      <c r="F277" s="62" t="s">
        <v>150</v>
      </c>
      <c r="G277" s="27" t="s">
        <v>218</v>
      </c>
      <c r="H277" s="61">
        <v>46003</v>
      </c>
    </row>
    <row r="278" spans="1:8" ht="60" x14ac:dyDescent="0.3">
      <c r="A278" s="49">
        <v>2617</v>
      </c>
      <c r="B278" s="61">
        <v>46003</v>
      </c>
      <c r="C278" s="27" t="s">
        <v>456</v>
      </c>
      <c r="D278" s="62" t="s">
        <v>481</v>
      </c>
      <c r="E278" s="23" t="s">
        <v>161</v>
      </c>
      <c r="F278" s="62" t="s">
        <v>150</v>
      </c>
      <c r="G278" s="27" t="s">
        <v>218</v>
      </c>
      <c r="H278" s="61">
        <v>46003</v>
      </c>
    </row>
    <row r="279" spans="1:8" ht="60" x14ac:dyDescent="0.3">
      <c r="A279" s="49">
        <v>2618</v>
      </c>
      <c r="B279" s="61">
        <v>46003</v>
      </c>
      <c r="C279" s="27" t="s">
        <v>456</v>
      </c>
      <c r="D279" s="62" t="s">
        <v>481</v>
      </c>
      <c r="E279" s="63" t="s">
        <v>506</v>
      </c>
      <c r="F279" s="62" t="s">
        <v>150</v>
      </c>
      <c r="G279" s="27" t="s">
        <v>218</v>
      </c>
      <c r="H279" s="61">
        <v>46003</v>
      </c>
    </row>
    <row r="280" spans="1:8" ht="60" x14ac:dyDescent="0.3">
      <c r="A280" s="49">
        <v>2619</v>
      </c>
      <c r="B280" s="61">
        <v>46003</v>
      </c>
      <c r="C280" s="27" t="s">
        <v>456</v>
      </c>
      <c r="D280" s="62" t="s">
        <v>516</v>
      </c>
      <c r="E280" s="23" t="s">
        <v>161</v>
      </c>
      <c r="F280" s="62" t="s">
        <v>150</v>
      </c>
      <c r="G280" s="27" t="s">
        <v>218</v>
      </c>
      <c r="H280" s="61">
        <v>46003</v>
      </c>
    </row>
    <row r="281" spans="1:8" ht="60" x14ac:dyDescent="0.3">
      <c r="A281" s="49">
        <v>2620</v>
      </c>
      <c r="B281" s="61">
        <v>46003</v>
      </c>
      <c r="C281" s="27" t="s">
        <v>456</v>
      </c>
      <c r="D281" s="62" t="s">
        <v>517</v>
      </c>
      <c r="E281" s="23" t="s">
        <v>161</v>
      </c>
      <c r="F281" s="62" t="s">
        <v>518</v>
      </c>
      <c r="G281" s="27" t="s">
        <v>218</v>
      </c>
      <c r="H281" s="61">
        <v>46003</v>
      </c>
    </row>
    <row r="282" spans="1:8" ht="60" x14ac:dyDescent="0.3">
      <c r="A282" s="49">
        <v>2621</v>
      </c>
      <c r="B282" s="61">
        <v>46003</v>
      </c>
      <c r="C282" s="27" t="s">
        <v>456</v>
      </c>
      <c r="D282" s="62" t="s">
        <v>466</v>
      </c>
      <c r="E282" s="23" t="s">
        <v>161</v>
      </c>
      <c r="F282" s="62" t="s">
        <v>150</v>
      </c>
      <c r="G282" s="27" t="s">
        <v>218</v>
      </c>
      <c r="H282" s="61">
        <v>46003</v>
      </c>
    </row>
    <row r="283" spans="1:8" ht="60" x14ac:dyDescent="0.3">
      <c r="A283" s="49">
        <v>2622</v>
      </c>
      <c r="B283" s="61">
        <v>46003</v>
      </c>
      <c r="C283" s="27" t="s">
        <v>456</v>
      </c>
      <c r="D283" s="62" t="s">
        <v>467</v>
      </c>
      <c r="E283" s="23" t="s">
        <v>161</v>
      </c>
      <c r="F283" s="62" t="s">
        <v>518</v>
      </c>
      <c r="G283" s="27" t="s">
        <v>218</v>
      </c>
      <c r="H283" s="61">
        <v>46003</v>
      </c>
    </row>
    <row r="284" spans="1:8" ht="60" x14ac:dyDescent="0.3">
      <c r="A284" s="49">
        <v>2623</v>
      </c>
      <c r="B284" s="61">
        <v>46003</v>
      </c>
      <c r="C284" s="27" t="s">
        <v>456</v>
      </c>
      <c r="D284" s="62" t="s">
        <v>469</v>
      </c>
      <c r="E284" s="23" t="s">
        <v>161</v>
      </c>
      <c r="F284" s="62" t="s">
        <v>150</v>
      </c>
      <c r="G284" s="27" t="s">
        <v>218</v>
      </c>
      <c r="H284" s="61">
        <v>46003</v>
      </c>
    </row>
    <row r="285" spans="1:8" ht="84" x14ac:dyDescent="0.3">
      <c r="A285" s="49">
        <v>2632</v>
      </c>
      <c r="B285" s="61">
        <v>46006</v>
      </c>
      <c r="C285" s="27" t="s">
        <v>407</v>
      </c>
      <c r="D285" s="62" t="s">
        <v>519</v>
      </c>
      <c r="E285" s="23" t="s">
        <v>520</v>
      </c>
      <c r="F285" s="62" t="s">
        <v>174</v>
      </c>
      <c r="G285" s="27" t="s">
        <v>218</v>
      </c>
      <c r="H285" s="61">
        <v>46006</v>
      </c>
    </row>
    <row r="286" spans="1:8" ht="60" x14ac:dyDescent="0.3">
      <c r="A286" s="65">
        <v>2643</v>
      </c>
      <c r="B286" s="61">
        <v>46007</v>
      </c>
      <c r="C286" s="27" t="s">
        <v>456</v>
      </c>
      <c r="D286" s="62" t="s">
        <v>521</v>
      </c>
      <c r="E286" s="23" t="s">
        <v>478</v>
      </c>
      <c r="F286" s="62" t="s">
        <v>473</v>
      </c>
      <c r="G286" s="27" t="s">
        <v>218</v>
      </c>
      <c r="H286" s="61">
        <v>46007</v>
      </c>
    </row>
    <row r="287" spans="1:8" ht="60" x14ac:dyDescent="0.3">
      <c r="A287" s="65">
        <v>2644</v>
      </c>
      <c r="B287" s="61">
        <v>46007</v>
      </c>
      <c r="C287" s="27" t="s">
        <v>456</v>
      </c>
      <c r="D287" s="62" t="s">
        <v>522</v>
      </c>
      <c r="E287" s="23" t="s">
        <v>478</v>
      </c>
      <c r="F287" s="62" t="s">
        <v>473</v>
      </c>
      <c r="G287" s="27" t="s">
        <v>218</v>
      </c>
      <c r="H287" s="61">
        <v>46007</v>
      </c>
    </row>
    <row r="288" spans="1:8" ht="84" x14ac:dyDescent="0.3">
      <c r="A288" s="65">
        <v>2655</v>
      </c>
      <c r="B288" s="61">
        <v>46008</v>
      </c>
      <c r="C288" s="27" t="s">
        <v>412</v>
      </c>
      <c r="D288" s="23" t="s">
        <v>523</v>
      </c>
      <c r="E288" s="23" t="s">
        <v>524</v>
      </c>
      <c r="F288" s="62" t="s">
        <v>174</v>
      </c>
      <c r="G288" s="27" t="s">
        <v>218</v>
      </c>
      <c r="H288" s="61">
        <v>46008</v>
      </c>
    </row>
    <row r="289" spans="1:8" ht="60" x14ac:dyDescent="0.3">
      <c r="A289" s="65">
        <v>2661</v>
      </c>
      <c r="B289" s="61">
        <v>46009</v>
      </c>
      <c r="C289" s="27" t="s">
        <v>456</v>
      </c>
      <c r="D289" s="62" t="s">
        <v>468</v>
      </c>
      <c r="E289" s="23" t="s">
        <v>525</v>
      </c>
      <c r="F289" s="62" t="s">
        <v>150</v>
      </c>
      <c r="G289" s="27" t="s">
        <v>218</v>
      </c>
      <c r="H289" s="61">
        <v>46009</v>
      </c>
    </row>
    <row r="290" spans="1:8" ht="60" x14ac:dyDescent="0.3">
      <c r="A290" s="65">
        <v>2662</v>
      </c>
      <c r="B290" s="61">
        <v>46009</v>
      </c>
      <c r="C290" s="22" t="s">
        <v>456</v>
      </c>
      <c r="D290" s="62" t="s">
        <v>466</v>
      </c>
      <c r="E290" s="23" t="s">
        <v>525</v>
      </c>
      <c r="F290" s="62" t="s">
        <v>150</v>
      </c>
      <c r="G290" s="27" t="s">
        <v>218</v>
      </c>
      <c r="H290" s="61">
        <v>46009</v>
      </c>
    </row>
    <row r="291" spans="1:8" ht="60" x14ac:dyDescent="0.3">
      <c r="A291" s="65">
        <v>2663</v>
      </c>
      <c r="B291" s="61">
        <v>46009</v>
      </c>
      <c r="C291" s="27" t="s">
        <v>456</v>
      </c>
      <c r="D291" s="62" t="s">
        <v>467</v>
      </c>
      <c r="E291" s="23" t="s">
        <v>525</v>
      </c>
      <c r="F291" s="62" t="s">
        <v>150</v>
      </c>
      <c r="G291" s="27" t="s">
        <v>218</v>
      </c>
      <c r="H291" s="61">
        <v>46009</v>
      </c>
    </row>
    <row r="292" spans="1:8" ht="72" x14ac:dyDescent="0.3">
      <c r="A292" s="65">
        <v>2665</v>
      </c>
      <c r="B292" s="61">
        <v>46009</v>
      </c>
      <c r="C292" s="27" t="s">
        <v>235</v>
      </c>
      <c r="D292" s="62" t="s">
        <v>526</v>
      </c>
      <c r="E292" s="23" t="s">
        <v>183</v>
      </c>
      <c r="F292" s="62" t="s">
        <v>221</v>
      </c>
      <c r="G292" s="27" t="s">
        <v>218</v>
      </c>
      <c r="H292" s="61">
        <v>46009</v>
      </c>
    </row>
    <row r="293" spans="1:8" ht="72" x14ac:dyDescent="0.3">
      <c r="A293" s="65">
        <v>2674</v>
      </c>
      <c r="B293" s="61">
        <v>46011</v>
      </c>
      <c r="C293" s="27" t="s">
        <v>527</v>
      </c>
      <c r="D293" s="62" t="s">
        <v>528</v>
      </c>
      <c r="E293" s="23" t="s">
        <v>529</v>
      </c>
      <c r="F293" s="62" t="s">
        <v>174</v>
      </c>
      <c r="G293" s="22" t="s">
        <v>362</v>
      </c>
      <c r="H293" s="61">
        <v>46011</v>
      </c>
    </row>
    <row r="294" spans="1:8" ht="60" x14ac:dyDescent="0.3">
      <c r="A294" s="65">
        <v>2726</v>
      </c>
      <c r="B294" s="61">
        <v>46015</v>
      </c>
      <c r="C294" s="27" t="s">
        <v>433</v>
      </c>
      <c r="D294" s="62" t="s">
        <v>530</v>
      </c>
      <c r="E294" s="23" t="s">
        <v>183</v>
      </c>
      <c r="F294" s="62" t="s">
        <v>221</v>
      </c>
      <c r="G294" s="27" t="s">
        <v>218</v>
      </c>
      <c r="H294" s="61">
        <v>46015</v>
      </c>
    </row>
    <row r="295" spans="1:8" ht="60" x14ac:dyDescent="0.3">
      <c r="A295" s="65">
        <v>2727</v>
      </c>
      <c r="B295" s="61">
        <v>46015</v>
      </c>
      <c r="C295" s="27" t="s">
        <v>433</v>
      </c>
      <c r="D295" s="62" t="s">
        <v>531</v>
      </c>
      <c r="E295" s="23" t="s">
        <v>205</v>
      </c>
      <c r="F295" s="62" t="s">
        <v>234</v>
      </c>
      <c r="G295" s="27" t="s">
        <v>218</v>
      </c>
      <c r="H295" s="61">
        <v>46024</v>
      </c>
    </row>
    <row r="296" spans="1:8" ht="60" x14ac:dyDescent="0.3">
      <c r="A296" s="65">
        <v>2728</v>
      </c>
      <c r="B296" s="61">
        <v>46015</v>
      </c>
      <c r="C296" s="27" t="s">
        <v>433</v>
      </c>
      <c r="D296" s="62" t="s">
        <v>532</v>
      </c>
      <c r="E296" s="23" t="s">
        <v>205</v>
      </c>
      <c r="F296" s="62" t="s">
        <v>221</v>
      </c>
      <c r="G296" s="27" t="s">
        <v>218</v>
      </c>
      <c r="H296" s="61">
        <v>46024</v>
      </c>
    </row>
    <row r="297" spans="1:8" ht="60" x14ac:dyDescent="0.3">
      <c r="A297" s="65">
        <v>2729</v>
      </c>
      <c r="B297" s="61">
        <v>46015</v>
      </c>
      <c r="C297" s="27" t="s">
        <v>433</v>
      </c>
      <c r="D297" s="62" t="s">
        <v>533</v>
      </c>
      <c r="E297" s="23" t="s">
        <v>205</v>
      </c>
      <c r="F297" s="62" t="s">
        <v>234</v>
      </c>
      <c r="G297" s="22" t="s">
        <v>218</v>
      </c>
      <c r="H297" s="61">
        <v>46015</v>
      </c>
    </row>
    <row r="298" spans="1:8" ht="60" x14ac:dyDescent="0.3">
      <c r="A298" s="65">
        <v>2730</v>
      </c>
      <c r="B298" s="61">
        <v>46015</v>
      </c>
      <c r="C298" s="27" t="s">
        <v>433</v>
      </c>
      <c r="D298" s="62" t="s">
        <v>534</v>
      </c>
      <c r="E298" s="23" t="s">
        <v>205</v>
      </c>
      <c r="F298" s="62" t="s">
        <v>221</v>
      </c>
      <c r="G298" s="22" t="s">
        <v>218</v>
      </c>
      <c r="H298" s="61">
        <v>46015</v>
      </c>
    </row>
    <row r="299" spans="1:8" ht="60" x14ac:dyDescent="0.3">
      <c r="A299" s="65">
        <v>2731</v>
      </c>
      <c r="B299" s="61">
        <v>46015</v>
      </c>
      <c r="C299" s="27" t="s">
        <v>433</v>
      </c>
      <c r="D299" s="62" t="s">
        <v>535</v>
      </c>
      <c r="E299" s="23" t="s">
        <v>205</v>
      </c>
      <c r="F299" s="62" t="s">
        <v>221</v>
      </c>
      <c r="G299" s="27" t="s">
        <v>218</v>
      </c>
      <c r="H299" s="61">
        <v>46027</v>
      </c>
    </row>
    <row r="300" spans="1:8" ht="60" x14ac:dyDescent="0.3">
      <c r="A300" s="65">
        <v>2733</v>
      </c>
      <c r="B300" s="61">
        <v>46015</v>
      </c>
      <c r="C300" s="27" t="s">
        <v>433</v>
      </c>
      <c r="D300" s="62" t="s">
        <v>536</v>
      </c>
      <c r="E300" s="23" t="s">
        <v>205</v>
      </c>
      <c r="F300" s="62" t="s">
        <v>234</v>
      </c>
      <c r="G300" s="27" t="s">
        <v>218</v>
      </c>
      <c r="H300" s="61">
        <v>46015</v>
      </c>
    </row>
    <row r="301" spans="1:8" ht="72" x14ac:dyDescent="0.3">
      <c r="A301" s="65">
        <v>2732</v>
      </c>
      <c r="B301" s="61">
        <v>46015</v>
      </c>
      <c r="C301" s="27" t="s">
        <v>527</v>
      </c>
      <c r="D301" s="62" t="s">
        <v>537</v>
      </c>
      <c r="E301" s="23" t="s">
        <v>538</v>
      </c>
      <c r="F301" s="62" t="s">
        <v>174</v>
      </c>
      <c r="G301" s="27" t="s">
        <v>218</v>
      </c>
      <c r="H301" s="61">
        <v>46015</v>
      </c>
    </row>
    <row r="302" spans="1:8" ht="60" x14ac:dyDescent="0.3">
      <c r="A302" s="65">
        <v>2735</v>
      </c>
      <c r="B302" s="61">
        <v>46016</v>
      </c>
      <c r="C302" s="27" t="s">
        <v>433</v>
      </c>
      <c r="D302" s="62" t="s">
        <v>539</v>
      </c>
      <c r="E302" s="23" t="s">
        <v>183</v>
      </c>
      <c r="F302" s="62" t="s">
        <v>221</v>
      </c>
      <c r="G302" s="27" t="s">
        <v>218</v>
      </c>
      <c r="H302" s="61">
        <v>46016</v>
      </c>
    </row>
    <row r="303" spans="1:8" ht="60" x14ac:dyDescent="0.3">
      <c r="A303" s="65">
        <v>2734</v>
      </c>
      <c r="B303" s="61">
        <v>46015</v>
      </c>
      <c r="C303" s="27" t="s">
        <v>456</v>
      </c>
      <c r="D303" s="62" t="s">
        <v>469</v>
      </c>
      <c r="E303" s="23" t="s">
        <v>540</v>
      </c>
      <c r="F303" s="62" t="s">
        <v>150</v>
      </c>
      <c r="G303" s="27" t="s">
        <v>218</v>
      </c>
      <c r="H303" s="61">
        <v>46015</v>
      </c>
    </row>
    <row r="304" spans="1:8" ht="72" x14ac:dyDescent="0.3">
      <c r="A304" s="65">
        <v>2737</v>
      </c>
      <c r="B304" s="61">
        <v>46016</v>
      </c>
      <c r="C304" s="27" t="s">
        <v>194</v>
      </c>
      <c r="D304" s="62" t="s">
        <v>541</v>
      </c>
      <c r="E304" s="23" t="s">
        <v>223</v>
      </c>
      <c r="F304" s="62" t="s">
        <v>234</v>
      </c>
      <c r="G304" s="27" t="s">
        <v>218</v>
      </c>
      <c r="H304" s="61">
        <v>46016</v>
      </c>
    </row>
    <row r="305" spans="1:8" ht="72" x14ac:dyDescent="0.3">
      <c r="A305" s="65">
        <v>2738</v>
      </c>
      <c r="B305" s="61">
        <v>46016</v>
      </c>
      <c r="C305" s="27" t="s">
        <v>194</v>
      </c>
      <c r="D305" s="62" t="s">
        <v>542</v>
      </c>
      <c r="E305" s="23" t="s">
        <v>223</v>
      </c>
      <c r="F305" s="62" t="s">
        <v>234</v>
      </c>
      <c r="G305" s="27" t="s">
        <v>218</v>
      </c>
      <c r="H305" s="61">
        <v>46016</v>
      </c>
    </row>
    <row r="306" spans="1:8" ht="72" x14ac:dyDescent="0.3">
      <c r="A306" s="65">
        <v>2739</v>
      </c>
      <c r="B306" s="61">
        <v>46016</v>
      </c>
      <c r="C306" s="27" t="s">
        <v>194</v>
      </c>
      <c r="D306" s="62" t="s">
        <v>543</v>
      </c>
      <c r="E306" s="23" t="s">
        <v>223</v>
      </c>
      <c r="F306" s="62" t="s">
        <v>234</v>
      </c>
      <c r="G306" s="27" t="s">
        <v>218</v>
      </c>
      <c r="H306" s="61">
        <v>46016</v>
      </c>
    </row>
    <row r="307" spans="1:8" ht="60" x14ac:dyDescent="0.3">
      <c r="A307" s="65">
        <v>2740</v>
      </c>
      <c r="B307" s="61">
        <v>46017</v>
      </c>
      <c r="C307" s="27" t="s">
        <v>433</v>
      </c>
      <c r="D307" s="62" t="s">
        <v>544</v>
      </c>
      <c r="E307" s="23" t="s">
        <v>205</v>
      </c>
      <c r="F307" s="62" t="s">
        <v>234</v>
      </c>
      <c r="G307" s="27" t="s">
        <v>218</v>
      </c>
      <c r="H307" s="61">
        <v>46017</v>
      </c>
    </row>
    <row r="308" spans="1:8" ht="36" x14ac:dyDescent="0.3">
      <c r="A308" s="65">
        <v>2750</v>
      </c>
      <c r="B308" s="61">
        <v>46024</v>
      </c>
      <c r="C308" s="27" t="s">
        <v>545</v>
      </c>
      <c r="D308" s="62" t="s">
        <v>546</v>
      </c>
      <c r="E308" s="62" t="s">
        <v>525</v>
      </c>
      <c r="F308" s="62" t="s">
        <v>234</v>
      </c>
      <c r="G308" s="27" t="s">
        <v>218</v>
      </c>
      <c r="H308" s="61">
        <v>46024</v>
      </c>
    </row>
    <row r="309" spans="1:8" ht="48" x14ac:dyDescent="0.3">
      <c r="A309" s="65">
        <v>2751</v>
      </c>
      <c r="B309" s="61">
        <v>46024</v>
      </c>
      <c r="C309" s="27" t="s">
        <v>356</v>
      </c>
      <c r="D309" s="62" t="s">
        <v>547</v>
      </c>
      <c r="E309" s="62" t="s">
        <v>366</v>
      </c>
      <c r="F309" s="22" t="s">
        <v>174</v>
      </c>
      <c r="G309" s="27" t="s">
        <v>218</v>
      </c>
      <c r="H309" s="61">
        <v>46024</v>
      </c>
    </row>
    <row r="310" spans="1:8" ht="48" x14ac:dyDescent="0.3">
      <c r="A310" s="65">
        <v>2753</v>
      </c>
      <c r="B310" s="61">
        <v>46025</v>
      </c>
      <c r="C310" s="27" t="s">
        <v>235</v>
      </c>
      <c r="D310" s="62" t="s">
        <v>548</v>
      </c>
      <c r="E310" s="62" t="s">
        <v>549</v>
      </c>
      <c r="F310" s="62" t="s">
        <v>432</v>
      </c>
      <c r="G310" s="27" t="s">
        <v>218</v>
      </c>
      <c r="H310" s="61">
        <v>46025</v>
      </c>
    </row>
    <row r="311" spans="1:8" ht="72" x14ac:dyDescent="0.3">
      <c r="A311" s="65">
        <v>2770</v>
      </c>
      <c r="B311" s="61">
        <v>46025</v>
      </c>
      <c r="C311" s="27" t="s">
        <v>194</v>
      </c>
      <c r="D311" s="62" t="s">
        <v>550</v>
      </c>
      <c r="E311" s="23" t="s">
        <v>243</v>
      </c>
      <c r="F311" s="62" t="s">
        <v>150</v>
      </c>
      <c r="G311" s="27" t="s">
        <v>218</v>
      </c>
      <c r="H311" s="61">
        <v>46025</v>
      </c>
    </row>
    <row r="312" spans="1:8" ht="72" x14ac:dyDescent="0.3">
      <c r="A312" s="65">
        <v>2771</v>
      </c>
      <c r="B312" s="61">
        <v>46027</v>
      </c>
      <c r="C312" s="27" t="s">
        <v>194</v>
      </c>
      <c r="D312" s="62" t="s">
        <v>551</v>
      </c>
      <c r="E312" s="23" t="s">
        <v>243</v>
      </c>
      <c r="F312" s="62" t="s">
        <v>150</v>
      </c>
      <c r="G312" s="27" t="s">
        <v>218</v>
      </c>
      <c r="H312" s="61">
        <v>46027</v>
      </c>
    </row>
    <row r="313" spans="1:8" ht="72" x14ac:dyDescent="0.3">
      <c r="A313" s="65">
        <v>2772</v>
      </c>
      <c r="B313" s="61">
        <v>46027</v>
      </c>
      <c r="C313" s="27" t="s">
        <v>194</v>
      </c>
      <c r="D313" s="62" t="s">
        <v>552</v>
      </c>
      <c r="E313" s="23" t="s">
        <v>243</v>
      </c>
      <c r="F313" s="62" t="s">
        <v>150</v>
      </c>
      <c r="G313" s="27" t="s">
        <v>218</v>
      </c>
      <c r="H313" s="61">
        <v>46027</v>
      </c>
    </row>
    <row r="314" spans="1:8" ht="72" x14ac:dyDescent="0.3">
      <c r="A314" s="65">
        <v>2773</v>
      </c>
      <c r="B314" s="61">
        <v>46027</v>
      </c>
      <c r="C314" s="27" t="s">
        <v>194</v>
      </c>
      <c r="D314" s="62" t="s">
        <v>553</v>
      </c>
      <c r="E314" s="23" t="s">
        <v>243</v>
      </c>
      <c r="F314" s="62" t="s">
        <v>150</v>
      </c>
      <c r="G314" s="27" t="s">
        <v>218</v>
      </c>
      <c r="H314" s="61">
        <v>46027</v>
      </c>
    </row>
    <row r="315" spans="1:8" ht="72" x14ac:dyDescent="0.3">
      <c r="A315" s="65">
        <v>2774</v>
      </c>
      <c r="B315" s="61">
        <v>46027</v>
      </c>
      <c r="C315" s="27" t="s">
        <v>194</v>
      </c>
      <c r="D315" s="62" t="s">
        <v>517</v>
      </c>
      <c r="E315" s="23" t="s">
        <v>243</v>
      </c>
      <c r="F315" s="62" t="s">
        <v>150</v>
      </c>
      <c r="G315" s="27" t="s">
        <v>218</v>
      </c>
      <c r="H315" s="61">
        <v>46027</v>
      </c>
    </row>
    <row r="316" spans="1:8" ht="72" x14ac:dyDescent="0.3">
      <c r="A316" s="65">
        <v>2775</v>
      </c>
      <c r="B316" s="61">
        <v>46027</v>
      </c>
      <c r="C316" s="27" t="s">
        <v>527</v>
      </c>
      <c r="D316" s="62" t="s">
        <v>537</v>
      </c>
      <c r="E316" s="23" t="s">
        <v>381</v>
      </c>
      <c r="F316" s="62" t="s">
        <v>221</v>
      </c>
      <c r="G316" s="27" t="s">
        <v>218</v>
      </c>
      <c r="H316" s="61">
        <v>46027</v>
      </c>
    </row>
    <row r="317" spans="1:8" ht="72" x14ac:dyDescent="0.3">
      <c r="A317" s="65">
        <v>2776</v>
      </c>
      <c r="B317" s="61">
        <v>46027</v>
      </c>
      <c r="C317" s="27" t="s">
        <v>527</v>
      </c>
      <c r="D317" s="62" t="s">
        <v>537</v>
      </c>
      <c r="E317" s="23" t="s">
        <v>554</v>
      </c>
      <c r="F317" s="62" t="s">
        <v>174</v>
      </c>
      <c r="G317" s="27" t="s">
        <v>218</v>
      </c>
      <c r="H317" s="61">
        <v>46027</v>
      </c>
    </row>
    <row r="318" spans="1:8" ht="48" x14ac:dyDescent="0.3">
      <c r="A318" s="65">
        <v>2777</v>
      </c>
      <c r="B318" s="61">
        <v>46027</v>
      </c>
      <c r="C318" s="27" t="s">
        <v>235</v>
      </c>
      <c r="D318" s="62" t="s">
        <v>548</v>
      </c>
      <c r="E318" s="63" t="s">
        <v>555</v>
      </c>
      <c r="F318" s="62" t="s">
        <v>174</v>
      </c>
      <c r="G318" s="27" t="s">
        <v>218</v>
      </c>
      <c r="H318" s="61">
        <v>46027</v>
      </c>
    </row>
    <row r="319" spans="1:8" ht="48" x14ac:dyDescent="0.3">
      <c r="A319" s="65">
        <v>2778</v>
      </c>
      <c r="B319" s="61">
        <v>46027</v>
      </c>
      <c r="C319" s="27" t="s">
        <v>556</v>
      </c>
      <c r="D319" s="62" t="s">
        <v>557</v>
      </c>
      <c r="E319" s="23" t="s">
        <v>183</v>
      </c>
      <c r="F319" s="62" t="s">
        <v>221</v>
      </c>
      <c r="G319" s="27" t="s">
        <v>218</v>
      </c>
      <c r="H319" s="61">
        <v>46027</v>
      </c>
    </row>
    <row r="320" spans="1:8" ht="48" x14ac:dyDescent="0.3">
      <c r="A320" s="65">
        <v>2779</v>
      </c>
      <c r="B320" s="61">
        <v>46027</v>
      </c>
      <c r="C320" s="27" t="s">
        <v>556</v>
      </c>
      <c r="D320" s="62" t="s">
        <v>558</v>
      </c>
      <c r="E320" s="23" t="s">
        <v>183</v>
      </c>
      <c r="F320" s="62" t="s">
        <v>221</v>
      </c>
      <c r="G320" s="27" t="s">
        <v>218</v>
      </c>
      <c r="H320" s="61">
        <v>46027</v>
      </c>
    </row>
    <row r="321" spans="1:8" ht="48" x14ac:dyDescent="0.3">
      <c r="A321" s="65">
        <v>2780</v>
      </c>
      <c r="B321" s="61">
        <v>46027</v>
      </c>
      <c r="C321" s="27" t="s">
        <v>556</v>
      </c>
      <c r="D321" s="62" t="s">
        <v>559</v>
      </c>
      <c r="E321" s="23" t="s">
        <v>183</v>
      </c>
      <c r="F321" s="62" t="s">
        <v>221</v>
      </c>
      <c r="G321" s="27" t="s">
        <v>218</v>
      </c>
      <c r="H321" s="61">
        <v>46027</v>
      </c>
    </row>
    <row r="322" spans="1:8" ht="48" x14ac:dyDescent="0.3">
      <c r="A322" s="65">
        <v>2781</v>
      </c>
      <c r="B322" s="61">
        <v>46027</v>
      </c>
      <c r="C322" s="27" t="s">
        <v>556</v>
      </c>
      <c r="D322" s="62" t="s">
        <v>560</v>
      </c>
      <c r="E322" s="23" t="s">
        <v>183</v>
      </c>
      <c r="F322" s="62" t="s">
        <v>221</v>
      </c>
      <c r="G322" s="27" t="s">
        <v>218</v>
      </c>
      <c r="H322" s="61">
        <v>46027</v>
      </c>
    </row>
    <row r="323" spans="1:8" ht="48" x14ac:dyDescent="0.3">
      <c r="A323" s="65">
        <v>2782</v>
      </c>
      <c r="B323" s="61">
        <v>46027</v>
      </c>
      <c r="C323" s="27" t="s">
        <v>556</v>
      </c>
      <c r="D323" s="62" t="s">
        <v>561</v>
      </c>
      <c r="E323" s="23" t="s">
        <v>183</v>
      </c>
      <c r="F323" s="62" t="s">
        <v>221</v>
      </c>
      <c r="G323" s="27" t="s">
        <v>218</v>
      </c>
      <c r="H323" s="61">
        <v>46027</v>
      </c>
    </row>
    <row r="324" spans="1:8" ht="48" x14ac:dyDescent="0.3">
      <c r="A324" s="65">
        <v>2783</v>
      </c>
      <c r="B324" s="61">
        <v>46027</v>
      </c>
      <c r="C324" s="27" t="s">
        <v>556</v>
      </c>
      <c r="D324" s="62" t="s">
        <v>562</v>
      </c>
      <c r="E324" s="23" t="s">
        <v>183</v>
      </c>
      <c r="F324" s="62" t="s">
        <v>221</v>
      </c>
      <c r="G324" s="27" t="s">
        <v>218</v>
      </c>
      <c r="H324" s="61">
        <v>46027</v>
      </c>
    </row>
    <row r="325" spans="1:8" ht="48" x14ac:dyDescent="0.3">
      <c r="A325" s="65">
        <v>2784</v>
      </c>
      <c r="B325" s="61">
        <v>46027</v>
      </c>
      <c r="C325" s="27" t="s">
        <v>556</v>
      </c>
      <c r="D325" s="62" t="s">
        <v>563</v>
      </c>
      <c r="E325" s="23" t="s">
        <v>183</v>
      </c>
      <c r="F325" s="62" t="s">
        <v>221</v>
      </c>
      <c r="G325" s="27" t="s">
        <v>218</v>
      </c>
      <c r="H325" s="61">
        <v>46027</v>
      </c>
    </row>
    <row r="326" spans="1:8" ht="48" x14ac:dyDescent="0.3">
      <c r="A326" s="65">
        <v>2785</v>
      </c>
      <c r="B326" s="61">
        <v>46027</v>
      </c>
      <c r="C326" s="27" t="s">
        <v>556</v>
      </c>
      <c r="D326" s="62" t="s">
        <v>564</v>
      </c>
      <c r="E326" s="23" t="s">
        <v>183</v>
      </c>
      <c r="F326" s="62" t="s">
        <v>221</v>
      </c>
      <c r="G326" s="27" t="s">
        <v>218</v>
      </c>
      <c r="H326" s="61">
        <v>46027</v>
      </c>
    </row>
    <row r="327" spans="1:8" ht="48" x14ac:dyDescent="0.3">
      <c r="A327" s="65">
        <v>2786</v>
      </c>
      <c r="B327" s="61">
        <v>46027</v>
      </c>
      <c r="C327" s="27" t="s">
        <v>556</v>
      </c>
      <c r="D327" s="62" t="s">
        <v>565</v>
      </c>
      <c r="E327" s="23" t="s">
        <v>183</v>
      </c>
      <c r="F327" s="62" t="s">
        <v>221</v>
      </c>
      <c r="G327" s="27" t="s">
        <v>218</v>
      </c>
      <c r="H327" s="61">
        <v>46027</v>
      </c>
    </row>
    <row r="328" spans="1:8" ht="72" x14ac:dyDescent="0.3">
      <c r="A328" s="65">
        <v>2787</v>
      </c>
      <c r="B328" s="61">
        <v>45663</v>
      </c>
      <c r="C328" s="27" t="s">
        <v>527</v>
      </c>
      <c r="D328" s="62" t="s">
        <v>566</v>
      </c>
      <c r="E328" s="23" t="s">
        <v>205</v>
      </c>
      <c r="F328" s="62" t="s">
        <v>567</v>
      </c>
      <c r="G328" s="27" t="s">
        <v>218</v>
      </c>
      <c r="H328" s="61">
        <v>46028</v>
      </c>
    </row>
    <row r="329" spans="1:8" ht="60" x14ac:dyDescent="0.3">
      <c r="A329" s="65">
        <v>2788</v>
      </c>
      <c r="B329" s="61">
        <v>45663</v>
      </c>
      <c r="C329" s="27" t="s">
        <v>433</v>
      </c>
      <c r="D329" s="62" t="s">
        <v>568</v>
      </c>
      <c r="E329" s="23" t="s">
        <v>183</v>
      </c>
      <c r="F329" s="62" t="s">
        <v>567</v>
      </c>
      <c r="G329" s="27" t="s">
        <v>218</v>
      </c>
      <c r="H329" s="61">
        <v>46028</v>
      </c>
    </row>
    <row r="330" spans="1:8" ht="72" x14ac:dyDescent="0.3">
      <c r="A330" s="65">
        <v>2791</v>
      </c>
      <c r="B330" s="61">
        <v>46028</v>
      </c>
      <c r="C330" s="27" t="s">
        <v>527</v>
      </c>
      <c r="D330" s="62" t="s">
        <v>569</v>
      </c>
      <c r="E330" s="23" t="s">
        <v>223</v>
      </c>
      <c r="F330" s="62" t="s">
        <v>174</v>
      </c>
      <c r="G330" s="27" t="s">
        <v>218</v>
      </c>
      <c r="H330" s="61">
        <v>46028</v>
      </c>
    </row>
    <row r="331" spans="1:8" ht="72" x14ac:dyDescent="0.3">
      <c r="A331" s="65">
        <v>2792</v>
      </c>
      <c r="B331" s="61">
        <v>46028</v>
      </c>
      <c r="C331" s="27" t="s">
        <v>527</v>
      </c>
      <c r="D331" s="62" t="s">
        <v>570</v>
      </c>
      <c r="E331" s="23" t="s">
        <v>381</v>
      </c>
      <c r="F331" s="62" t="s">
        <v>234</v>
      </c>
      <c r="G331" s="27" t="s">
        <v>218</v>
      </c>
      <c r="H331" s="61">
        <v>46028</v>
      </c>
    </row>
    <row r="332" spans="1:8" ht="60" x14ac:dyDescent="0.3">
      <c r="A332" s="65">
        <v>2793</v>
      </c>
      <c r="B332" s="61">
        <v>46028</v>
      </c>
      <c r="C332" s="27" t="s">
        <v>456</v>
      </c>
      <c r="D332" s="62" t="s">
        <v>517</v>
      </c>
      <c r="E332" s="23" t="s">
        <v>571</v>
      </c>
      <c r="F332" s="62" t="s">
        <v>150</v>
      </c>
      <c r="G332" s="27" t="s">
        <v>218</v>
      </c>
      <c r="H332" s="61">
        <v>46028</v>
      </c>
    </row>
    <row r="333" spans="1:8" ht="72" x14ac:dyDescent="0.3">
      <c r="A333" s="65">
        <v>2794</v>
      </c>
      <c r="B333" s="61">
        <v>46028</v>
      </c>
      <c r="C333" s="27" t="s">
        <v>527</v>
      </c>
      <c r="D333" s="62" t="s">
        <v>570</v>
      </c>
      <c r="E333" s="23" t="s">
        <v>529</v>
      </c>
      <c r="F333" s="62" t="s">
        <v>174</v>
      </c>
      <c r="G333" s="27" t="s">
        <v>218</v>
      </c>
      <c r="H333" s="61">
        <v>46028</v>
      </c>
    </row>
  </sheetData>
  <dataValidations count="3">
    <dataValidation type="list" allowBlank="1" showInputMessage="1" showErrorMessage="1" sqref="E1:E168 E171:E190 E193:E196 E204:E215 E219:E237 E247:E249 E264:E307 E311:E333 M1 U1 AC1 AK1 AS1 BA1 BI1 BQ1 BY1 CG1 CO1 CW1 DE1 DM1 DU1 EC1 EK1 ES1 FA1 FI1 FQ1 FY1 GG1 GO1 GW1 HE1 HM1 HU1 IC1 IK1 IS1 JA1 JI1 JQ1 JY1 KG1 KO1 KW1 LE1 LM1 LU1 MC1 MK1 MS1 NA1 NI1 NQ1 NY1 OG1 OO1 OW1 PE1 PM1 PU1 QC1 QK1 QS1 RA1 RI1 RQ1 RY1 SG1 SO1 SW1 TE1 TM1 TU1 UC1 UK1 US1 VA1 VI1 VQ1 VY1 WG1 WO1 WW1 XE1 XM1 XU1 YC1 YK1 YS1 ZA1 ZI1 ZQ1 ZY1 AAG1 AAO1 AAW1 ABE1 ABM1 ABU1 ACC1 ACK1 ACS1 ADA1 ADI1 ADQ1 ADY1 AEG1 AEO1 AEW1 AFE1 AFM1 AFU1 AGC1 AGK1 AGS1 AHA1 AHI1 AHQ1 AHY1 AIG1 AIO1 AIW1 AJE1 AJM1 AJU1 AKC1 AKK1 AKS1 ALA1 ALI1 ALQ1 ALY1 AMG1 AMO1 AMW1 ANE1 ANM1 ANU1 AOC1 AOK1 AOS1 APA1 API1 APQ1 APY1 AQG1 AQO1 AQW1 ARE1 ARM1 ARU1 ASC1 ASK1 ASS1 ATA1 ATI1 ATQ1 ATY1 AUG1 AUO1 AUW1 AVE1 AVM1 AVU1 AWC1 AWK1 AWS1 AXA1 AXI1 AXQ1 AXY1 AYG1 AYO1 AYW1 AZE1 AZM1 AZU1 BAC1 BAK1 BAS1 BBA1 BBI1 BBQ1 BBY1 BCG1 BCO1 BCW1 BDE1 BDM1 BDU1 BEC1 BEK1 BES1 BFA1 BFI1 BFQ1 BFY1 BGG1 BGO1 BGW1 BHE1 BHM1 BHU1 BIC1 BIK1 BIS1 BJA1 BJI1 BJQ1 BJY1 BKG1 BKO1 BKW1 BLE1 BLM1 BLU1 BMC1 BMK1 BMS1 BNA1 BNI1 BNQ1 BNY1 BOG1 BOO1 BOW1 BPE1 BPM1 BPU1 BQC1 BQK1 BQS1 BRA1 BRI1 BRQ1 BRY1 BSG1 BSO1 BSW1 BTE1 BTM1 BTU1 BUC1 BUK1 BUS1 BVA1 BVI1 BVQ1 BVY1 BWG1 BWO1 BWW1 BXE1 BXM1 BXU1 BYC1 BYK1 BYS1 BZA1 BZI1 BZQ1 BZY1 CAG1 CAO1 CAW1 CBE1 CBM1 CBU1 CCC1 CCK1 CCS1 CDA1 CDI1 CDQ1 CDY1 CEG1 CEO1 CEW1 CFE1 CFM1 CFU1 CGC1 CGK1 CGS1 CHA1 CHI1 CHQ1 CHY1 CIG1 CIO1 CIW1 CJE1 CJM1 CJU1 CKC1 CKK1 CKS1 CLA1 CLI1 CLQ1 CLY1 CMG1 CMO1 CMW1 CNE1 CNM1 CNU1 COC1 COK1 COS1 CPA1 CPI1 CPQ1 CPY1 CQG1 CQO1 CQW1 CRE1 CRM1 CRU1 CSC1 CSK1 CSS1 CTA1 CTI1 CTQ1 CTY1 CUG1 CUO1 CUW1 CVE1 CVM1 CVU1 CWC1 CWK1 CWS1 CXA1 CXI1 CXQ1 CXY1 CYG1 CYO1 CYW1 CZE1 CZM1 CZU1 DAC1 DAK1 DAS1 DBA1 DBI1 DBQ1 DBY1 DCG1 DCO1 DCW1 DDE1 DDM1 DDU1 DEC1 DEK1 DES1 DFA1 DFI1 DFQ1 DFY1 DGG1 DGO1 DGW1 DHE1 DHM1 DHU1 DIC1 DIK1 DIS1 DJA1 DJI1 DJQ1 DJY1 DKG1 DKO1 DKW1 DLE1 DLM1 DLU1 DMC1 DMK1 DMS1 DNA1 DNI1 DNQ1 DNY1 DOG1 DOO1 DOW1 DPE1 DPM1 DPU1 DQC1 DQK1 DQS1 DRA1 DRI1 DRQ1 DRY1 DSG1 DSO1 DSW1 DTE1 DTM1 DTU1 DUC1 DUK1 DUS1 DVA1 DVI1 DVQ1 DVY1 DWG1 DWO1 DWW1 DXE1 DXM1 DXU1 DYC1 DYK1 DYS1 DZA1 DZI1 DZQ1 DZY1 EAG1 EAO1 EAW1 EBE1 EBM1 EBU1 ECC1 ECK1 ECS1 EDA1 EDI1 EDQ1 EDY1 EEG1 EEO1 EEW1 EFE1 EFM1 EFU1 EGC1 EGK1 EGS1 EHA1 EHI1 EHQ1 EHY1 EIG1 EIO1 EIW1 EJE1 EJM1 EJU1 EKC1 EKK1 EKS1 ELA1 ELI1 ELQ1 ELY1 EMG1 EMO1 EMW1 ENE1 ENM1 ENU1 EOC1 EOK1 EOS1 EPA1 EPI1 EPQ1 EPY1 EQG1 EQO1 EQW1 ERE1 ERM1 ERU1 ESC1 ESK1 ESS1 ETA1 ETI1 ETQ1 ETY1 EUG1 EUO1 EUW1 EVE1 EVM1 EVU1 EWC1 EWK1 EWS1 EXA1 EXI1 EXQ1 EXY1 EYG1 EYO1 EYW1 EZE1 EZM1 EZU1 FAC1 FAK1 FAS1 FBA1 FBI1 FBQ1 FBY1 FCG1 FCO1 FCW1 FDE1 FDM1 FDU1 FEC1 FEK1 FES1 FFA1 FFI1 FFQ1 FFY1 FGG1 FGO1 FGW1 FHE1 FHM1 FHU1 FIC1 FIK1 FIS1 FJA1 FJI1 FJQ1 FJY1 FKG1 FKO1 FKW1 FLE1 FLM1 FLU1 FMC1 FMK1 FMS1 FNA1 FNI1 FNQ1 FNY1 FOG1 FOO1 FOW1 FPE1 FPM1 FPU1 FQC1 FQK1 FQS1 FRA1 FRI1 FRQ1 FRY1 FSG1 FSO1 FSW1 FTE1 FTM1 FTU1 FUC1 FUK1 FUS1 FVA1 FVI1 FVQ1 FVY1 FWG1 FWO1 FWW1 FXE1 FXM1 FXU1 FYC1 FYK1 FYS1 FZA1 FZI1 FZQ1 FZY1 GAG1 GAO1 GAW1 GBE1 GBM1 GBU1 GCC1 GCK1 GCS1 GDA1 GDI1 GDQ1 GDY1 GEG1 GEO1 GEW1 GFE1 GFM1 GFU1 GGC1 GGK1 GGS1 GHA1 GHI1 GHQ1 GHY1 GIG1 GIO1 GIW1 GJE1 GJM1 GJU1 GKC1 GKK1 GKS1 GLA1 GLI1 GLQ1 GLY1 GMG1 GMO1 GMW1 GNE1 GNM1 GNU1 GOC1 GOK1 GOS1 GPA1 GPI1 GPQ1 GPY1 GQG1 GQO1 GQW1 GRE1 GRM1 GRU1 GSC1 GSK1 GSS1 GTA1 GTI1 GTQ1 GTY1 GUG1 GUO1 GUW1 GVE1 GVM1 GVU1 GWC1 GWK1 GWS1 GXA1 GXI1 GXQ1 GXY1 GYG1 GYO1 GYW1 GZE1 GZM1 GZU1 HAC1 HAK1 HAS1 HBA1 HBI1 HBQ1 HBY1 HCG1 HCO1 HCW1 HDE1 HDM1 HDU1 HEC1 HEK1 HES1 HFA1 HFI1 HFQ1 HFY1 HGG1 HGO1 HGW1 HHE1 HHM1 HHU1 HIC1 HIK1 HIS1 HJA1 HJI1 HJQ1 HJY1 HKG1 HKO1 HKW1 HLE1 HLM1 HLU1 HMC1 HMK1 HMS1 HNA1 HNI1 HNQ1 HNY1 HOG1 HOO1 HOW1 HPE1 HPM1 HPU1 HQC1 HQK1 HQS1 HRA1 HRI1 HRQ1 HRY1 HSG1 HSO1 HSW1 HTE1 HTM1 HTU1 HUC1 HUK1 HUS1 HVA1 HVI1 HVQ1 HVY1 HWG1 HWO1 HWW1 HXE1 HXM1 HXU1 HYC1 HYK1 HYS1 HZA1 HZI1 HZQ1 HZY1 IAG1 IAO1 IAW1 IBE1 IBM1 IBU1 ICC1 ICK1 ICS1 IDA1 IDI1 IDQ1 IDY1 IEG1 IEO1 IEW1 IFE1 IFM1 IFU1 IGC1 IGK1 IGS1 IHA1 IHI1 IHQ1 IHY1 IIG1 IIO1 IIW1 IJE1 IJM1 IJU1 IKC1 IKK1 IKS1 ILA1 ILI1 ILQ1 ILY1 IMG1 IMO1 IMW1 INE1 INM1 INU1 IOC1 IOK1 IOS1 IPA1 IPI1 IPQ1 IPY1 IQG1 IQO1 IQW1 IRE1 IRM1 IRU1 ISC1 ISK1 ISS1 ITA1 ITI1 ITQ1 ITY1 IUG1 IUO1 IUW1 IVE1 IVM1 IVU1 IWC1 IWK1 IWS1 IXA1 IXI1 IXQ1 IXY1 IYG1 IYO1 IYW1 IZE1 IZM1 IZU1 JAC1 JAK1 JAS1 JBA1 JBI1 JBQ1 JBY1 JCG1 JCO1 JCW1 JDE1 JDM1 JDU1 JEC1 JEK1 JES1 JFA1 JFI1 JFQ1 JFY1 JGG1 JGO1 JGW1 JHE1 JHM1 JHU1 JIC1 JIK1 JIS1 JJA1 JJI1 JJQ1 JJY1 JKG1 JKO1 JKW1 JLE1 JLM1 JLU1 JMC1 JMK1 JMS1 JNA1 JNI1 JNQ1 JNY1 JOG1 JOO1 JOW1 JPE1 JPM1 JPU1 JQC1 JQK1 JQS1 JRA1 JRI1 JRQ1 JRY1 JSG1 JSO1 JSW1 JTE1 JTM1 JTU1 JUC1 JUK1 JUS1 JVA1 JVI1 JVQ1 JVY1 JWG1 JWO1 JWW1 JXE1 JXM1 JXU1 JYC1 JYK1 JYS1 JZA1 JZI1 JZQ1 JZY1 KAG1 KAO1 KAW1 KBE1 KBM1 KBU1 KCC1 KCK1 KCS1 KDA1 KDI1 KDQ1 KDY1 KEG1 KEO1 KEW1 KFE1 KFM1 KFU1 KGC1 KGK1 KGS1 KHA1 KHI1 KHQ1 KHY1 KIG1 KIO1 KIW1 KJE1 KJM1 KJU1 KKC1 KKK1 KKS1 KLA1 KLI1 KLQ1 KLY1 KMG1 KMO1 KMW1 KNE1 KNM1 KNU1 KOC1 KOK1 KOS1 KPA1 KPI1 KPQ1 KPY1 KQG1 KQO1 KQW1 KRE1 KRM1 KRU1 KSC1 KSK1 KSS1 KTA1 KTI1 KTQ1 KTY1 KUG1 KUO1 KUW1 KVE1 KVM1 KVU1 KWC1 KWK1 KWS1 KXA1 KXI1 KXQ1 KXY1 KYG1 KYO1 KYW1 KZE1 KZM1 KZU1 LAC1 LAK1 LAS1 LBA1 LBI1 LBQ1 LBY1 LCG1 LCO1 LCW1 LDE1 LDM1 LDU1 LEC1 LEK1 LES1 LFA1 LFI1 LFQ1 LFY1 LGG1 LGO1 LGW1 LHE1 LHM1 LHU1 LIC1 LIK1 LIS1 LJA1 LJI1 LJQ1 LJY1 LKG1 LKO1 LKW1 LLE1 LLM1 LLU1 LMC1 LMK1 LMS1 LNA1 LNI1 LNQ1 LNY1 LOG1 LOO1 LOW1 LPE1 LPM1 LPU1 LQC1 LQK1 LQS1 LRA1 LRI1 LRQ1 LRY1 LSG1 LSO1 LSW1 LTE1 LTM1 LTU1 LUC1 LUK1 LUS1 LVA1 LVI1 LVQ1 LVY1 LWG1 LWO1 LWW1 LXE1 LXM1 LXU1 LYC1 LYK1 LYS1 LZA1 LZI1 LZQ1 LZY1 MAG1 MAO1 MAW1 MBE1 MBM1 MBU1 MCC1 MCK1 MCS1 MDA1 MDI1 MDQ1 MDY1 MEG1 MEO1 MEW1 MFE1 MFM1 MFU1 MGC1 MGK1 MGS1 MHA1 MHI1 MHQ1 MHY1 MIG1 MIO1 MIW1 MJE1 MJM1 MJU1 MKC1 MKK1 MKS1 MLA1 MLI1 MLQ1 MLY1 MMG1 MMO1 MMW1 MNE1 MNM1 MNU1 MOC1 MOK1 MOS1 MPA1 MPI1 MPQ1 MPY1 MQG1 MQO1 MQW1 MRE1 MRM1 MRU1 MSC1 MSK1 MSS1 MTA1 MTI1 MTQ1 MTY1 MUG1 MUO1 MUW1 MVE1 MVM1 MVU1 MWC1 MWK1 MWS1 MXA1 MXI1 MXQ1 MXY1 MYG1 MYO1 MYW1 MZE1 MZM1 MZU1 NAC1 NAK1 NAS1 NBA1 NBI1 NBQ1 NBY1 NCG1 NCO1 NCW1 NDE1 NDM1 NDU1 NEC1 NEK1 NES1 NFA1 NFI1 NFQ1 NFY1 NGG1 NGO1 NGW1 NHE1 NHM1 NHU1 NIC1 NIK1 NIS1 NJA1 NJI1 NJQ1 NJY1 NKG1 NKO1 NKW1 NLE1 NLM1 NLU1 NMC1 NMK1 NMS1 NNA1 NNI1 NNQ1 NNY1 NOG1 NOO1 NOW1 NPE1 NPM1 NPU1 NQC1 NQK1 NQS1 NRA1 NRI1 NRQ1 NRY1 NSG1 NSO1 NSW1 NTE1 NTM1 NTU1 NUC1 NUK1 NUS1 NVA1 NVI1 NVQ1 NVY1 NWG1 NWO1 NWW1 NXE1 NXM1 NXU1 NYC1 NYK1 NYS1 NZA1 NZI1 NZQ1 NZY1 OAG1 OAO1 OAW1 OBE1 OBM1 OBU1 OCC1 OCK1 OCS1 ODA1 ODI1 ODQ1 ODY1 OEG1 OEO1 OEW1 OFE1 OFM1 OFU1 OGC1 OGK1 OGS1 OHA1 OHI1 OHQ1 OHY1 OIG1 OIO1 OIW1 OJE1 OJM1 OJU1 OKC1 OKK1 OKS1 OLA1 OLI1 OLQ1 OLY1 OMG1 OMO1 OMW1 ONE1 ONM1 ONU1 OOC1 OOK1 OOS1 OPA1 OPI1 OPQ1 OPY1 OQG1 OQO1 OQW1 ORE1 ORM1 ORU1 OSC1 OSK1 OSS1 OTA1 OTI1 OTQ1 OTY1 OUG1 OUO1 OUW1 OVE1 OVM1 OVU1 OWC1 OWK1 OWS1 OXA1 OXI1 OXQ1 OXY1 OYG1 OYO1 OYW1 OZE1 OZM1 OZU1 PAC1 PAK1 PAS1 PBA1 PBI1 PBQ1 PBY1 PCG1 PCO1 PCW1 PDE1 PDM1 PDU1 PEC1 PEK1 PES1 PFA1 PFI1 PFQ1 PFY1 PGG1 PGO1 PGW1 PHE1 PHM1 PHU1 PIC1 PIK1 PIS1 PJA1 PJI1 PJQ1 PJY1 PKG1 PKO1 PKW1 PLE1 PLM1 PLU1 PMC1 PMK1 PMS1 PNA1 PNI1 PNQ1 PNY1 POG1 POO1 POW1 PPE1 PPM1 PPU1 PQC1 PQK1 PQS1 PRA1 PRI1 PRQ1 PRY1 PSG1 PSO1 PSW1 PTE1 PTM1 PTU1 PUC1 PUK1 PUS1 PVA1 PVI1 PVQ1 PVY1 PWG1 PWO1 PWW1 PXE1 PXM1 PXU1 PYC1 PYK1 PYS1 PZA1 PZI1 PZQ1 PZY1 QAG1 QAO1 QAW1 QBE1 QBM1 QBU1 QCC1 QCK1 QCS1 QDA1 QDI1 QDQ1 QDY1 QEG1 QEO1 QEW1 QFE1 QFM1 QFU1 QGC1 QGK1 QGS1 QHA1 QHI1 QHQ1 QHY1 QIG1 QIO1 QIW1 QJE1 QJM1 QJU1 QKC1 QKK1 QKS1 QLA1 QLI1 QLQ1 QLY1 QMG1 QMO1 QMW1 QNE1 QNM1 QNU1 QOC1 QOK1 QOS1 QPA1 QPI1 QPQ1 QPY1 QQG1 QQO1 QQW1 QRE1 QRM1 QRU1 QSC1 QSK1 QSS1 QTA1 QTI1 QTQ1 QTY1 QUG1 QUO1 QUW1 QVE1 QVM1 QVU1 QWC1 QWK1 QWS1 QXA1 QXI1 QXQ1 QXY1 QYG1 QYO1 QYW1 QZE1 QZM1 QZU1 RAC1 RAK1 RAS1 RBA1 RBI1 RBQ1 RBY1 RCG1 RCO1 RCW1 RDE1 RDM1 RDU1 REC1 REK1 RES1 RFA1 RFI1 RFQ1 RFY1 RGG1 RGO1 RGW1 RHE1 RHM1 RHU1 RIC1 RIK1 RIS1 RJA1 RJI1 RJQ1 RJY1 RKG1 RKO1 RKW1 RLE1 RLM1 RLU1 RMC1 RMK1 RMS1 RNA1 RNI1 RNQ1 RNY1 ROG1 ROO1 ROW1 RPE1 RPM1 RPU1 RQC1 RQK1 RQS1 RRA1 RRI1 RRQ1 RRY1 RSG1 RSO1 RSW1 RTE1 RTM1 RTU1 RUC1 RUK1 RUS1 RVA1 RVI1 RVQ1 RVY1 RWG1 RWO1 RWW1 RXE1 RXM1 RXU1 RYC1 RYK1 RYS1 RZA1 RZI1 RZQ1 RZY1 SAG1 SAO1 SAW1 SBE1 SBM1 SBU1 SCC1 SCK1 SCS1 SDA1 SDI1 SDQ1 SDY1 SEG1 SEO1 SEW1 SFE1 SFM1 SFU1 SGC1 SGK1 SGS1 SHA1 SHI1 SHQ1 SHY1 SIG1 SIO1 SIW1 SJE1 SJM1 SJU1 SKC1 SKK1 SKS1 SLA1 SLI1 SLQ1 SLY1 SMG1 SMO1 SMW1 SNE1 SNM1 SNU1 SOC1 SOK1 SOS1 SPA1 SPI1 SPQ1 SPY1 SQG1 SQO1 SQW1 SRE1 SRM1 SRU1 SSC1 SSK1 SSS1 STA1 STI1 STQ1 STY1 SUG1 SUO1 SUW1 SVE1 SVM1 SVU1 SWC1 SWK1 SWS1 SXA1 SXI1 SXQ1 SXY1 SYG1 SYO1 SYW1 SZE1 SZM1 SZU1 TAC1 TAK1 TAS1 TBA1 TBI1 TBQ1 TBY1 TCG1 TCO1 TCW1 TDE1 TDM1 TDU1 TEC1 TEK1 TES1 TFA1 TFI1 TFQ1 TFY1 TGG1 TGO1 TGW1 THE1 THM1 THU1 TIC1 TIK1 TIS1 TJA1 TJI1 TJQ1 TJY1 TKG1 TKO1 TKW1 TLE1 TLM1 TLU1 TMC1 TMK1 TMS1 TNA1 TNI1 TNQ1 TNY1 TOG1 TOO1 TOW1 TPE1 TPM1 TPU1 TQC1 TQK1 TQS1 TRA1 TRI1 TRQ1 TRY1 TSG1 TSO1 TSW1 TTE1 TTM1 TTU1 TUC1 TUK1 TUS1 TVA1 TVI1 TVQ1 TVY1 TWG1 TWO1 TWW1 TXE1 TXM1 TXU1 TYC1 TYK1 TYS1 TZA1 TZI1 TZQ1 TZY1 UAG1 UAO1 UAW1 UBE1 UBM1 UBU1 UCC1 UCK1 UCS1 UDA1 UDI1 UDQ1 UDY1 UEG1 UEO1 UEW1 UFE1 UFM1 UFU1 UGC1 UGK1 UGS1 UHA1 UHI1 UHQ1 UHY1 UIG1 UIO1 UIW1 UJE1 UJM1 UJU1 UKC1 UKK1 UKS1 ULA1 ULI1 ULQ1 ULY1 UMG1 UMO1 UMW1 UNE1 UNM1 UNU1 UOC1 UOK1 UOS1 UPA1 UPI1 UPQ1 UPY1 UQG1 UQO1 UQW1 URE1 URM1 URU1 USC1 USK1 USS1 UTA1 UTI1 UTQ1 UTY1 UUG1 UUO1 UUW1 UVE1 UVM1 UVU1 UWC1 UWK1 UWS1 UXA1 UXI1 UXQ1 UXY1 UYG1 UYO1 UYW1 UZE1 UZM1 UZU1 VAC1 VAK1 VAS1 VBA1 VBI1 VBQ1 VBY1 VCG1 VCO1 VCW1 VDE1 VDM1 VDU1 VEC1 VEK1 VES1 VFA1 VFI1 VFQ1 VFY1 VGG1 VGO1 VGW1 VHE1 VHM1 VHU1 VIC1 VIK1 VIS1 VJA1 VJI1 VJQ1 VJY1 VKG1 VKO1 VKW1 VLE1 VLM1 VLU1 VMC1 VMK1 VMS1 VNA1 VNI1 VNQ1 VNY1 VOG1 VOO1 VOW1 VPE1 VPM1 VPU1 VQC1 VQK1 VQS1 VRA1 VRI1 VRQ1 VRY1 VSG1 VSO1 VSW1 VTE1 VTM1 VTU1 VUC1 VUK1 VUS1 VVA1 VVI1 VVQ1 VVY1 VWG1 VWO1 VWW1 VXE1 VXM1 VXU1 VYC1 VYK1 VYS1 VZA1 VZI1 VZQ1 VZY1 WAG1 WAO1 WAW1 WBE1 WBM1 WBU1 WCC1 WCK1 WCS1 WDA1 WDI1 WDQ1 WDY1 WEG1 WEO1 WEW1 WFE1 WFM1 WFU1 WGC1 WGK1 WGS1 WHA1 WHI1 WHQ1 WHY1 WIG1 WIO1 WIW1 WJE1 WJM1 WJU1 WKC1 WKK1 WKS1 WLA1 WLI1 WLQ1 WLY1 WMG1 WMO1 WMW1 WNE1 WNM1 WNU1 WOC1 WOK1 WOS1 WPA1 WPI1 WPQ1 WPY1 WQG1 WQO1 WQW1 WRE1 WRM1 WRU1 WSC1 WSK1 WSS1 WTA1 WTI1 WTQ1 WTY1 WUG1 WUO1 WUW1 WVE1 WVM1 WVU1 WWC1 WWK1 WWS1 WXA1 WXI1 WXQ1 WXY1 WYG1 WYO1 WYW1 WZE1 WZM1 WZU1 XAC1 XAK1 XAS1 XBA1 XBI1 XBQ1 XBY1 XCG1 XCO1 XCW1 XDE1 XDM1 XDU1 XEC1 XEK1 XES1 XFA1" xr:uid="{9E7FA522-58C4-4B13-AEFC-8327AA8FF942}">
      <formula1>APP</formula1>
    </dataValidation>
    <dataValidation type="list" allowBlank="1" showInputMessage="1" showErrorMessage="1" sqref="C2:C170 C173 C177 C175 C181 C204:C333" xr:uid="{ADB7F121-8953-4EAF-8894-BC7D94DEE8C3}">
      <formula1>COMPANY</formula1>
    </dataValidation>
    <dataValidation type="list" allowBlank="1" showInputMessage="1" showErrorMessage="1" sqref="G1:G160 G163:G235 G264:G333 O1 W1 AE1 AM1 AU1 BC1 BK1 BS1 CA1 CI1 CQ1 CY1 DG1 DO1 DW1 EE1 EM1 EU1 FC1 FK1 FS1 GA1 GI1 GQ1 GY1 HG1 HO1 HW1 IE1 IM1 IU1 JC1 JK1 JS1 KA1 KI1 KQ1 KY1 LG1 LO1 LW1 ME1 MM1 MU1 NC1 NK1 NS1 OA1 OI1 OQ1 OY1 PG1 PO1 PW1 QE1 QM1 QU1 RC1 RK1 RS1 SA1 SI1 SQ1 SY1 TG1 TO1 TW1 UE1 UM1 UU1 VC1 VK1 VS1 WA1 WI1 WQ1 WY1 XG1 XO1 XW1 YE1 YM1 YU1 ZC1 ZK1 ZS1 AAA1 AAI1 AAQ1 AAY1 ABG1 ABO1 ABW1 ACE1 ACM1 ACU1 ADC1 ADK1 ADS1 AEA1 AEI1 AEQ1 AEY1 AFG1 AFO1 AFW1 AGE1 AGM1 AGU1 AHC1 AHK1 AHS1 AIA1 AII1 AIQ1 AIY1 AJG1 AJO1 AJW1 AKE1 AKM1 AKU1 ALC1 ALK1 ALS1 AMA1 AMI1 AMQ1 AMY1 ANG1 ANO1 ANW1 AOE1 AOM1 AOU1 APC1 APK1 APS1 AQA1 AQI1 AQQ1 AQY1 ARG1 ARO1 ARW1 ASE1 ASM1 ASU1 ATC1 ATK1 ATS1 AUA1 AUI1 AUQ1 AUY1 AVG1 AVO1 AVW1 AWE1 AWM1 AWU1 AXC1 AXK1 AXS1 AYA1 AYI1 AYQ1 AYY1 AZG1 AZO1 AZW1 BAE1 BAM1 BAU1 BBC1 BBK1 BBS1 BCA1 BCI1 BCQ1 BCY1 BDG1 BDO1 BDW1 BEE1 BEM1 BEU1 BFC1 BFK1 BFS1 BGA1 BGI1 BGQ1 BGY1 BHG1 BHO1 BHW1 BIE1 BIM1 BIU1 BJC1 BJK1 BJS1 BKA1 BKI1 BKQ1 BKY1 BLG1 BLO1 BLW1 BME1 BMM1 BMU1 BNC1 BNK1 BNS1 BOA1 BOI1 BOQ1 BOY1 BPG1 BPO1 BPW1 BQE1 BQM1 BQU1 BRC1 BRK1 BRS1 BSA1 BSI1 BSQ1 BSY1 BTG1 BTO1 BTW1 BUE1 BUM1 BUU1 BVC1 BVK1 BVS1 BWA1 BWI1 BWQ1 BWY1 BXG1 BXO1 BXW1 BYE1 BYM1 BYU1 BZC1 BZK1 BZS1 CAA1 CAI1 CAQ1 CAY1 CBG1 CBO1 CBW1 CCE1 CCM1 CCU1 CDC1 CDK1 CDS1 CEA1 CEI1 CEQ1 CEY1 CFG1 CFO1 CFW1 CGE1 CGM1 CGU1 CHC1 CHK1 CHS1 CIA1 CII1 CIQ1 CIY1 CJG1 CJO1 CJW1 CKE1 CKM1 CKU1 CLC1 CLK1 CLS1 CMA1 CMI1 CMQ1 CMY1 CNG1 CNO1 CNW1 COE1 COM1 COU1 CPC1 CPK1 CPS1 CQA1 CQI1 CQQ1 CQY1 CRG1 CRO1 CRW1 CSE1 CSM1 CSU1 CTC1 CTK1 CTS1 CUA1 CUI1 CUQ1 CUY1 CVG1 CVO1 CVW1 CWE1 CWM1 CWU1 CXC1 CXK1 CXS1 CYA1 CYI1 CYQ1 CYY1 CZG1 CZO1 CZW1 DAE1 DAM1 DAU1 DBC1 DBK1 DBS1 DCA1 DCI1 DCQ1 DCY1 DDG1 DDO1 DDW1 DEE1 DEM1 DEU1 DFC1 DFK1 DFS1 DGA1 DGI1 DGQ1 DGY1 DHG1 DHO1 DHW1 DIE1 DIM1 DIU1 DJC1 DJK1 DJS1 DKA1 DKI1 DKQ1 DKY1 DLG1 DLO1 DLW1 DME1 DMM1 DMU1 DNC1 DNK1 DNS1 DOA1 DOI1 DOQ1 DOY1 DPG1 DPO1 DPW1 DQE1 DQM1 DQU1 DRC1 DRK1 DRS1 DSA1 DSI1 DSQ1 DSY1 DTG1 DTO1 DTW1 DUE1 DUM1 DUU1 DVC1 DVK1 DVS1 DWA1 DWI1 DWQ1 DWY1 DXG1 DXO1 DXW1 DYE1 DYM1 DYU1 DZC1 DZK1 DZS1 EAA1 EAI1 EAQ1 EAY1 EBG1 EBO1 EBW1 ECE1 ECM1 ECU1 EDC1 EDK1 EDS1 EEA1 EEI1 EEQ1 EEY1 EFG1 EFO1 EFW1 EGE1 EGM1 EGU1 EHC1 EHK1 EHS1 EIA1 EII1 EIQ1 EIY1 EJG1 EJO1 EJW1 EKE1 EKM1 EKU1 ELC1 ELK1 ELS1 EMA1 EMI1 EMQ1 EMY1 ENG1 ENO1 ENW1 EOE1 EOM1 EOU1 EPC1 EPK1 EPS1 EQA1 EQI1 EQQ1 EQY1 ERG1 ERO1 ERW1 ESE1 ESM1 ESU1 ETC1 ETK1 ETS1 EUA1 EUI1 EUQ1 EUY1 EVG1 EVO1 EVW1 EWE1 EWM1 EWU1 EXC1 EXK1 EXS1 EYA1 EYI1 EYQ1 EYY1 EZG1 EZO1 EZW1 FAE1 FAM1 FAU1 FBC1 FBK1 FBS1 FCA1 FCI1 FCQ1 FCY1 FDG1 FDO1 FDW1 FEE1 FEM1 FEU1 FFC1 FFK1 FFS1 FGA1 FGI1 FGQ1 FGY1 FHG1 FHO1 FHW1 FIE1 FIM1 FIU1 FJC1 FJK1 FJS1 FKA1 FKI1 FKQ1 FKY1 FLG1 FLO1 FLW1 FME1 FMM1 FMU1 FNC1 FNK1 FNS1 FOA1 FOI1 FOQ1 FOY1 FPG1 FPO1 FPW1 FQE1 FQM1 FQU1 FRC1 FRK1 FRS1 FSA1 FSI1 FSQ1 FSY1 FTG1 FTO1 FTW1 FUE1 FUM1 FUU1 FVC1 FVK1 FVS1 FWA1 FWI1 FWQ1 FWY1 FXG1 FXO1 FXW1 FYE1 FYM1 FYU1 FZC1 FZK1 FZS1 GAA1 GAI1 GAQ1 GAY1 GBG1 GBO1 GBW1 GCE1 GCM1 GCU1 GDC1 GDK1 GDS1 GEA1 GEI1 GEQ1 GEY1 GFG1 GFO1 GFW1 GGE1 GGM1 GGU1 GHC1 GHK1 GHS1 GIA1 GII1 GIQ1 GIY1 GJG1 GJO1 GJW1 GKE1 GKM1 GKU1 GLC1 GLK1 GLS1 GMA1 GMI1 GMQ1 GMY1 GNG1 GNO1 GNW1 GOE1 GOM1 GOU1 GPC1 GPK1 GPS1 GQA1 GQI1 GQQ1 GQY1 GRG1 GRO1 GRW1 GSE1 GSM1 GSU1 GTC1 GTK1 GTS1 GUA1 GUI1 GUQ1 GUY1 GVG1 GVO1 GVW1 GWE1 GWM1 GWU1 GXC1 GXK1 GXS1 GYA1 GYI1 GYQ1 GYY1 GZG1 GZO1 GZW1 HAE1 HAM1 HAU1 HBC1 HBK1 HBS1 HCA1 HCI1 HCQ1 HCY1 HDG1 HDO1 HDW1 HEE1 HEM1 HEU1 HFC1 HFK1 HFS1 HGA1 HGI1 HGQ1 HGY1 HHG1 HHO1 HHW1 HIE1 HIM1 HIU1 HJC1 HJK1 HJS1 HKA1 HKI1 HKQ1 HKY1 HLG1 HLO1 HLW1 HME1 HMM1 HMU1 HNC1 HNK1 HNS1 HOA1 HOI1 HOQ1 HOY1 HPG1 HPO1 HPW1 HQE1 HQM1 HQU1 HRC1 HRK1 HRS1 HSA1 HSI1 HSQ1 HSY1 HTG1 HTO1 HTW1 HUE1 HUM1 HUU1 HVC1 HVK1 HVS1 HWA1 HWI1 HWQ1 HWY1 HXG1 HXO1 HXW1 HYE1 HYM1 HYU1 HZC1 HZK1 HZS1 IAA1 IAI1 IAQ1 IAY1 IBG1 IBO1 IBW1 ICE1 ICM1 ICU1 IDC1 IDK1 IDS1 IEA1 IEI1 IEQ1 IEY1 IFG1 IFO1 IFW1 IGE1 IGM1 IGU1 IHC1 IHK1 IHS1 IIA1 III1 IIQ1 IIY1 IJG1 IJO1 IJW1 IKE1 IKM1 IKU1 ILC1 ILK1 ILS1 IMA1 IMI1 IMQ1 IMY1 ING1 INO1 INW1 IOE1 IOM1 IOU1 IPC1 IPK1 IPS1 IQA1 IQI1 IQQ1 IQY1 IRG1 IRO1 IRW1 ISE1 ISM1 ISU1 ITC1 ITK1 ITS1 IUA1 IUI1 IUQ1 IUY1 IVG1 IVO1 IVW1 IWE1 IWM1 IWU1 IXC1 IXK1 IXS1 IYA1 IYI1 IYQ1 IYY1 IZG1 IZO1 IZW1 JAE1 JAM1 JAU1 JBC1 JBK1 JBS1 JCA1 JCI1 JCQ1 JCY1 JDG1 JDO1 JDW1 JEE1 JEM1 JEU1 JFC1 JFK1 JFS1 JGA1 JGI1 JGQ1 JGY1 JHG1 JHO1 JHW1 JIE1 JIM1 JIU1 JJC1 JJK1 JJS1 JKA1 JKI1 JKQ1 JKY1 JLG1 JLO1 JLW1 JME1 JMM1 JMU1 JNC1 JNK1 JNS1 JOA1 JOI1 JOQ1 JOY1 JPG1 JPO1 JPW1 JQE1 JQM1 JQU1 JRC1 JRK1 JRS1 JSA1 JSI1 JSQ1 JSY1 JTG1 JTO1 JTW1 JUE1 JUM1 JUU1 JVC1 JVK1 JVS1 JWA1 JWI1 JWQ1 JWY1 JXG1 JXO1 JXW1 JYE1 JYM1 JYU1 JZC1 JZK1 JZS1 KAA1 KAI1 KAQ1 KAY1 KBG1 KBO1 KBW1 KCE1 KCM1 KCU1 KDC1 KDK1 KDS1 KEA1 KEI1 KEQ1 KEY1 KFG1 KFO1 KFW1 KGE1 KGM1 KGU1 KHC1 KHK1 KHS1 KIA1 KII1 KIQ1 KIY1 KJG1 KJO1 KJW1 KKE1 KKM1 KKU1 KLC1 KLK1 KLS1 KMA1 KMI1 KMQ1 KMY1 KNG1 KNO1 KNW1 KOE1 KOM1 KOU1 KPC1 KPK1 KPS1 KQA1 KQI1 KQQ1 KQY1 KRG1 KRO1 KRW1 KSE1 KSM1 KSU1 KTC1 KTK1 KTS1 KUA1 KUI1 KUQ1 KUY1 KVG1 KVO1 KVW1 KWE1 KWM1 KWU1 KXC1 KXK1 KXS1 KYA1 KYI1 KYQ1 KYY1 KZG1 KZO1 KZW1 LAE1 LAM1 LAU1 LBC1 LBK1 LBS1 LCA1 LCI1 LCQ1 LCY1 LDG1 LDO1 LDW1 LEE1 LEM1 LEU1 LFC1 LFK1 LFS1 LGA1 LGI1 LGQ1 LGY1 LHG1 LHO1 LHW1 LIE1 LIM1 LIU1 LJC1 LJK1 LJS1 LKA1 LKI1 LKQ1 LKY1 LLG1 LLO1 LLW1 LME1 LMM1 LMU1 LNC1 LNK1 LNS1 LOA1 LOI1 LOQ1 LOY1 LPG1 LPO1 LPW1 LQE1 LQM1 LQU1 LRC1 LRK1 LRS1 LSA1 LSI1 LSQ1 LSY1 LTG1 LTO1 LTW1 LUE1 LUM1 LUU1 LVC1 LVK1 LVS1 LWA1 LWI1 LWQ1 LWY1 LXG1 LXO1 LXW1 LYE1 LYM1 LYU1 LZC1 LZK1 LZS1 MAA1 MAI1 MAQ1 MAY1 MBG1 MBO1 MBW1 MCE1 MCM1 MCU1 MDC1 MDK1 MDS1 MEA1 MEI1 MEQ1 MEY1 MFG1 MFO1 MFW1 MGE1 MGM1 MGU1 MHC1 MHK1 MHS1 MIA1 MII1 MIQ1 MIY1 MJG1 MJO1 MJW1 MKE1 MKM1 MKU1 MLC1 MLK1 MLS1 MMA1 MMI1 MMQ1 MMY1 MNG1 MNO1 MNW1 MOE1 MOM1 MOU1 MPC1 MPK1 MPS1 MQA1 MQI1 MQQ1 MQY1 MRG1 MRO1 MRW1 MSE1 MSM1 MSU1 MTC1 MTK1 MTS1 MUA1 MUI1 MUQ1 MUY1 MVG1 MVO1 MVW1 MWE1 MWM1 MWU1 MXC1 MXK1 MXS1 MYA1 MYI1 MYQ1 MYY1 MZG1 MZO1 MZW1 NAE1 NAM1 NAU1 NBC1 NBK1 NBS1 NCA1 NCI1 NCQ1 NCY1 NDG1 NDO1 NDW1 NEE1 NEM1 NEU1 NFC1 NFK1 NFS1 NGA1 NGI1 NGQ1 NGY1 NHG1 NHO1 NHW1 NIE1 NIM1 NIU1 NJC1 NJK1 NJS1 NKA1 NKI1 NKQ1 NKY1 NLG1 NLO1 NLW1 NME1 NMM1 NMU1 NNC1 NNK1 NNS1 NOA1 NOI1 NOQ1 NOY1 NPG1 NPO1 NPW1 NQE1 NQM1 NQU1 NRC1 NRK1 NRS1 NSA1 NSI1 NSQ1 NSY1 NTG1 NTO1 NTW1 NUE1 NUM1 NUU1 NVC1 NVK1 NVS1 NWA1 NWI1 NWQ1 NWY1 NXG1 NXO1 NXW1 NYE1 NYM1 NYU1 NZC1 NZK1 NZS1 OAA1 OAI1 OAQ1 OAY1 OBG1 OBO1 OBW1 OCE1 OCM1 OCU1 ODC1 ODK1 ODS1 OEA1 OEI1 OEQ1 OEY1 OFG1 OFO1 OFW1 OGE1 OGM1 OGU1 OHC1 OHK1 OHS1 OIA1 OII1 OIQ1 OIY1 OJG1 OJO1 OJW1 OKE1 OKM1 OKU1 OLC1 OLK1 OLS1 OMA1 OMI1 OMQ1 OMY1 ONG1 ONO1 ONW1 OOE1 OOM1 OOU1 OPC1 OPK1 OPS1 OQA1 OQI1 OQQ1 OQY1 ORG1 ORO1 ORW1 OSE1 OSM1 OSU1 OTC1 OTK1 OTS1 OUA1 OUI1 OUQ1 OUY1 OVG1 OVO1 OVW1 OWE1 OWM1 OWU1 OXC1 OXK1 OXS1 OYA1 OYI1 OYQ1 OYY1 OZG1 OZO1 OZW1 PAE1 PAM1 PAU1 PBC1 PBK1 PBS1 PCA1 PCI1 PCQ1 PCY1 PDG1 PDO1 PDW1 PEE1 PEM1 PEU1 PFC1 PFK1 PFS1 PGA1 PGI1 PGQ1 PGY1 PHG1 PHO1 PHW1 PIE1 PIM1 PIU1 PJC1 PJK1 PJS1 PKA1 PKI1 PKQ1 PKY1 PLG1 PLO1 PLW1 PME1 PMM1 PMU1 PNC1 PNK1 PNS1 POA1 POI1 POQ1 POY1 PPG1 PPO1 PPW1 PQE1 PQM1 PQU1 PRC1 PRK1 PRS1 PSA1 PSI1 PSQ1 PSY1 PTG1 PTO1 PTW1 PUE1 PUM1 PUU1 PVC1 PVK1 PVS1 PWA1 PWI1 PWQ1 PWY1 PXG1 PXO1 PXW1 PYE1 PYM1 PYU1 PZC1 PZK1 PZS1 QAA1 QAI1 QAQ1 QAY1 QBG1 QBO1 QBW1 QCE1 QCM1 QCU1 QDC1 QDK1 QDS1 QEA1 QEI1 QEQ1 QEY1 QFG1 QFO1 QFW1 QGE1 QGM1 QGU1 QHC1 QHK1 QHS1 QIA1 QII1 QIQ1 QIY1 QJG1 QJO1 QJW1 QKE1 QKM1 QKU1 QLC1 QLK1 QLS1 QMA1 QMI1 QMQ1 QMY1 QNG1 QNO1 QNW1 QOE1 QOM1 QOU1 QPC1 QPK1 QPS1 QQA1 QQI1 QQQ1 QQY1 QRG1 QRO1 QRW1 QSE1 QSM1 QSU1 QTC1 QTK1 QTS1 QUA1 QUI1 QUQ1 QUY1 QVG1 QVO1 QVW1 QWE1 QWM1 QWU1 QXC1 QXK1 QXS1 QYA1 QYI1 QYQ1 QYY1 QZG1 QZO1 QZW1 RAE1 RAM1 RAU1 RBC1 RBK1 RBS1 RCA1 RCI1 RCQ1 RCY1 RDG1 RDO1 RDW1 REE1 REM1 REU1 RFC1 RFK1 RFS1 RGA1 RGI1 RGQ1 RGY1 RHG1 RHO1 RHW1 RIE1 RIM1 RIU1 RJC1 RJK1 RJS1 RKA1 RKI1 RKQ1 RKY1 RLG1 RLO1 RLW1 RME1 RMM1 RMU1 RNC1 RNK1 RNS1 ROA1 ROI1 ROQ1 ROY1 RPG1 RPO1 RPW1 RQE1 RQM1 RQU1 RRC1 RRK1 RRS1 RSA1 RSI1 RSQ1 RSY1 RTG1 RTO1 RTW1 RUE1 RUM1 RUU1 RVC1 RVK1 RVS1 RWA1 RWI1 RWQ1 RWY1 RXG1 RXO1 RXW1 RYE1 RYM1 RYU1 RZC1 RZK1 RZS1 SAA1 SAI1 SAQ1 SAY1 SBG1 SBO1 SBW1 SCE1 SCM1 SCU1 SDC1 SDK1 SDS1 SEA1 SEI1 SEQ1 SEY1 SFG1 SFO1 SFW1 SGE1 SGM1 SGU1 SHC1 SHK1 SHS1 SIA1 SII1 SIQ1 SIY1 SJG1 SJO1 SJW1 SKE1 SKM1 SKU1 SLC1 SLK1 SLS1 SMA1 SMI1 SMQ1 SMY1 SNG1 SNO1 SNW1 SOE1 SOM1 SOU1 SPC1 SPK1 SPS1 SQA1 SQI1 SQQ1 SQY1 SRG1 SRO1 SRW1 SSE1 SSM1 SSU1 STC1 STK1 STS1 SUA1 SUI1 SUQ1 SUY1 SVG1 SVO1 SVW1 SWE1 SWM1 SWU1 SXC1 SXK1 SXS1 SYA1 SYI1 SYQ1 SYY1 SZG1 SZO1 SZW1 TAE1 TAM1 TAU1 TBC1 TBK1 TBS1 TCA1 TCI1 TCQ1 TCY1 TDG1 TDO1 TDW1 TEE1 TEM1 TEU1 TFC1 TFK1 TFS1 TGA1 TGI1 TGQ1 TGY1 THG1 THO1 THW1 TIE1 TIM1 TIU1 TJC1 TJK1 TJS1 TKA1 TKI1 TKQ1 TKY1 TLG1 TLO1 TLW1 TME1 TMM1 TMU1 TNC1 TNK1 TNS1 TOA1 TOI1 TOQ1 TOY1 TPG1 TPO1 TPW1 TQE1 TQM1 TQU1 TRC1 TRK1 TRS1 TSA1 TSI1 TSQ1 TSY1 TTG1 TTO1 TTW1 TUE1 TUM1 TUU1 TVC1 TVK1 TVS1 TWA1 TWI1 TWQ1 TWY1 TXG1 TXO1 TXW1 TYE1 TYM1 TYU1 TZC1 TZK1 TZS1 UAA1 UAI1 UAQ1 UAY1 UBG1 UBO1 UBW1 UCE1 UCM1 UCU1 UDC1 UDK1 UDS1 UEA1 UEI1 UEQ1 UEY1 UFG1 UFO1 UFW1 UGE1 UGM1 UGU1 UHC1 UHK1 UHS1 UIA1 UII1 UIQ1 UIY1 UJG1 UJO1 UJW1 UKE1 UKM1 UKU1 ULC1 ULK1 ULS1 UMA1 UMI1 UMQ1 UMY1 UNG1 UNO1 UNW1 UOE1 UOM1 UOU1 UPC1 UPK1 UPS1 UQA1 UQI1 UQQ1 UQY1 URG1 URO1 URW1 USE1 USM1 USU1 UTC1 UTK1 UTS1 UUA1 UUI1 UUQ1 UUY1 UVG1 UVO1 UVW1 UWE1 UWM1 UWU1 UXC1 UXK1 UXS1 UYA1 UYI1 UYQ1 UYY1 UZG1 UZO1 UZW1 VAE1 VAM1 VAU1 VBC1 VBK1 VBS1 VCA1 VCI1 VCQ1 VCY1 VDG1 VDO1 VDW1 VEE1 VEM1 VEU1 VFC1 VFK1 VFS1 VGA1 VGI1 VGQ1 VGY1 VHG1 VHO1 VHW1 VIE1 VIM1 VIU1 VJC1 VJK1 VJS1 VKA1 VKI1 VKQ1 VKY1 VLG1 VLO1 VLW1 VME1 VMM1 VMU1 VNC1 VNK1 VNS1 VOA1 VOI1 VOQ1 VOY1 VPG1 VPO1 VPW1 VQE1 VQM1 VQU1 VRC1 VRK1 VRS1 VSA1 VSI1 VSQ1 VSY1 VTG1 VTO1 VTW1 VUE1 VUM1 VUU1 VVC1 VVK1 VVS1 VWA1 VWI1 VWQ1 VWY1 VXG1 VXO1 VXW1 VYE1 VYM1 VYU1 VZC1 VZK1 VZS1 WAA1 WAI1 WAQ1 WAY1 WBG1 WBO1 WBW1 WCE1 WCM1 WCU1 WDC1 WDK1 WDS1 WEA1 WEI1 WEQ1 WEY1 WFG1 WFO1 WFW1 WGE1 WGM1 WGU1 WHC1 WHK1 WHS1 WIA1 WII1 WIQ1 WIY1 WJG1 WJO1 WJW1 WKE1 WKM1 WKU1 WLC1 WLK1 WLS1 WMA1 WMI1 WMQ1 WMY1 WNG1 WNO1 WNW1 WOE1 WOM1 WOU1 WPC1 WPK1 WPS1 WQA1 WQI1 WQQ1 WQY1 WRG1 WRO1 WRW1 WSE1 WSM1 WSU1 WTC1 WTK1 WTS1 WUA1 WUI1 WUQ1 WUY1 WVG1 WVO1 WVW1 WWE1 WWM1 WWU1 WXC1 WXK1 WXS1 WYA1 WYI1 WYQ1 WYY1 WZG1 WZO1 WZW1 XAE1 XAM1 XAU1 XBC1 XBK1 XBS1 XCA1 XCI1 XCQ1 XCY1 XDG1 XDO1 XDW1 XEE1 XEM1 XEU1 XFC1" xr:uid="{2931C4CF-F934-4A74-9B97-9EC9D53FA226}">
      <formula1>"UNDER PROCESS, OBTAINED, REVERTED BACK, REJECTED, CASE DISPOSED"</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FDBC1-E23B-4338-AD8E-EA6C0709C3E9}">
  <dimension ref="A1:J2002"/>
  <sheetViews>
    <sheetView workbookViewId="0">
      <selection activeCell="D8" sqref="D8"/>
    </sheetView>
  </sheetViews>
  <sheetFormatPr defaultRowHeight="14.4" x14ac:dyDescent="0.3"/>
  <cols>
    <col min="1" max="1" width="8.88671875" style="72"/>
    <col min="2" max="2" width="29" style="72" customWidth="1"/>
    <col min="3" max="3" width="41.77734375" style="72" customWidth="1"/>
    <col min="4" max="4" width="254.5546875" style="128" bestFit="1" customWidth="1"/>
    <col min="5" max="5" width="32.6640625" style="72" bestFit="1" customWidth="1"/>
    <col min="6" max="8" width="20.77734375" style="72" bestFit="1" customWidth="1"/>
    <col min="9" max="9" width="20.109375" style="72" bestFit="1" customWidth="1"/>
    <col min="10" max="10" width="15" style="72" bestFit="1" customWidth="1"/>
    <col min="11" max="16384" width="8.88671875" style="72"/>
  </cols>
  <sheetData>
    <row r="1" spans="1:10" x14ac:dyDescent="0.3">
      <c r="A1" s="83" t="s">
        <v>572</v>
      </c>
      <c r="B1" s="84" t="s">
        <v>580</v>
      </c>
      <c r="C1" s="84" t="s">
        <v>581</v>
      </c>
      <c r="D1" s="115" t="s">
        <v>582</v>
      </c>
      <c r="E1" s="84" t="s">
        <v>583</v>
      </c>
      <c r="F1" s="84" t="s">
        <v>584</v>
      </c>
      <c r="G1" s="84" t="s">
        <v>585</v>
      </c>
      <c r="H1" s="84" t="s">
        <v>586</v>
      </c>
      <c r="I1" s="84" t="s">
        <v>587</v>
      </c>
      <c r="J1" s="71"/>
    </row>
    <row r="2" spans="1:10" ht="40.799999999999997" x14ac:dyDescent="0.3">
      <c r="A2" s="84">
        <v>1</v>
      </c>
      <c r="B2" s="84" t="s">
        <v>588</v>
      </c>
      <c r="C2" s="84" t="s">
        <v>412</v>
      </c>
      <c r="D2" s="115" t="s">
        <v>589</v>
      </c>
      <c r="E2" s="85" t="s">
        <v>590</v>
      </c>
      <c r="F2" s="85">
        <v>45924</v>
      </c>
      <c r="G2" s="85" t="s">
        <v>591</v>
      </c>
      <c r="H2" s="85" t="str">
        <f>TEXT(Table7[[#This Row],[EXPIRY DATE]],"YYY")</f>
        <v>2025</v>
      </c>
      <c r="I2" s="84" t="s">
        <v>592</v>
      </c>
      <c r="J2" s="69"/>
    </row>
    <row r="3" spans="1:10" ht="20.399999999999999" x14ac:dyDescent="0.3">
      <c r="A3" s="84">
        <v>2</v>
      </c>
      <c r="B3" s="84" t="s">
        <v>593</v>
      </c>
      <c r="C3" s="84" t="s">
        <v>412</v>
      </c>
      <c r="D3" s="115" t="s">
        <v>594</v>
      </c>
      <c r="E3" s="86" t="s">
        <v>595</v>
      </c>
      <c r="F3" s="86">
        <v>45930</v>
      </c>
      <c r="G3" s="85" t="str">
        <f>TEXT(Table7[[#This Row],[EXPIRY DATE]],"MMM")</f>
        <v>Sep</v>
      </c>
      <c r="H3" s="85" t="str">
        <f>TEXT(Table7[[#This Row],[EXPIRY DATE]],"YYY")</f>
        <v>2025</v>
      </c>
      <c r="I3" s="84" t="s">
        <v>592</v>
      </c>
      <c r="J3" s="69"/>
    </row>
    <row r="4" spans="1:10" x14ac:dyDescent="0.3">
      <c r="A4" s="84">
        <v>3</v>
      </c>
      <c r="B4" s="84" t="s">
        <v>596</v>
      </c>
      <c r="C4" s="84" t="s">
        <v>412</v>
      </c>
      <c r="D4" s="115" t="s">
        <v>597</v>
      </c>
      <c r="E4" s="84" t="s">
        <v>598</v>
      </c>
      <c r="F4" s="86">
        <v>45930</v>
      </c>
      <c r="G4" s="85" t="str">
        <f>TEXT(Table7[[#This Row],[EXPIRY DATE]],"MMM")</f>
        <v>Sep</v>
      </c>
      <c r="H4" s="85" t="str">
        <f>TEXT(Table7[[#This Row],[EXPIRY DATE]],"YYY")</f>
        <v>2025</v>
      </c>
      <c r="I4" s="84" t="s">
        <v>592</v>
      </c>
      <c r="J4" s="69"/>
    </row>
    <row r="5" spans="1:10" x14ac:dyDescent="0.3">
      <c r="A5" s="84">
        <v>4</v>
      </c>
      <c r="B5" s="87" t="s">
        <v>599</v>
      </c>
      <c r="C5" s="84" t="s">
        <v>412</v>
      </c>
      <c r="D5" s="116" t="s">
        <v>600</v>
      </c>
      <c r="E5" s="88" t="s">
        <v>601</v>
      </c>
      <c r="F5" s="85">
        <v>45999</v>
      </c>
      <c r="G5" s="85" t="str">
        <f>TEXT(Table7[[#This Row],[EXPIRY DATE]],"MMM")</f>
        <v>Dec</v>
      </c>
      <c r="H5" s="85" t="str">
        <f>TEXT(Table7[[#This Row],[EXPIRY DATE]],"YYY")</f>
        <v>2025</v>
      </c>
      <c r="I5" s="84" t="s">
        <v>602</v>
      </c>
      <c r="J5" s="69"/>
    </row>
    <row r="6" spans="1:10" x14ac:dyDescent="0.3">
      <c r="A6" s="84">
        <v>5</v>
      </c>
      <c r="B6" s="87" t="s">
        <v>599</v>
      </c>
      <c r="C6" s="84" t="s">
        <v>412</v>
      </c>
      <c r="D6" s="116" t="s">
        <v>600</v>
      </c>
      <c r="E6" s="88" t="s">
        <v>601</v>
      </c>
      <c r="F6" s="85">
        <v>46000</v>
      </c>
      <c r="G6" s="85" t="str">
        <f>TEXT(Table7[[#This Row],[EXPIRY DATE]],"MMM")</f>
        <v>Dec</v>
      </c>
      <c r="H6" s="85" t="str">
        <f>TEXT(Table7[[#This Row],[EXPIRY DATE]],"YYY")</f>
        <v>2025</v>
      </c>
      <c r="I6" s="84" t="s">
        <v>592</v>
      </c>
      <c r="J6" s="69"/>
    </row>
    <row r="7" spans="1:10" x14ac:dyDescent="0.3">
      <c r="A7" s="84">
        <v>6</v>
      </c>
      <c r="B7" s="84" t="s">
        <v>603</v>
      </c>
      <c r="C7" s="84" t="s">
        <v>412</v>
      </c>
      <c r="D7" s="115" t="s">
        <v>604</v>
      </c>
      <c r="E7" s="85" t="s">
        <v>605</v>
      </c>
      <c r="F7" s="85">
        <v>46112</v>
      </c>
      <c r="G7" s="85" t="s">
        <v>606</v>
      </c>
      <c r="H7" s="85" t="str">
        <f>TEXT(Table7[[#This Row],[EXPIRY DATE]],"YYY")</f>
        <v>2026</v>
      </c>
      <c r="I7" s="84" t="s">
        <v>607</v>
      </c>
      <c r="J7" s="69"/>
    </row>
    <row r="8" spans="1:10" x14ac:dyDescent="0.3">
      <c r="A8" s="84">
        <v>7</v>
      </c>
      <c r="B8" s="84" t="s">
        <v>596</v>
      </c>
      <c r="C8" s="84" t="s">
        <v>412</v>
      </c>
      <c r="D8" s="115" t="s">
        <v>597</v>
      </c>
      <c r="E8" s="85" t="s">
        <v>598</v>
      </c>
      <c r="F8" s="85">
        <v>46112</v>
      </c>
      <c r="G8" s="85" t="str">
        <f>TEXT(Table7[[#This Row],[EXPIRY DATE]],"MMM")</f>
        <v>Mar</v>
      </c>
      <c r="H8" s="85" t="str">
        <f>TEXT(Table7[[#This Row],[EXPIRY DATE]],"YYY")</f>
        <v>2026</v>
      </c>
      <c r="I8" s="84" t="s">
        <v>607</v>
      </c>
      <c r="J8" s="69"/>
    </row>
    <row r="9" spans="1:10" x14ac:dyDescent="0.3">
      <c r="A9" s="84">
        <v>8</v>
      </c>
      <c r="B9" s="84" t="s">
        <v>608</v>
      </c>
      <c r="C9" s="84" t="s">
        <v>412</v>
      </c>
      <c r="D9" s="115" t="s">
        <v>609</v>
      </c>
      <c r="E9" s="85" t="s">
        <v>610</v>
      </c>
      <c r="F9" s="85">
        <v>46140</v>
      </c>
      <c r="G9" s="85" t="s">
        <v>611</v>
      </c>
      <c r="H9" s="85" t="str">
        <f>TEXT(Table7[[#This Row],[EXPIRY DATE]],"YYY")</f>
        <v>2026</v>
      </c>
      <c r="I9" s="84" t="s">
        <v>592</v>
      </c>
      <c r="J9" s="69"/>
    </row>
    <row r="10" spans="1:10" x14ac:dyDescent="0.3">
      <c r="A10" s="84">
        <v>9</v>
      </c>
      <c r="B10" s="84" t="s">
        <v>212</v>
      </c>
      <c r="C10" s="84" t="s">
        <v>412</v>
      </c>
      <c r="D10" s="117" t="s">
        <v>612</v>
      </c>
      <c r="E10" s="85" t="s">
        <v>613</v>
      </c>
      <c r="F10" s="85">
        <v>46140</v>
      </c>
      <c r="G10" s="85" t="s">
        <v>611</v>
      </c>
      <c r="H10" s="85" t="str">
        <f>TEXT(Table7[[#This Row],[EXPIRY DATE]],"YYY")</f>
        <v>2026</v>
      </c>
      <c r="I10" s="84" t="s">
        <v>592</v>
      </c>
      <c r="J10" s="69"/>
    </row>
    <row r="11" spans="1:10" ht="30.6" x14ac:dyDescent="0.3">
      <c r="A11" s="84">
        <v>10</v>
      </c>
      <c r="B11" s="84" t="s">
        <v>614</v>
      </c>
      <c r="C11" s="84" t="s">
        <v>412</v>
      </c>
      <c r="D11" s="115" t="s">
        <v>615</v>
      </c>
      <c r="E11" s="85" t="s">
        <v>616</v>
      </c>
      <c r="F11" s="85">
        <v>46146</v>
      </c>
      <c r="G11" s="85" t="str">
        <f>TEXT(Table7[[#This Row],[EXPIRY DATE]],"MMM")</f>
        <v>May</v>
      </c>
      <c r="H11" s="85" t="str">
        <f>TEXT(Table7[[#This Row],[EXPIRY DATE]],"YYY")</f>
        <v>2026</v>
      </c>
      <c r="I11" s="84" t="s">
        <v>602</v>
      </c>
      <c r="J11" s="69"/>
    </row>
    <row r="12" spans="1:10" x14ac:dyDescent="0.3">
      <c r="A12" s="84">
        <v>11</v>
      </c>
      <c r="B12" s="84" t="s">
        <v>617</v>
      </c>
      <c r="C12" s="84" t="s">
        <v>412</v>
      </c>
      <c r="D12" s="115" t="s">
        <v>618</v>
      </c>
      <c r="E12" s="85" t="s">
        <v>610</v>
      </c>
      <c r="F12" s="85">
        <v>46234</v>
      </c>
      <c r="G12" s="85" t="s">
        <v>619</v>
      </c>
      <c r="H12" s="85" t="str">
        <f>TEXT(Table7[[#This Row],[EXPIRY DATE]],"YYY")</f>
        <v>2026</v>
      </c>
      <c r="I12" s="84" t="s">
        <v>592</v>
      </c>
      <c r="J12" s="69"/>
    </row>
    <row r="13" spans="1:10" x14ac:dyDescent="0.3">
      <c r="A13" s="84">
        <v>12</v>
      </c>
      <c r="B13" s="84" t="s">
        <v>620</v>
      </c>
      <c r="C13" s="84" t="s">
        <v>412</v>
      </c>
      <c r="D13" s="115" t="s">
        <v>618</v>
      </c>
      <c r="E13" s="85" t="s">
        <v>616</v>
      </c>
      <c r="F13" s="85">
        <v>46384</v>
      </c>
      <c r="G13" s="85" t="str">
        <f>TEXT(Table7[[#This Row],[EXPIRY DATE]],"MMM")</f>
        <v>Dec</v>
      </c>
      <c r="H13" s="85" t="str">
        <f>TEXT(Table7[[#This Row],[EXPIRY DATE]],"YYY")</f>
        <v>2026</v>
      </c>
      <c r="I13" s="84" t="s">
        <v>621</v>
      </c>
      <c r="J13" s="69"/>
    </row>
    <row r="14" spans="1:10" x14ac:dyDescent="0.3">
      <c r="A14" s="84">
        <v>13</v>
      </c>
      <c r="B14" s="84" t="s">
        <v>622</v>
      </c>
      <c r="C14" s="84" t="s">
        <v>412</v>
      </c>
      <c r="D14" s="115" t="s">
        <v>623</v>
      </c>
      <c r="E14" s="85" t="s">
        <v>624</v>
      </c>
      <c r="F14" s="85">
        <v>46387</v>
      </c>
      <c r="G14" s="85" t="s">
        <v>625</v>
      </c>
      <c r="H14" s="85" t="str">
        <f>TEXT(Table7[[#This Row],[EXPIRY DATE]],"YYY")</f>
        <v>2026</v>
      </c>
      <c r="I14" s="84" t="s">
        <v>602</v>
      </c>
      <c r="J14" s="69"/>
    </row>
    <row r="15" spans="1:10" x14ac:dyDescent="0.3">
      <c r="A15" s="84">
        <v>14</v>
      </c>
      <c r="B15" s="84" t="s">
        <v>608</v>
      </c>
      <c r="C15" s="84" t="s">
        <v>412</v>
      </c>
      <c r="D15" s="115" t="s">
        <v>609</v>
      </c>
      <c r="E15" s="85" t="s">
        <v>610</v>
      </c>
      <c r="F15" s="85">
        <v>46387</v>
      </c>
      <c r="G15" s="85" t="s">
        <v>625</v>
      </c>
      <c r="H15" s="85" t="str">
        <f>TEXT(Table7[[#This Row],[EXPIRY DATE]],"YYY")</f>
        <v>2026</v>
      </c>
      <c r="I15" s="84" t="s">
        <v>602</v>
      </c>
      <c r="J15" s="69"/>
    </row>
    <row r="16" spans="1:10" x14ac:dyDescent="0.3">
      <c r="A16" s="84">
        <v>15</v>
      </c>
      <c r="B16" s="84" t="s">
        <v>608</v>
      </c>
      <c r="C16" s="84" t="s">
        <v>412</v>
      </c>
      <c r="D16" s="115" t="s">
        <v>609</v>
      </c>
      <c r="E16" s="85" t="s">
        <v>610</v>
      </c>
      <c r="F16" s="85">
        <v>46387</v>
      </c>
      <c r="G16" s="85" t="s">
        <v>625</v>
      </c>
      <c r="H16" s="85" t="str">
        <f>TEXT(Table7[[#This Row],[EXPIRY DATE]],"YYY")</f>
        <v>2026</v>
      </c>
      <c r="I16" s="84" t="s">
        <v>607</v>
      </c>
      <c r="J16" s="69"/>
    </row>
    <row r="17" spans="1:10" x14ac:dyDescent="0.3">
      <c r="A17" s="84">
        <v>16</v>
      </c>
      <c r="B17" s="84" t="s">
        <v>626</v>
      </c>
      <c r="C17" s="84" t="s">
        <v>412</v>
      </c>
      <c r="D17" s="115" t="s">
        <v>627</v>
      </c>
      <c r="E17" s="85" t="s">
        <v>610</v>
      </c>
      <c r="F17" s="85">
        <v>46387</v>
      </c>
      <c r="G17" s="85" t="s">
        <v>625</v>
      </c>
      <c r="H17" s="85" t="str">
        <f>TEXT(Table7[[#This Row],[EXPIRY DATE]],"YYY")</f>
        <v>2026</v>
      </c>
      <c r="I17" s="84" t="s">
        <v>592</v>
      </c>
      <c r="J17" s="69"/>
    </row>
    <row r="18" spans="1:10" ht="20.399999999999999" x14ac:dyDescent="0.3">
      <c r="A18" s="84">
        <v>17</v>
      </c>
      <c r="B18" s="84" t="s">
        <v>593</v>
      </c>
      <c r="C18" s="84" t="s">
        <v>412</v>
      </c>
      <c r="D18" s="115" t="s">
        <v>594</v>
      </c>
      <c r="E18" s="85" t="s">
        <v>595</v>
      </c>
      <c r="F18" s="85">
        <v>46477</v>
      </c>
      <c r="G18" s="85" t="str">
        <f>TEXT(Table7[[#This Row],[EXPIRY DATE]],"MMM")</f>
        <v>Mar</v>
      </c>
      <c r="H18" s="85" t="str">
        <f>TEXT(Table7[[#This Row],[EXPIRY DATE]],"YYY")</f>
        <v>2027</v>
      </c>
      <c r="I18" s="84" t="s">
        <v>602</v>
      </c>
      <c r="J18" s="69"/>
    </row>
    <row r="19" spans="1:10" x14ac:dyDescent="0.3">
      <c r="A19" s="84">
        <v>18</v>
      </c>
      <c r="B19" s="84" t="s">
        <v>596</v>
      </c>
      <c r="C19" s="84" t="s">
        <v>412</v>
      </c>
      <c r="D19" s="115" t="s">
        <v>628</v>
      </c>
      <c r="E19" s="85" t="s">
        <v>598</v>
      </c>
      <c r="F19" s="85">
        <v>47118</v>
      </c>
      <c r="G19" s="85" t="str">
        <f>TEXT(Table7[[#This Row],[EXPIRY DATE]],"MMM")</f>
        <v>Dec</v>
      </c>
      <c r="H19" s="85" t="str">
        <f>TEXT(Table7[[#This Row],[EXPIRY DATE]],"YYY")</f>
        <v>2028</v>
      </c>
      <c r="I19" s="84" t="s">
        <v>602</v>
      </c>
      <c r="J19" s="73"/>
    </row>
    <row r="20" spans="1:10" x14ac:dyDescent="0.3">
      <c r="A20" s="84">
        <v>19</v>
      </c>
      <c r="B20" s="84" t="s">
        <v>603</v>
      </c>
      <c r="C20" s="84" t="s">
        <v>412</v>
      </c>
      <c r="D20" s="115" t="s">
        <v>604</v>
      </c>
      <c r="E20" s="85" t="s">
        <v>605</v>
      </c>
      <c r="F20" s="85">
        <v>47483</v>
      </c>
      <c r="G20" s="85" t="s">
        <v>625</v>
      </c>
      <c r="H20" s="85" t="str">
        <f>TEXT(Table7[[#This Row],[EXPIRY DATE]],"YYY")</f>
        <v>2029</v>
      </c>
      <c r="I20" s="84" t="s">
        <v>602</v>
      </c>
      <c r="J20" s="69"/>
    </row>
    <row r="21" spans="1:10" x14ac:dyDescent="0.3">
      <c r="A21" s="84">
        <v>20</v>
      </c>
      <c r="B21" s="84" t="s">
        <v>212</v>
      </c>
      <c r="C21" s="84" t="s">
        <v>412</v>
      </c>
      <c r="D21" s="117" t="s">
        <v>612</v>
      </c>
      <c r="E21" s="85" t="s">
        <v>613</v>
      </c>
      <c r="F21" s="84" t="s">
        <v>629</v>
      </c>
      <c r="G21" s="85" t="s">
        <v>81</v>
      </c>
      <c r="H21" s="85" t="str">
        <f>TEXT(Table7[[#This Row],[EXPIRY DATE]],"YYY")</f>
        <v>LIFETIME</v>
      </c>
      <c r="I21" s="84" t="s">
        <v>602</v>
      </c>
      <c r="J21" s="69"/>
    </row>
    <row r="22" spans="1:10" x14ac:dyDescent="0.3">
      <c r="A22" s="84">
        <v>21</v>
      </c>
      <c r="B22" s="84" t="s">
        <v>630</v>
      </c>
      <c r="C22" s="84" t="s">
        <v>631</v>
      </c>
      <c r="D22" s="115" t="s">
        <v>632</v>
      </c>
      <c r="E22" s="85" t="s">
        <v>633</v>
      </c>
      <c r="F22" s="85">
        <v>46112</v>
      </c>
      <c r="G22" s="85" t="s">
        <v>606</v>
      </c>
      <c r="H22" s="85" t="str">
        <f>TEXT(Table7[[#This Row],[EXPIRY DATE]],"YYY")</f>
        <v>2026</v>
      </c>
      <c r="I22" s="84" t="s">
        <v>602</v>
      </c>
      <c r="J22" s="69"/>
    </row>
    <row r="23" spans="1:10" x14ac:dyDescent="0.3">
      <c r="A23" s="84">
        <v>22</v>
      </c>
      <c r="B23" s="84" t="s">
        <v>634</v>
      </c>
      <c r="C23" s="84" t="s">
        <v>631</v>
      </c>
      <c r="D23" s="115" t="s">
        <v>635</v>
      </c>
      <c r="E23" s="85" t="s">
        <v>610</v>
      </c>
      <c r="F23" s="85">
        <v>46387</v>
      </c>
      <c r="G23" s="85" t="s">
        <v>625</v>
      </c>
      <c r="H23" s="85" t="str">
        <f>TEXT(Table7[[#This Row],[EXPIRY DATE]],"YYY")</f>
        <v>2026</v>
      </c>
      <c r="I23" s="84" t="s">
        <v>602</v>
      </c>
      <c r="J23" s="69"/>
    </row>
    <row r="24" spans="1:10" x14ac:dyDescent="0.3">
      <c r="A24" s="84">
        <v>23</v>
      </c>
      <c r="B24" s="84" t="s">
        <v>634</v>
      </c>
      <c r="C24" s="84" t="s">
        <v>631</v>
      </c>
      <c r="D24" s="115" t="s">
        <v>635</v>
      </c>
      <c r="E24" s="85" t="s">
        <v>610</v>
      </c>
      <c r="F24" s="85">
        <v>46387</v>
      </c>
      <c r="G24" s="85" t="s">
        <v>625</v>
      </c>
      <c r="H24" s="85" t="str">
        <f>TEXT(Table7[[#This Row],[EXPIRY DATE]],"YYY")</f>
        <v>2026</v>
      </c>
      <c r="I24" s="84" t="s">
        <v>607</v>
      </c>
      <c r="J24" s="69"/>
    </row>
    <row r="25" spans="1:10" x14ac:dyDescent="0.3">
      <c r="A25" s="84">
        <v>24</v>
      </c>
      <c r="B25" s="84">
        <v>10143</v>
      </c>
      <c r="C25" s="84" t="s">
        <v>636</v>
      </c>
      <c r="D25" s="115" t="s">
        <v>637</v>
      </c>
      <c r="E25" s="85" t="s">
        <v>638</v>
      </c>
      <c r="F25" s="85">
        <v>45291</v>
      </c>
      <c r="G25" s="85" t="str">
        <f>TEXT(Table7[[#This Row],[EXPIRY DATE]],"MMM")</f>
        <v>Dec</v>
      </c>
      <c r="H25" s="85" t="str">
        <f>TEXT(Table7[[#This Row],[EXPIRY DATE]],"YYY")</f>
        <v>2023</v>
      </c>
      <c r="I25" s="84" t="s">
        <v>602</v>
      </c>
      <c r="J25" s="69"/>
    </row>
    <row r="26" spans="1:10" x14ac:dyDescent="0.3">
      <c r="A26" s="84">
        <v>25</v>
      </c>
      <c r="B26" s="84">
        <v>10084</v>
      </c>
      <c r="C26" s="84" t="s">
        <v>636</v>
      </c>
      <c r="D26" s="115" t="s">
        <v>639</v>
      </c>
      <c r="E26" s="85" t="s">
        <v>640</v>
      </c>
      <c r="F26" s="85">
        <v>45657</v>
      </c>
      <c r="G26" s="85" t="str">
        <f>TEXT(Table7[[#This Row],[EXPIRY DATE]],"MMM")</f>
        <v>Dec</v>
      </c>
      <c r="H26" s="85" t="str">
        <f>TEXT(Table7[[#This Row],[EXPIRY DATE]],"YYY")</f>
        <v>2024</v>
      </c>
      <c r="I26" s="84" t="s">
        <v>602</v>
      </c>
      <c r="J26" s="69"/>
    </row>
    <row r="27" spans="1:10" x14ac:dyDescent="0.3">
      <c r="A27" s="84">
        <v>26</v>
      </c>
      <c r="B27" s="89">
        <v>10049</v>
      </c>
      <c r="C27" s="84" t="s">
        <v>636</v>
      </c>
      <c r="D27" s="115" t="s">
        <v>641</v>
      </c>
      <c r="E27" s="85" t="s">
        <v>640</v>
      </c>
      <c r="F27" s="85">
        <v>45657</v>
      </c>
      <c r="G27" s="85" t="str">
        <f>TEXT(Table7[[#This Row],[EXPIRY DATE]],"MMM")</f>
        <v>Dec</v>
      </c>
      <c r="H27" s="85" t="str">
        <f>TEXT(Table7[[#This Row],[EXPIRY DATE]],"YYY")</f>
        <v>2024</v>
      </c>
      <c r="I27" s="84" t="s">
        <v>602</v>
      </c>
      <c r="J27" s="69"/>
    </row>
    <row r="28" spans="1:10" x14ac:dyDescent="0.3">
      <c r="A28" s="84">
        <v>27</v>
      </c>
      <c r="B28" s="84">
        <v>10036</v>
      </c>
      <c r="C28" s="84" t="s">
        <v>636</v>
      </c>
      <c r="D28" s="115" t="s">
        <v>642</v>
      </c>
      <c r="E28" s="85" t="s">
        <v>640</v>
      </c>
      <c r="F28" s="85">
        <v>45657</v>
      </c>
      <c r="G28" s="85" t="str">
        <f>TEXT(Table7[[#This Row],[EXPIRY DATE]],"MMM")</f>
        <v>Dec</v>
      </c>
      <c r="H28" s="85" t="str">
        <f>TEXT(Table7[[#This Row],[EXPIRY DATE]],"YYY")</f>
        <v>2024</v>
      </c>
      <c r="I28" s="84" t="s">
        <v>602</v>
      </c>
      <c r="J28" s="69"/>
    </row>
    <row r="29" spans="1:10" x14ac:dyDescent="0.3">
      <c r="A29" s="84">
        <v>28</v>
      </c>
      <c r="B29" s="89">
        <v>10009</v>
      </c>
      <c r="C29" s="84" t="s">
        <v>636</v>
      </c>
      <c r="D29" s="115" t="s">
        <v>643</v>
      </c>
      <c r="E29" s="85" t="s">
        <v>640</v>
      </c>
      <c r="F29" s="85">
        <v>45657</v>
      </c>
      <c r="G29" s="85" t="str">
        <f>TEXT(Table7[[#This Row],[EXPIRY DATE]],"MMM")</f>
        <v>Dec</v>
      </c>
      <c r="H29" s="85" t="str">
        <f>TEXT(Table7[[#This Row],[EXPIRY DATE]],"YYY")</f>
        <v>2024</v>
      </c>
      <c r="I29" s="84" t="s">
        <v>602</v>
      </c>
      <c r="J29" s="69"/>
    </row>
    <row r="30" spans="1:10" x14ac:dyDescent="0.3">
      <c r="A30" s="84">
        <v>29</v>
      </c>
      <c r="B30" s="84">
        <v>10121</v>
      </c>
      <c r="C30" s="84" t="s">
        <v>636</v>
      </c>
      <c r="D30" s="115" t="s">
        <v>644</v>
      </c>
      <c r="E30" s="85" t="s">
        <v>645</v>
      </c>
      <c r="F30" s="85">
        <v>45747</v>
      </c>
      <c r="G30" s="85" t="str">
        <f>TEXT(Table7[[#This Row],[EXPIRY DATE]],"MMM")</f>
        <v>Mar</v>
      </c>
      <c r="H30" s="85" t="str">
        <f>TEXT(Table7[[#This Row],[EXPIRY DATE]],"YYY")</f>
        <v>2025</v>
      </c>
      <c r="I30" s="84" t="s">
        <v>607</v>
      </c>
      <c r="J30" s="69"/>
    </row>
    <row r="31" spans="1:10" x14ac:dyDescent="0.3">
      <c r="A31" s="84">
        <v>30</v>
      </c>
      <c r="B31" s="84">
        <v>10115</v>
      </c>
      <c r="C31" s="84" t="s">
        <v>636</v>
      </c>
      <c r="D31" s="115" t="s">
        <v>646</v>
      </c>
      <c r="E31" s="85" t="s">
        <v>647</v>
      </c>
      <c r="F31" s="85">
        <v>45747</v>
      </c>
      <c r="G31" s="85" t="str">
        <f>TEXT(Table7[[#This Row],[EXPIRY DATE]],"MMM")</f>
        <v>Mar</v>
      </c>
      <c r="H31" s="85" t="str">
        <f>TEXT(Table7[[#This Row],[EXPIRY DATE]],"YYY")</f>
        <v>2025</v>
      </c>
      <c r="I31" s="84" t="s">
        <v>607</v>
      </c>
      <c r="J31" s="69"/>
    </row>
    <row r="32" spans="1:10" x14ac:dyDescent="0.3">
      <c r="A32" s="84">
        <v>31</v>
      </c>
      <c r="B32" s="84">
        <v>10112</v>
      </c>
      <c r="C32" s="84" t="s">
        <v>636</v>
      </c>
      <c r="D32" s="115" t="s">
        <v>648</v>
      </c>
      <c r="E32" s="85" t="s">
        <v>645</v>
      </c>
      <c r="F32" s="85">
        <v>45747</v>
      </c>
      <c r="G32" s="85" t="str">
        <f>TEXT(Table7[[#This Row],[EXPIRY DATE]],"MMM")</f>
        <v>Mar</v>
      </c>
      <c r="H32" s="85" t="str">
        <f>TEXT(Table7[[#This Row],[EXPIRY DATE]],"YYY")</f>
        <v>2025</v>
      </c>
      <c r="I32" s="84" t="s">
        <v>607</v>
      </c>
      <c r="J32" s="69"/>
    </row>
    <row r="33" spans="1:10" x14ac:dyDescent="0.3">
      <c r="A33" s="84">
        <v>32</v>
      </c>
      <c r="B33" s="89">
        <v>10026</v>
      </c>
      <c r="C33" s="84" t="s">
        <v>636</v>
      </c>
      <c r="D33" s="115" t="s">
        <v>649</v>
      </c>
      <c r="E33" s="85" t="s">
        <v>645</v>
      </c>
      <c r="F33" s="85">
        <v>45747</v>
      </c>
      <c r="G33" s="85" t="str">
        <f>TEXT(Table7[[#This Row],[EXPIRY DATE]],"MMM")</f>
        <v>Mar</v>
      </c>
      <c r="H33" s="85" t="str">
        <f>TEXT(Table7[[#This Row],[EXPIRY DATE]],"YYY")</f>
        <v>2025</v>
      </c>
      <c r="I33" s="84" t="s">
        <v>607</v>
      </c>
      <c r="J33" s="69"/>
    </row>
    <row r="34" spans="1:10" x14ac:dyDescent="0.3">
      <c r="A34" s="84">
        <v>33</v>
      </c>
      <c r="B34" s="84" t="s">
        <v>650</v>
      </c>
      <c r="C34" s="84" t="s">
        <v>636</v>
      </c>
      <c r="D34" s="115" t="s">
        <v>651</v>
      </c>
      <c r="E34" s="85" t="s">
        <v>652</v>
      </c>
      <c r="F34" s="85">
        <v>45884</v>
      </c>
      <c r="G34" s="85" t="str">
        <f>TEXT(Table7[[#This Row],[EXPIRY DATE]],"MMM")</f>
        <v>Aug</v>
      </c>
      <c r="H34" s="85" t="str">
        <f>TEXT(Table7[[#This Row],[EXPIRY DATE]],"YYY")</f>
        <v>2025</v>
      </c>
      <c r="I34" s="84" t="s">
        <v>621</v>
      </c>
      <c r="J34" s="69"/>
    </row>
    <row r="35" spans="1:10" x14ac:dyDescent="0.3">
      <c r="A35" s="84">
        <v>34</v>
      </c>
      <c r="B35" s="84" t="s">
        <v>653</v>
      </c>
      <c r="C35" s="84" t="s">
        <v>636</v>
      </c>
      <c r="D35" s="115" t="s">
        <v>654</v>
      </c>
      <c r="E35" s="85" t="s">
        <v>652</v>
      </c>
      <c r="F35" s="85">
        <v>45884</v>
      </c>
      <c r="G35" s="85" t="str">
        <f>TEXT(Table7[[#This Row],[EXPIRY DATE]],"MMM")</f>
        <v>Aug</v>
      </c>
      <c r="H35" s="85" t="str">
        <f>TEXT(Table7[[#This Row],[EXPIRY DATE]],"YYY")</f>
        <v>2025</v>
      </c>
      <c r="I35" s="84" t="s">
        <v>621</v>
      </c>
      <c r="J35" s="69"/>
    </row>
    <row r="36" spans="1:10" x14ac:dyDescent="0.3">
      <c r="A36" s="84">
        <v>35</v>
      </c>
      <c r="B36" s="84" t="s">
        <v>655</v>
      </c>
      <c r="C36" s="84" t="s">
        <v>636</v>
      </c>
      <c r="D36" s="115" t="s">
        <v>656</v>
      </c>
      <c r="E36" s="85" t="s">
        <v>652</v>
      </c>
      <c r="F36" s="85">
        <v>45884</v>
      </c>
      <c r="G36" s="85" t="str">
        <f>TEXT(Table7[[#This Row],[EXPIRY DATE]],"MMM")</f>
        <v>Aug</v>
      </c>
      <c r="H36" s="85" t="str">
        <f>TEXT(Table7[[#This Row],[EXPIRY DATE]],"YYY")</f>
        <v>2025</v>
      </c>
      <c r="I36" s="84" t="s">
        <v>621</v>
      </c>
      <c r="J36" s="69"/>
    </row>
    <row r="37" spans="1:10" x14ac:dyDescent="0.3">
      <c r="A37" s="84">
        <v>36</v>
      </c>
      <c r="B37" s="84" t="s">
        <v>657</v>
      </c>
      <c r="C37" s="84" t="s">
        <v>636</v>
      </c>
      <c r="D37" s="115" t="s">
        <v>658</v>
      </c>
      <c r="E37" s="85" t="s">
        <v>652</v>
      </c>
      <c r="F37" s="85">
        <v>45884</v>
      </c>
      <c r="G37" s="85" t="str">
        <f>TEXT(Table7[[#This Row],[EXPIRY DATE]],"MMM")</f>
        <v>Aug</v>
      </c>
      <c r="H37" s="85" t="str">
        <f>TEXT(Table7[[#This Row],[EXPIRY DATE]],"YYY")</f>
        <v>2025</v>
      </c>
      <c r="I37" s="84" t="s">
        <v>621</v>
      </c>
      <c r="J37" s="69"/>
    </row>
    <row r="38" spans="1:10" x14ac:dyDescent="0.3">
      <c r="A38" s="84">
        <v>37</v>
      </c>
      <c r="B38" s="89" t="s">
        <v>659</v>
      </c>
      <c r="C38" s="84" t="s">
        <v>636</v>
      </c>
      <c r="D38" s="115" t="s">
        <v>660</v>
      </c>
      <c r="E38" s="85" t="s">
        <v>652</v>
      </c>
      <c r="F38" s="85">
        <v>45884</v>
      </c>
      <c r="G38" s="85" t="str">
        <f>TEXT(Table7[[#This Row],[EXPIRY DATE]],"MMM")</f>
        <v>Aug</v>
      </c>
      <c r="H38" s="85" t="str">
        <f>TEXT(Table7[[#This Row],[EXPIRY DATE]],"YYY")</f>
        <v>2025</v>
      </c>
      <c r="I38" s="84" t="s">
        <v>621</v>
      </c>
      <c r="J38" s="69"/>
    </row>
    <row r="39" spans="1:10" x14ac:dyDescent="0.3">
      <c r="A39" s="84">
        <v>38</v>
      </c>
      <c r="B39" s="84" t="s">
        <v>661</v>
      </c>
      <c r="C39" s="84" t="s">
        <v>636</v>
      </c>
      <c r="D39" s="115" t="s">
        <v>662</v>
      </c>
      <c r="E39" s="85" t="s">
        <v>616</v>
      </c>
      <c r="F39" s="85">
        <v>45924</v>
      </c>
      <c r="G39" s="85" t="str">
        <f>TEXT(Table7[[#This Row],[EXPIRY DATE]],"MMM")</f>
        <v>Sep</v>
      </c>
      <c r="H39" s="85" t="str">
        <f>TEXT(Table7[[#This Row],[EXPIRY DATE]],"YYY")</f>
        <v>2025</v>
      </c>
      <c r="I39" s="84" t="s">
        <v>602</v>
      </c>
      <c r="J39" s="69"/>
    </row>
    <row r="40" spans="1:10" x14ac:dyDescent="0.3">
      <c r="A40" s="84">
        <v>39</v>
      </c>
      <c r="B40" s="84">
        <v>10113</v>
      </c>
      <c r="C40" s="84" t="s">
        <v>636</v>
      </c>
      <c r="D40" s="115" t="s">
        <v>663</v>
      </c>
      <c r="E40" s="85" t="s">
        <v>616</v>
      </c>
      <c r="F40" s="85">
        <v>45990</v>
      </c>
      <c r="G40" s="85" t="str">
        <f>TEXT(Table7[[#This Row],[EXPIRY DATE]],"MMM")</f>
        <v>Nov</v>
      </c>
      <c r="H40" s="85" t="str">
        <f>TEXT(Table7[[#This Row],[EXPIRY DATE]],"YYY")</f>
        <v>2025</v>
      </c>
      <c r="I40" s="84" t="s">
        <v>602</v>
      </c>
      <c r="J40" s="69"/>
    </row>
    <row r="41" spans="1:10" x14ac:dyDescent="0.3">
      <c r="A41" s="84">
        <v>40</v>
      </c>
      <c r="B41" s="84">
        <v>10075</v>
      </c>
      <c r="C41" s="84" t="s">
        <v>636</v>
      </c>
      <c r="D41" s="118" t="s">
        <v>664</v>
      </c>
      <c r="E41" s="85" t="s">
        <v>601</v>
      </c>
      <c r="F41" s="85">
        <v>45990</v>
      </c>
      <c r="G41" s="85" t="str">
        <f>TEXT(Table7[[#This Row],[EXPIRY DATE]],"MMM")</f>
        <v>Nov</v>
      </c>
      <c r="H41" s="85" t="str">
        <f>TEXT(Table7[[#This Row],[EXPIRY DATE]],"YYY")</f>
        <v>2025</v>
      </c>
      <c r="I41" s="84" t="s">
        <v>602</v>
      </c>
      <c r="J41" s="69"/>
    </row>
    <row r="42" spans="1:10" x14ac:dyDescent="0.3">
      <c r="A42" s="84">
        <v>41</v>
      </c>
      <c r="B42" s="84" t="s">
        <v>665</v>
      </c>
      <c r="C42" s="84" t="s">
        <v>636</v>
      </c>
      <c r="D42" s="115" t="s">
        <v>666</v>
      </c>
      <c r="E42" s="85" t="s">
        <v>667</v>
      </c>
      <c r="F42" s="85">
        <v>46022</v>
      </c>
      <c r="G42" s="85" t="str">
        <f>TEXT(Table7[[#This Row],[EXPIRY DATE]],"MMM")</f>
        <v>Dec</v>
      </c>
      <c r="H42" s="85" t="str">
        <f>TEXT(Table7[[#This Row],[EXPIRY DATE]],"YYY")</f>
        <v>2025</v>
      </c>
      <c r="I42" s="84" t="s">
        <v>607</v>
      </c>
      <c r="J42" s="69"/>
    </row>
    <row r="43" spans="1:10" x14ac:dyDescent="0.3">
      <c r="A43" s="84">
        <v>42</v>
      </c>
      <c r="B43" s="90">
        <v>10103</v>
      </c>
      <c r="C43" s="84" t="s">
        <v>636</v>
      </c>
      <c r="D43" s="115" t="s">
        <v>668</v>
      </c>
      <c r="E43" s="85" t="s">
        <v>598</v>
      </c>
      <c r="F43" s="85">
        <v>46022</v>
      </c>
      <c r="G43" s="85" t="str">
        <f>TEXT(Table7[[#This Row],[EXPIRY DATE]],"MMM")</f>
        <v>Dec</v>
      </c>
      <c r="H43" s="85" t="str">
        <f>TEXT(Table7[[#This Row],[EXPIRY DATE]],"YYY")</f>
        <v>2025</v>
      </c>
      <c r="I43" s="84" t="s">
        <v>602</v>
      </c>
      <c r="J43" s="69"/>
    </row>
    <row r="44" spans="1:10" x14ac:dyDescent="0.3">
      <c r="A44" s="84">
        <v>43</v>
      </c>
      <c r="B44" s="84">
        <v>10090</v>
      </c>
      <c r="C44" s="84" t="s">
        <v>636</v>
      </c>
      <c r="D44" s="115" t="s">
        <v>669</v>
      </c>
      <c r="E44" s="85" t="s">
        <v>598</v>
      </c>
      <c r="F44" s="85">
        <v>46022</v>
      </c>
      <c r="G44" s="85" t="str">
        <f>TEXT(Table7[[#This Row],[EXPIRY DATE]],"MMM")</f>
        <v>Dec</v>
      </c>
      <c r="H44" s="85" t="str">
        <f>TEXT(Table7[[#This Row],[EXPIRY DATE]],"YYY")</f>
        <v>2025</v>
      </c>
      <c r="I44" s="84" t="s">
        <v>602</v>
      </c>
      <c r="J44" s="69"/>
    </row>
    <row r="45" spans="1:10" x14ac:dyDescent="0.3">
      <c r="A45" s="84">
        <v>44</v>
      </c>
      <c r="B45" s="84">
        <v>10086</v>
      </c>
      <c r="C45" s="84" t="s">
        <v>636</v>
      </c>
      <c r="D45" s="115" t="s">
        <v>670</v>
      </c>
      <c r="E45" s="85" t="s">
        <v>598</v>
      </c>
      <c r="F45" s="85">
        <v>46022</v>
      </c>
      <c r="G45" s="85" t="str">
        <f>TEXT(Table7[[#This Row],[EXPIRY DATE]],"MMM")</f>
        <v>Dec</v>
      </c>
      <c r="H45" s="85" t="str">
        <f>TEXT(Table7[[#This Row],[EXPIRY DATE]],"YYY")</f>
        <v>2025</v>
      </c>
      <c r="I45" s="84" t="s">
        <v>602</v>
      </c>
      <c r="J45" s="69"/>
    </row>
    <row r="46" spans="1:10" x14ac:dyDescent="0.3">
      <c r="A46" s="84">
        <v>45</v>
      </c>
      <c r="B46" s="90">
        <v>10082</v>
      </c>
      <c r="C46" s="84" t="s">
        <v>636</v>
      </c>
      <c r="D46" s="115" t="s">
        <v>671</v>
      </c>
      <c r="E46" s="85" t="s">
        <v>667</v>
      </c>
      <c r="F46" s="85">
        <v>46022</v>
      </c>
      <c r="G46" s="85" t="str">
        <f>TEXT(Table7[[#This Row],[EXPIRY DATE]],"MMM")</f>
        <v>Dec</v>
      </c>
      <c r="H46" s="85" t="str">
        <f>TEXT(Table7[[#This Row],[EXPIRY DATE]],"YYY")</f>
        <v>2025</v>
      </c>
      <c r="I46" s="84" t="s">
        <v>607</v>
      </c>
      <c r="J46" s="69"/>
    </row>
    <row r="47" spans="1:10" x14ac:dyDescent="0.3">
      <c r="A47" s="84">
        <v>46</v>
      </c>
      <c r="B47" s="90">
        <v>10080</v>
      </c>
      <c r="C47" s="84" t="s">
        <v>636</v>
      </c>
      <c r="D47" s="118" t="s">
        <v>672</v>
      </c>
      <c r="E47" s="85" t="s">
        <v>598</v>
      </c>
      <c r="F47" s="85">
        <v>46022</v>
      </c>
      <c r="G47" s="85" t="str">
        <f>TEXT(Table7[[#This Row],[EXPIRY DATE]],"MMM")</f>
        <v>Dec</v>
      </c>
      <c r="H47" s="85" t="str">
        <f>TEXT(Table7[[#This Row],[EXPIRY DATE]],"YYY")</f>
        <v>2025</v>
      </c>
      <c r="I47" s="84" t="s">
        <v>602</v>
      </c>
      <c r="J47" s="69"/>
    </row>
    <row r="48" spans="1:10" x14ac:dyDescent="0.3">
      <c r="A48" s="84">
        <v>47</v>
      </c>
      <c r="B48" s="84">
        <v>10074</v>
      </c>
      <c r="C48" s="84" t="s">
        <v>636</v>
      </c>
      <c r="D48" s="118" t="s">
        <v>673</v>
      </c>
      <c r="E48" s="85" t="s">
        <v>610</v>
      </c>
      <c r="F48" s="85">
        <v>46022</v>
      </c>
      <c r="G48" s="85" t="str">
        <f>TEXT(Table7[[#This Row],[EXPIRY DATE]],"MMM")</f>
        <v>Dec</v>
      </c>
      <c r="H48" s="85" t="str">
        <f>TEXT(Table7[[#This Row],[EXPIRY DATE]],"YYY")</f>
        <v>2025</v>
      </c>
      <c r="I48" s="84" t="s">
        <v>607</v>
      </c>
      <c r="J48" s="69"/>
    </row>
    <row r="49" spans="1:10" x14ac:dyDescent="0.3">
      <c r="A49" s="84">
        <v>48</v>
      </c>
      <c r="B49" s="84">
        <v>10072</v>
      </c>
      <c r="C49" s="84" t="s">
        <v>636</v>
      </c>
      <c r="D49" s="115" t="s">
        <v>674</v>
      </c>
      <c r="E49" s="85" t="s">
        <v>598</v>
      </c>
      <c r="F49" s="85">
        <v>47848</v>
      </c>
      <c r="G49" s="85" t="str">
        <f>TEXT(Table7[[#This Row],[EXPIRY DATE]],"MMM")</f>
        <v>Dec</v>
      </c>
      <c r="H49" s="85" t="str">
        <f>TEXT(Table7[[#This Row],[EXPIRY DATE]],"YYY")</f>
        <v>2030</v>
      </c>
      <c r="I49" s="84" t="s">
        <v>602</v>
      </c>
      <c r="J49" s="69"/>
    </row>
    <row r="50" spans="1:10" x14ac:dyDescent="0.3">
      <c r="A50" s="84">
        <v>49</v>
      </c>
      <c r="B50" s="84">
        <v>10061</v>
      </c>
      <c r="C50" s="84" t="s">
        <v>636</v>
      </c>
      <c r="D50" s="115" t="s">
        <v>675</v>
      </c>
      <c r="E50" s="85" t="s">
        <v>610</v>
      </c>
      <c r="F50" s="85">
        <v>46022</v>
      </c>
      <c r="G50" s="85" t="str">
        <f>TEXT(Table7[[#This Row],[EXPIRY DATE]],"MMM")</f>
        <v>Dec</v>
      </c>
      <c r="H50" s="85" t="str">
        <f>TEXT(Table7[[#This Row],[EXPIRY DATE]],"YYY")</f>
        <v>2025</v>
      </c>
      <c r="I50" s="84" t="s">
        <v>602</v>
      </c>
      <c r="J50" s="69"/>
    </row>
    <row r="51" spans="1:10" x14ac:dyDescent="0.3">
      <c r="A51" s="84">
        <v>50</v>
      </c>
      <c r="B51" s="89">
        <v>10045</v>
      </c>
      <c r="C51" s="84" t="s">
        <v>636</v>
      </c>
      <c r="D51" s="115" t="s">
        <v>676</v>
      </c>
      <c r="E51" s="85" t="s">
        <v>610</v>
      </c>
      <c r="F51" s="85">
        <v>46022</v>
      </c>
      <c r="G51" s="85" t="str">
        <f>TEXT(Table7[[#This Row],[EXPIRY DATE]],"MMM")</f>
        <v>Dec</v>
      </c>
      <c r="H51" s="91">
        <v>2026</v>
      </c>
      <c r="I51" s="84" t="s">
        <v>607</v>
      </c>
      <c r="J51" s="69"/>
    </row>
    <row r="52" spans="1:10" x14ac:dyDescent="0.3">
      <c r="A52" s="84">
        <v>51</v>
      </c>
      <c r="B52" s="89">
        <v>10040</v>
      </c>
      <c r="C52" s="84" t="s">
        <v>636</v>
      </c>
      <c r="D52" s="115" t="s">
        <v>677</v>
      </c>
      <c r="E52" s="85" t="s">
        <v>598</v>
      </c>
      <c r="F52" s="85">
        <v>46022</v>
      </c>
      <c r="G52" s="85" t="str">
        <f>TEXT(Table7[[#This Row],[EXPIRY DATE]],"MMM")</f>
        <v>Dec</v>
      </c>
      <c r="H52" s="85" t="str">
        <f>TEXT(Table7[[#This Row],[EXPIRY DATE]],"YYY")</f>
        <v>2025</v>
      </c>
      <c r="I52" s="84" t="s">
        <v>602</v>
      </c>
      <c r="J52" s="69"/>
    </row>
    <row r="53" spans="1:10" x14ac:dyDescent="0.3">
      <c r="A53" s="84">
        <v>52</v>
      </c>
      <c r="B53" s="84">
        <v>10035</v>
      </c>
      <c r="C53" s="84" t="s">
        <v>636</v>
      </c>
      <c r="D53" s="115" t="s">
        <v>678</v>
      </c>
      <c r="E53" s="85" t="s">
        <v>598</v>
      </c>
      <c r="F53" s="85">
        <v>47848</v>
      </c>
      <c r="G53" s="85" t="str">
        <f>TEXT(Table7[[#This Row],[EXPIRY DATE]],"MMM")</f>
        <v>Dec</v>
      </c>
      <c r="H53" s="85" t="str">
        <f>TEXT(Table7[[#This Row],[EXPIRY DATE]],"YYY")</f>
        <v>2030</v>
      </c>
      <c r="I53" s="84" t="s">
        <v>602</v>
      </c>
      <c r="J53" s="69"/>
    </row>
    <row r="54" spans="1:10" x14ac:dyDescent="0.3">
      <c r="A54" s="84">
        <v>53</v>
      </c>
      <c r="B54" s="89">
        <v>10026</v>
      </c>
      <c r="C54" s="84" t="s">
        <v>636</v>
      </c>
      <c r="D54" s="115" t="s">
        <v>649</v>
      </c>
      <c r="E54" s="85" t="s">
        <v>645</v>
      </c>
      <c r="F54" s="85">
        <v>46022</v>
      </c>
      <c r="G54" s="85" t="str">
        <f>TEXT(Table7[[#This Row],[EXPIRY DATE]],"MMM")</f>
        <v>Dec</v>
      </c>
      <c r="H54" s="85" t="str">
        <f>TEXT(Table7[[#This Row],[EXPIRY DATE]],"YYY")</f>
        <v>2025</v>
      </c>
      <c r="I54" s="84" t="s">
        <v>602</v>
      </c>
      <c r="J54" s="69"/>
    </row>
    <row r="55" spans="1:10" x14ac:dyDescent="0.3">
      <c r="A55" s="84">
        <v>54</v>
      </c>
      <c r="B55" s="89">
        <v>10024</v>
      </c>
      <c r="C55" s="84" t="s">
        <v>636</v>
      </c>
      <c r="D55" s="115" t="s">
        <v>679</v>
      </c>
      <c r="E55" s="85" t="s">
        <v>598</v>
      </c>
      <c r="F55" s="85">
        <v>46022</v>
      </c>
      <c r="G55" s="85" t="str">
        <f>TEXT(Table7[[#This Row],[EXPIRY DATE]],"MMM")</f>
        <v>Dec</v>
      </c>
      <c r="H55" s="85" t="str">
        <f>TEXT(Table7[[#This Row],[EXPIRY DATE]],"YYY")</f>
        <v>2025</v>
      </c>
      <c r="I55" s="84" t="s">
        <v>602</v>
      </c>
      <c r="J55" s="69"/>
    </row>
    <row r="56" spans="1:10" x14ac:dyDescent="0.3">
      <c r="A56" s="84">
        <v>55</v>
      </c>
      <c r="B56" s="89">
        <v>10023</v>
      </c>
      <c r="C56" s="84" t="s">
        <v>636</v>
      </c>
      <c r="D56" s="115" t="s">
        <v>680</v>
      </c>
      <c r="E56" s="85" t="s">
        <v>598</v>
      </c>
      <c r="F56" s="85">
        <v>46022</v>
      </c>
      <c r="G56" s="85" t="str">
        <f>TEXT(Table7[[#This Row],[EXPIRY DATE]],"MMM")</f>
        <v>Dec</v>
      </c>
      <c r="H56" s="85" t="str">
        <f>TEXT(Table7[[#This Row],[EXPIRY DATE]],"YYY")</f>
        <v>2025</v>
      </c>
      <c r="I56" s="84" t="s">
        <v>602</v>
      </c>
      <c r="J56" s="69"/>
    </row>
    <row r="57" spans="1:10" x14ac:dyDescent="0.3">
      <c r="A57" s="84">
        <v>56</v>
      </c>
      <c r="B57" s="89">
        <v>10019</v>
      </c>
      <c r="C57" s="84" t="s">
        <v>636</v>
      </c>
      <c r="D57" s="115" t="s">
        <v>681</v>
      </c>
      <c r="E57" s="85" t="s">
        <v>598</v>
      </c>
      <c r="F57" s="85">
        <v>46022</v>
      </c>
      <c r="G57" s="85" t="str">
        <f>TEXT(Table7[[#This Row],[EXPIRY DATE]],"MMM")</f>
        <v>Dec</v>
      </c>
      <c r="H57" s="85" t="str">
        <f>TEXT(Table7[[#This Row],[EXPIRY DATE]],"YYY")</f>
        <v>2025</v>
      </c>
      <c r="I57" s="84" t="s">
        <v>602</v>
      </c>
      <c r="J57" s="69"/>
    </row>
    <row r="58" spans="1:10" x14ac:dyDescent="0.3">
      <c r="A58" s="84">
        <v>57</v>
      </c>
      <c r="B58" s="89">
        <v>10016</v>
      </c>
      <c r="C58" s="84" t="s">
        <v>636</v>
      </c>
      <c r="D58" s="115" t="s">
        <v>682</v>
      </c>
      <c r="E58" s="85" t="s">
        <v>598</v>
      </c>
      <c r="F58" s="85">
        <v>46022</v>
      </c>
      <c r="G58" s="85" t="str">
        <f>TEXT(Table7[[#This Row],[EXPIRY DATE]],"MMM")</f>
        <v>Dec</v>
      </c>
      <c r="H58" s="85" t="str">
        <f>TEXT(Table7[[#This Row],[EXPIRY DATE]],"YYY")</f>
        <v>2025</v>
      </c>
      <c r="I58" s="84" t="s">
        <v>602</v>
      </c>
      <c r="J58" s="69"/>
    </row>
    <row r="59" spans="1:10" x14ac:dyDescent="0.3">
      <c r="A59" s="84">
        <v>58</v>
      </c>
      <c r="B59" s="89">
        <v>10015</v>
      </c>
      <c r="C59" s="84" t="s">
        <v>636</v>
      </c>
      <c r="D59" s="115" t="s">
        <v>683</v>
      </c>
      <c r="E59" s="85" t="s">
        <v>598</v>
      </c>
      <c r="F59" s="85">
        <v>46022</v>
      </c>
      <c r="G59" s="85" t="str">
        <f>TEXT(Table7[[#This Row],[EXPIRY DATE]],"MMM")</f>
        <v>Dec</v>
      </c>
      <c r="H59" s="85" t="str">
        <f>TEXT(Table7[[#This Row],[EXPIRY DATE]],"YYY")</f>
        <v>2025</v>
      </c>
      <c r="I59" s="84" t="s">
        <v>602</v>
      </c>
      <c r="J59" s="69"/>
    </row>
    <row r="60" spans="1:10" x14ac:dyDescent="0.3">
      <c r="A60" s="84">
        <v>59</v>
      </c>
      <c r="B60" s="89">
        <v>10014</v>
      </c>
      <c r="C60" s="84" t="s">
        <v>636</v>
      </c>
      <c r="D60" s="115" t="s">
        <v>684</v>
      </c>
      <c r="E60" s="85" t="s">
        <v>598</v>
      </c>
      <c r="F60" s="85">
        <v>46022</v>
      </c>
      <c r="G60" s="85" t="str">
        <f>TEXT(Table7[[#This Row],[EXPIRY DATE]],"MMM")</f>
        <v>Dec</v>
      </c>
      <c r="H60" s="85" t="str">
        <f>TEXT(Table7[[#This Row],[EXPIRY DATE]],"YYY")</f>
        <v>2025</v>
      </c>
      <c r="I60" s="84" t="s">
        <v>602</v>
      </c>
      <c r="J60" s="69"/>
    </row>
    <row r="61" spans="1:10" x14ac:dyDescent="0.3">
      <c r="A61" s="84">
        <v>60</v>
      </c>
      <c r="B61" s="84" t="s">
        <v>685</v>
      </c>
      <c r="C61" s="84" t="s">
        <v>636</v>
      </c>
      <c r="D61" s="115" t="s">
        <v>686</v>
      </c>
      <c r="E61" s="85" t="s">
        <v>687</v>
      </c>
      <c r="F61" s="85">
        <v>46112</v>
      </c>
      <c r="G61" s="85" t="str">
        <f>TEXT(Table7[[#This Row],[EXPIRY DATE]],"MMM")</f>
        <v>Mar</v>
      </c>
      <c r="H61" s="85" t="str">
        <f>TEXT(Table7[[#This Row],[EXPIRY DATE]],"YYY")</f>
        <v>2026</v>
      </c>
      <c r="I61" s="84" t="s">
        <v>607</v>
      </c>
      <c r="J61" s="69"/>
    </row>
    <row r="62" spans="1:10" x14ac:dyDescent="0.3">
      <c r="A62" s="84">
        <v>61</v>
      </c>
      <c r="B62" s="84" t="s">
        <v>650</v>
      </c>
      <c r="C62" s="84" t="s">
        <v>636</v>
      </c>
      <c r="D62" s="115" t="s">
        <v>651</v>
      </c>
      <c r="E62" s="85" t="s">
        <v>652</v>
      </c>
      <c r="F62" s="85">
        <v>46112</v>
      </c>
      <c r="G62" s="85" t="str">
        <f>TEXT(Table7[[#This Row],[EXPIRY DATE]],"MMM")</f>
        <v>Mar</v>
      </c>
      <c r="H62" s="85" t="str">
        <f>TEXT(Table7[[#This Row],[EXPIRY DATE]],"YYY")</f>
        <v>2026</v>
      </c>
      <c r="I62" s="84" t="s">
        <v>602</v>
      </c>
      <c r="J62" s="69"/>
    </row>
    <row r="63" spans="1:10" x14ac:dyDescent="0.3">
      <c r="A63" s="84">
        <v>62</v>
      </c>
      <c r="B63" s="84" t="s">
        <v>650</v>
      </c>
      <c r="C63" s="84" t="s">
        <v>636</v>
      </c>
      <c r="D63" s="115" t="s">
        <v>651</v>
      </c>
      <c r="E63" s="85" t="s">
        <v>652</v>
      </c>
      <c r="F63" s="85">
        <v>46112</v>
      </c>
      <c r="G63" s="85" t="str">
        <f>TEXT(Table7[[#This Row],[EXPIRY DATE]],"MMM")</f>
        <v>Mar</v>
      </c>
      <c r="H63" s="85" t="str">
        <f>TEXT(Table7[[#This Row],[EXPIRY DATE]],"YYY")</f>
        <v>2026</v>
      </c>
      <c r="I63" s="84" t="s">
        <v>607</v>
      </c>
      <c r="J63" s="69"/>
    </row>
    <row r="64" spans="1:10" x14ac:dyDescent="0.3">
      <c r="A64" s="84">
        <v>63</v>
      </c>
      <c r="B64" s="84" t="s">
        <v>653</v>
      </c>
      <c r="C64" s="84" t="s">
        <v>636</v>
      </c>
      <c r="D64" s="115" t="s">
        <v>654</v>
      </c>
      <c r="E64" s="85" t="s">
        <v>652</v>
      </c>
      <c r="F64" s="85">
        <v>46112</v>
      </c>
      <c r="G64" s="85" t="str">
        <f>TEXT(Table7[[#This Row],[EXPIRY DATE]],"MMM")</f>
        <v>Mar</v>
      </c>
      <c r="H64" s="85" t="str">
        <f>TEXT(Table7[[#This Row],[EXPIRY DATE]],"YYY")</f>
        <v>2026</v>
      </c>
      <c r="I64" s="84" t="s">
        <v>602</v>
      </c>
      <c r="J64" s="69"/>
    </row>
    <row r="65" spans="1:10" x14ac:dyDescent="0.3">
      <c r="A65" s="84">
        <v>64</v>
      </c>
      <c r="B65" s="84" t="s">
        <v>653</v>
      </c>
      <c r="C65" s="84" t="s">
        <v>636</v>
      </c>
      <c r="D65" s="115" t="s">
        <v>654</v>
      </c>
      <c r="E65" s="85" t="s">
        <v>652</v>
      </c>
      <c r="F65" s="85">
        <v>46112</v>
      </c>
      <c r="G65" s="85" t="str">
        <f>TEXT(Table7[[#This Row],[EXPIRY DATE]],"MMM")</f>
        <v>Mar</v>
      </c>
      <c r="H65" s="85" t="str">
        <f>TEXT(Table7[[#This Row],[EXPIRY DATE]],"YYY")</f>
        <v>2026</v>
      </c>
      <c r="I65" s="84" t="s">
        <v>607</v>
      </c>
      <c r="J65" s="69"/>
    </row>
    <row r="66" spans="1:10" x14ac:dyDescent="0.3">
      <c r="A66" s="84">
        <v>65</v>
      </c>
      <c r="B66" s="84" t="s">
        <v>655</v>
      </c>
      <c r="C66" s="84" t="s">
        <v>636</v>
      </c>
      <c r="D66" s="115" t="s">
        <v>656</v>
      </c>
      <c r="E66" s="85" t="s">
        <v>652</v>
      </c>
      <c r="F66" s="85">
        <v>46112</v>
      </c>
      <c r="G66" s="85" t="str">
        <f>TEXT(Table7[[#This Row],[EXPIRY DATE]],"MMM")</f>
        <v>Mar</v>
      </c>
      <c r="H66" s="85" t="str">
        <f>TEXT(Table7[[#This Row],[EXPIRY DATE]],"YYY")</f>
        <v>2026</v>
      </c>
      <c r="I66" s="84" t="s">
        <v>602</v>
      </c>
      <c r="J66" s="69"/>
    </row>
    <row r="67" spans="1:10" x14ac:dyDescent="0.3">
      <c r="A67" s="84">
        <v>66</v>
      </c>
      <c r="B67" s="84" t="s">
        <v>655</v>
      </c>
      <c r="C67" s="84" t="s">
        <v>636</v>
      </c>
      <c r="D67" s="115" t="s">
        <v>656</v>
      </c>
      <c r="E67" s="85" t="s">
        <v>652</v>
      </c>
      <c r="F67" s="85">
        <v>46112</v>
      </c>
      <c r="G67" s="85" t="str">
        <f>TEXT(Table7[[#This Row],[EXPIRY DATE]],"MMM")</f>
        <v>Mar</v>
      </c>
      <c r="H67" s="85" t="str">
        <f>TEXT(Table7[[#This Row],[EXPIRY DATE]],"YYY")</f>
        <v>2026</v>
      </c>
      <c r="I67" s="84" t="s">
        <v>607</v>
      </c>
      <c r="J67" s="69"/>
    </row>
    <row r="68" spans="1:10" x14ac:dyDescent="0.3">
      <c r="A68" s="84">
        <v>67</v>
      </c>
      <c r="B68" s="84" t="s">
        <v>657</v>
      </c>
      <c r="C68" s="84" t="s">
        <v>636</v>
      </c>
      <c r="D68" s="115" t="s">
        <v>658</v>
      </c>
      <c r="E68" s="85" t="s">
        <v>652</v>
      </c>
      <c r="F68" s="85">
        <v>46112</v>
      </c>
      <c r="G68" s="85" t="str">
        <f>TEXT(Table7[[#This Row],[EXPIRY DATE]],"MMM")</f>
        <v>Mar</v>
      </c>
      <c r="H68" s="85" t="str">
        <f>TEXT(Table7[[#This Row],[EXPIRY DATE]],"YYY")</f>
        <v>2026</v>
      </c>
      <c r="I68" s="84" t="s">
        <v>602</v>
      </c>
      <c r="J68" s="69"/>
    </row>
    <row r="69" spans="1:10" x14ac:dyDescent="0.3">
      <c r="A69" s="84">
        <v>68</v>
      </c>
      <c r="B69" s="84" t="s">
        <v>657</v>
      </c>
      <c r="C69" s="84" t="s">
        <v>636</v>
      </c>
      <c r="D69" s="115" t="s">
        <v>658</v>
      </c>
      <c r="E69" s="85" t="s">
        <v>652</v>
      </c>
      <c r="F69" s="85">
        <v>46112</v>
      </c>
      <c r="G69" s="85" t="str">
        <f>TEXT(Table7[[#This Row],[EXPIRY DATE]],"MMM")</f>
        <v>Mar</v>
      </c>
      <c r="H69" s="85" t="str">
        <f>TEXT(Table7[[#This Row],[EXPIRY DATE]],"YYY")</f>
        <v>2026</v>
      </c>
      <c r="I69" s="84" t="s">
        <v>607</v>
      </c>
      <c r="J69" s="69"/>
    </row>
    <row r="70" spans="1:10" x14ac:dyDescent="0.3">
      <c r="A70" s="84">
        <v>69</v>
      </c>
      <c r="B70" s="89" t="s">
        <v>659</v>
      </c>
      <c r="C70" s="84" t="s">
        <v>636</v>
      </c>
      <c r="D70" s="115" t="s">
        <v>660</v>
      </c>
      <c r="E70" s="85" t="s">
        <v>652</v>
      </c>
      <c r="F70" s="85">
        <v>46112</v>
      </c>
      <c r="G70" s="85" t="str">
        <f>TEXT(Table7[[#This Row],[EXPIRY DATE]],"MMM")</f>
        <v>Mar</v>
      </c>
      <c r="H70" s="85" t="str">
        <f>TEXT(Table7[[#This Row],[EXPIRY DATE]],"YYY")</f>
        <v>2026</v>
      </c>
      <c r="I70" s="84" t="s">
        <v>602</v>
      </c>
      <c r="J70" s="69"/>
    </row>
    <row r="71" spans="1:10" x14ac:dyDescent="0.3">
      <c r="A71" s="84">
        <v>70</v>
      </c>
      <c r="B71" s="89" t="s">
        <v>659</v>
      </c>
      <c r="C71" s="84" t="s">
        <v>636</v>
      </c>
      <c r="D71" s="115" t="s">
        <v>660</v>
      </c>
      <c r="E71" s="85" t="s">
        <v>652</v>
      </c>
      <c r="F71" s="85">
        <v>46112</v>
      </c>
      <c r="G71" s="85" t="str">
        <f>TEXT(Table7[[#This Row],[EXPIRY DATE]],"MMM")</f>
        <v>Mar</v>
      </c>
      <c r="H71" s="85" t="str">
        <f>TEXT(Table7[[#This Row],[EXPIRY DATE]],"YYY")</f>
        <v>2026</v>
      </c>
      <c r="I71" s="84" t="s">
        <v>607</v>
      </c>
      <c r="J71" s="69"/>
    </row>
    <row r="72" spans="1:10" x14ac:dyDescent="0.3">
      <c r="A72" s="84">
        <v>71</v>
      </c>
      <c r="B72" s="84">
        <v>10147</v>
      </c>
      <c r="C72" s="84" t="s">
        <v>636</v>
      </c>
      <c r="D72" s="115" t="s">
        <v>688</v>
      </c>
      <c r="E72" s="85" t="s">
        <v>689</v>
      </c>
      <c r="F72" s="85">
        <v>46112</v>
      </c>
      <c r="G72" s="85" t="str">
        <f>TEXT(Table7[[#This Row],[EXPIRY DATE]],"MMM")</f>
        <v>Mar</v>
      </c>
      <c r="H72" s="85" t="str">
        <f>TEXT(Table7[[#This Row],[EXPIRY DATE]],"YYY")</f>
        <v>2026</v>
      </c>
      <c r="I72" s="84" t="s">
        <v>607</v>
      </c>
      <c r="J72" s="69"/>
    </row>
    <row r="73" spans="1:10" x14ac:dyDescent="0.3">
      <c r="A73" s="84">
        <v>72</v>
      </c>
      <c r="B73" s="84">
        <v>10134</v>
      </c>
      <c r="C73" s="84" t="s">
        <v>636</v>
      </c>
      <c r="D73" s="115" t="s">
        <v>690</v>
      </c>
      <c r="E73" s="85" t="s">
        <v>689</v>
      </c>
      <c r="F73" s="85">
        <v>46112</v>
      </c>
      <c r="G73" s="85" t="str">
        <f>TEXT(Table7[[#This Row],[EXPIRY DATE]],"MMM")</f>
        <v>Mar</v>
      </c>
      <c r="H73" s="85" t="str">
        <f>TEXT(Table7[[#This Row],[EXPIRY DATE]],"YYY")</f>
        <v>2026</v>
      </c>
      <c r="I73" s="84" t="s">
        <v>607</v>
      </c>
      <c r="J73" s="69"/>
    </row>
    <row r="74" spans="1:10" x14ac:dyDescent="0.3">
      <c r="A74" s="84">
        <v>73</v>
      </c>
      <c r="B74" s="84">
        <v>10131</v>
      </c>
      <c r="C74" s="84" t="s">
        <v>636</v>
      </c>
      <c r="D74" s="115" t="s">
        <v>691</v>
      </c>
      <c r="E74" s="85" t="s">
        <v>692</v>
      </c>
      <c r="F74" s="85">
        <v>46112</v>
      </c>
      <c r="G74" s="85" t="str">
        <f>TEXT(Table7[[#This Row],[EXPIRY DATE]],"MMM")</f>
        <v>Mar</v>
      </c>
      <c r="H74" s="85" t="str">
        <f>TEXT(Table7[[#This Row],[EXPIRY DATE]],"YYY")</f>
        <v>2026</v>
      </c>
      <c r="I74" s="84" t="s">
        <v>602</v>
      </c>
      <c r="J74" s="69"/>
    </row>
    <row r="75" spans="1:10" x14ac:dyDescent="0.3">
      <c r="A75" s="84">
        <v>74</v>
      </c>
      <c r="B75" s="84">
        <v>10131</v>
      </c>
      <c r="C75" s="84" t="s">
        <v>636</v>
      </c>
      <c r="D75" s="115" t="s">
        <v>691</v>
      </c>
      <c r="E75" s="85" t="s">
        <v>692</v>
      </c>
      <c r="F75" s="85">
        <v>46112</v>
      </c>
      <c r="G75" s="85" t="str">
        <f>TEXT(Table7[[#This Row],[EXPIRY DATE]],"MMM")</f>
        <v>Mar</v>
      </c>
      <c r="H75" s="85" t="str">
        <f>TEXT(Table7[[#This Row],[EXPIRY DATE]],"YYY")</f>
        <v>2026</v>
      </c>
      <c r="I75" s="84" t="s">
        <v>607</v>
      </c>
      <c r="J75" s="69"/>
    </row>
    <row r="76" spans="1:10" x14ac:dyDescent="0.3">
      <c r="A76" s="84">
        <v>75</v>
      </c>
      <c r="B76" s="84">
        <v>10122</v>
      </c>
      <c r="C76" s="84" t="s">
        <v>636</v>
      </c>
      <c r="D76" s="115" t="s">
        <v>693</v>
      </c>
      <c r="E76" s="85" t="s">
        <v>694</v>
      </c>
      <c r="F76" s="85">
        <v>46112</v>
      </c>
      <c r="G76" s="85" t="str">
        <f>TEXT(Table7[[#This Row],[EXPIRY DATE]],"MMM")</f>
        <v>Mar</v>
      </c>
      <c r="H76" s="85" t="str">
        <f>TEXT(Table7[[#This Row],[EXPIRY DATE]],"YYY")</f>
        <v>2026</v>
      </c>
      <c r="I76" s="84" t="s">
        <v>602</v>
      </c>
      <c r="J76" s="69"/>
    </row>
    <row r="77" spans="1:10" x14ac:dyDescent="0.3">
      <c r="A77" s="84">
        <v>76</v>
      </c>
      <c r="B77" s="84">
        <v>10122</v>
      </c>
      <c r="C77" s="84" t="s">
        <v>636</v>
      </c>
      <c r="D77" s="115" t="s">
        <v>693</v>
      </c>
      <c r="E77" s="85" t="s">
        <v>694</v>
      </c>
      <c r="F77" s="85">
        <v>46112</v>
      </c>
      <c r="G77" s="85" t="str">
        <f>TEXT(Table7[[#This Row],[EXPIRY DATE]],"MMM")</f>
        <v>Mar</v>
      </c>
      <c r="H77" s="85" t="str">
        <f>TEXT(Table7[[#This Row],[EXPIRY DATE]],"YYY")</f>
        <v>2026</v>
      </c>
      <c r="I77" s="84" t="s">
        <v>607</v>
      </c>
      <c r="J77" s="69"/>
    </row>
    <row r="78" spans="1:10" x14ac:dyDescent="0.3">
      <c r="A78" s="84">
        <v>77</v>
      </c>
      <c r="B78" s="84">
        <v>10120</v>
      </c>
      <c r="C78" s="84" t="s">
        <v>636</v>
      </c>
      <c r="D78" s="115" t="s">
        <v>695</v>
      </c>
      <c r="E78" s="85" t="s">
        <v>689</v>
      </c>
      <c r="F78" s="85">
        <v>46112</v>
      </c>
      <c r="G78" s="85" t="str">
        <f>TEXT(Table7[[#This Row],[EXPIRY DATE]],"MMM")</f>
        <v>Mar</v>
      </c>
      <c r="H78" s="85" t="str">
        <f>TEXT(Table7[[#This Row],[EXPIRY DATE]],"YYY")</f>
        <v>2026</v>
      </c>
      <c r="I78" s="84" t="s">
        <v>607</v>
      </c>
      <c r="J78" s="69"/>
    </row>
    <row r="79" spans="1:10" x14ac:dyDescent="0.3">
      <c r="A79" s="84">
        <v>78</v>
      </c>
      <c r="B79" s="84">
        <v>10119</v>
      </c>
      <c r="C79" s="84" t="s">
        <v>636</v>
      </c>
      <c r="D79" s="115" t="s">
        <v>696</v>
      </c>
      <c r="E79" s="85" t="s">
        <v>689</v>
      </c>
      <c r="F79" s="85">
        <v>46112</v>
      </c>
      <c r="G79" s="85" t="str">
        <f>TEXT(Table7[[#This Row],[EXPIRY DATE]],"MMM")</f>
        <v>Mar</v>
      </c>
      <c r="H79" s="85" t="str">
        <f>TEXT(Table7[[#This Row],[EXPIRY DATE]],"YYY")</f>
        <v>2026</v>
      </c>
      <c r="I79" s="84" t="s">
        <v>607</v>
      </c>
      <c r="J79" s="69"/>
    </row>
    <row r="80" spans="1:10" x14ac:dyDescent="0.3">
      <c r="A80" s="84">
        <v>79</v>
      </c>
      <c r="B80" s="84">
        <v>10118</v>
      </c>
      <c r="C80" s="84" t="s">
        <v>636</v>
      </c>
      <c r="D80" s="115" t="s">
        <v>697</v>
      </c>
      <c r="E80" s="85" t="s">
        <v>647</v>
      </c>
      <c r="F80" s="85">
        <v>46112</v>
      </c>
      <c r="G80" s="85" t="str">
        <f>TEXT(Table7[[#This Row],[EXPIRY DATE]],"MMM")</f>
        <v>Mar</v>
      </c>
      <c r="H80" s="85" t="str">
        <f>TEXT(Table7[[#This Row],[EXPIRY DATE]],"YYY")</f>
        <v>2026</v>
      </c>
      <c r="I80" s="84" t="s">
        <v>607</v>
      </c>
      <c r="J80" s="69"/>
    </row>
    <row r="81" spans="1:10" x14ac:dyDescent="0.3">
      <c r="A81" s="84">
        <v>80</v>
      </c>
      <c r="B81" s="84">
        <v>10108</v>
      </c>
      <c r="C81" s="84" t="s">
        <v>636</v>
      </c>
      <c r="D81" s="115" t="s">
        <v>698</v>
      </c>
      <c r="E81" s="85" t="s">
        <v>689</v>
      </c>
      <c r="F81" s="85">
        <v>46112</v>
      </c>
      <c r="G81" s="85" t="str">
        <f>TEXT(Table7[[#This Row],[EXPIRY DATE]],"MMM")</f>
        <v>Mar</v>
      </c>
      <c r="H81" s="85" t="str">
        <f>TEXT(Table7[[#This Row],[EXPIRY DATE]],"YYY")</f>
        <v>2026</v>
      </c>
      <c r="I81" s="84" t="s">
        <v>607</v>
      </c>
      <c r="J81" s="69"/>
    </row>
    <row r="82" spans="1:10" x14ac:dyDescent="0.3">
      <c r="A82" s="84">
        <v>81</v>
      </c>
      <c r="B82" s="90">
        <v>10103</v>
      </c>
      <c r="C82" s="84" t="s">
        <v>636</v>
      </c>
      <c r="D82" s="115" t="s">
        <v>668</v>
      </c>
      <c r="E82" s="85" t="s">
        <v>689</v>
      </c>
      <c r="F82" s="85">
        <v>46112</v>
      </c>
      <c r="G82" s="85" t="str">
        <f>TEXT(Table7[[#This Row],[EXPIRY DATE]],"MMM")</f>
        <v>Mar</v>
      </c>
      <c r="H82" s="85" t="str">
        <f>TEXT(Table7[[#This Row],[EXPIRY DATE]],"YYY")</f>
        <v>2026</v>
      </c>
      <c r="I82" s="84" t="s">
        <v>607</v>
      </c>
      <c r="J82" s="69"/>
    </row>
    <row r="83" spans="1:10" x14ac:dyDescent="0.3">
      <c r="A83" s="84">
        <v>82</v>
      </c>
      <c r="B83" s="84">
        <v>10101</v>
      </c>
      <c r="C83" s="84" t="s">
        <v>636</v>
      </c>
      <c r="D83" s="115" t="s">
        <v>699</v>
      </c>
      <c r="E83" s="85" t="s">
        <v>700</v>
      </c>
      <c r="F83" s="85">
        <v>46112</v>
      </c>
      <c r="G83" s="85" t="str">
        <f>TEXT(Table7[[#This Row],[EXPIRY DATE]],"MMM")</f>
        <v>Mar</v>
      </c>
      <c r="H83" s="85" t="str">
        <f>TEXT(Table7[[#This Row],[EXPIRY DATE]],"YYY")</f>
        <v>2026</v>
      </c>
      <c r="I83" s="84" t="s">
        <v>602</v>
      </c>
      <c r="J83" s="69"/>
    </row>
    <row r="84" spans="1:10" x14ac:dyDescent="0.3">
      <c r="A84" s="84">
        <v>83</v>
      </c>
      <c r="B84" s="90">
        <v>10098</v>
      </c>
      <c r="C84" s="84" t="s">
        <v>636</v>
      </c>
      <c r="D84" s="115" t="s">
        <v>701</v>
      </c>
      <c r="E84" s="85" t="s">
        <v>702</v>
      </c>
      <c r="F84" s="85">
        <v>46112</v>
      </c>
      <c r="G84" s="85" t="str">
        <f>TEXT(Table7[[#This Row],[EXPIRY DATE]],"MMM")</f>
        <v>Mar</v>
      </c>
      <c r="H84" s="85" t="str">
        <f>TEXT(Table7[[#This Row],[EXPIRY DATE]],"YYY")</f>
        <v>2026</v>
      </c>
      <c r="I84" s="84" t="s">
        <v>602</v>
      </c>
      <c r="J84" s="69"/>
    </row>
    <row r="85" spans="1:10" ht="30.6" x14ac:dyDescent="0.3">
      <c r="A85" s="84">
        <v>84</v>
      </c>
      <c r="B85" s="90">
        <v>10097</v>
      </c>
      <c r="C85" s="84" t="s">
        <v>636</v>
      </c>
      <c r="D85" s="115" t="s">
        <v>703</v>
      </c>
      <c r="E85" s="85" t="s">
        <v>702</v>
      </c>
      <c r="F85" s="85">
        <v>46112</v>
      </c>
      <c r="G85" s="85" t="str">
        <f>TEXT(Table7[[#This Row],[EXPIRY DATE]],"MMM")</f>
        <v>Mar</v>
      </c>
      <c r="H85" s="85" t="str">
        <f>TEXT(Table7[[#This Row],[EXPIRY DATE]],"YYY")</f>
        <v>2026</v>
      </c>
      <c r="I85" s="84" t="s">
        <v>602</v>
      </c>
      <c r="J85" s="69"/>
    </row>
    <row r="86" spans="1:10" x14ac:dyDescent="0.3">
      <c r="A86" s="84">
        <v>85</v>
      </c>
      <c r="B86" s="90">
        <v>10091</v>
      </c>
      <c r="C86" s="84" t="s">
        <v>636</v>
      </c>
      <c r="D86" s="115" t="s">
        <v>704</v>
      </c>
      <c r="E86" s="85" t="s">
        <v>689</v>
      </c>
      <c r="F86" s="85">
        <v>46112</v>
      </c>
      <c r="G86" s="85" t="str">
        <f>TEXT(Table7[[#This Row],[EXPIRY DATE]],"MMM")</f>
        <v>Mar</v>
      </c>
      <c r="H86" s="85" t="str">
        <f>TEXT(Table7[[#This Row],[EXPIRY DATE]],"YYY")</f>
        <v>2026</v>
      </c>
      <c r="I86" s="84" t="s">
        <v>607</v>
      </c>
      <c r="J86" s="69"/>
    </row>
    <row r="87" spans="1:10" x14ac:dyDescent="0.3">
      <c r="A87" s="84">
        <v>86</v>
      </c>
      <c r="B87" s="84">
        <v>10086</v>
      </c>
      <c r="C87" s="84" t="s">
        <v>636</v>
      </c>
      <c r="D87" s="115" t="s">
        <v>670</v>
      </c>
      <c r="E87" s="85" t="s">
        <v>689</v>
      </c>
      <c r="F87" s="85">
        <v>46112</v>
      </c>
      <c r="G87" s="85" t="str">
        <f>TEXT(Table7[[#This Row],[EXPIRY DATE]],"MMM")</f>
        <v>Mar</v>
      </c>
      <c r="H87" s="85" t="str">
        <f>TEXT(Table7[[#This Row],[EXPIRY DATE]],"YYY")</f>
        <v>2026</v>
      </c>
      <c r="I87" s="84" t="s">
        <v>607</v>
      </c>
      <c r="J87" s="69"/>
    </row>
    <row r="88" spans="1:10" x14ac:dyDescent="0.3">
      <c r="A88" s="84">
        <v>87</v>
      </c>
      <c r="B88" s="84">
        <v>10085</v>
      </c>
      <c r="C88" s="84" t="s">
        <v>636</v>
      </c>
      <c r="D88" s="115" t="s">
        <v>705</v>
      </c>
      <c r="E88" s="85" t="s">
        <v>610</v>
      </c>
      <c r="F88" s="85">
        <v>46112</v>
      </c>
      <c r="G88" s="85" t="str">
        <f>TEXT(Table7[[#This Row],[EXPIRY DATE]],"MMM")</f>
        <v>Mar</v>
      </c>
      <c r="H88" s="85" t="str">
        <f>TEXT(Table7[[#This Row],[EXPIRY DATE]],"YYY")</f>
        <v>2026</v>
      </c>
      <c r="I88" s="84" t="s">
        <v>607</v>
      </c>
      <c r="J88" s="69"/>
    </row>
    <row r="89" spans="1:10" x14ac:dyDescent="0.3">
      <c r="A89" s="84">
        <v>88</v>
      </c>
      <c r="B89" s="84">
        <v>10084</v>
      </c>
      <c r="C89" s="84" t="s">
        <v>636</v>
      </c>
      <c r="D89" s="115" t="s">
        <v>639</v>
      </c>
      <c r="E89" s="85" t="s">
        <v>640</v>
      </c>
      <c r="F89" s="85">
        <v>46112</v>
      </c>
      <c r="G89" s="85" t="str">
        <f>TEXT(Table7[[#This Row],[EXPIRY DATE]],"MMM")</f>
        <v>Mar</v>
      </c>
      <c r="H89" s="85" t="str">
        <f>TEXT(Table7[[#This Row],[EXPIRY DATE]],"YYY")</f>
        <v>2026</v>
      </c>
      <c r="I89" s="84" t="s">
        <v>607</v>
      </c>
      <c r="J89" s="69"/>
    </row>
    <row r="90" spans="1:10" x14ac:dyDescent="0.3">
      <c r="A90" s="84">
        <v>89</v>
      </c>
      <c r="B90" s="90">
        <v>10080</v>
      </c>
      <c r="C90" s="84" t="s">
        <v>636</v>
      </c>
      <c r="D90" s="118" t="s">
        <v>672</v>
      </c>
      <c r="E90" s="85" t="s">
        <v>689</v>
      </c>
      <c r="F90" s="85">
        <v>46112</v>
      </c>
      <c r="G90" s="85" t="str">
        <f>TEXT(Table7[[#This Row],[EXPIRY DATE]],"MMM")</f>
        <v>Mar</v>
      </c>
      <c r="H90" s="85" t="str">
        <f>TEXT(Table7[[#This Row],[EXPIRY DATE]],"YYY")</f>
        <v>2026</v>
      </c>
      <c r="I90" s="84" t="s">
        <v>607</v>
      </c>
      <c r="J90" s="69"/>
    </row>
    <row r="91" spans="1:10" x14ac:dyDescent="0.3">
      <c r="A91" s="84">
        <v>90</v>
      </c>
      <c r="B91" s="84">
        <v>10078</v>
      </c>
      <c r="C91" s="84" t="s">
        <v>636</v>
      </c>
      <c r="D91" s="118" t="s">
        <v>706</v>
      </c>
      <c r="E91" s="85" t="s">
        <v>689</v>
      </c>
      <c r="F91" s="85">
        <v>46112</v>
      </c>
      <c r="G91" s="85" t="str">
        <f>TEXT(Table7[[#This Row],[EXPIRY DATE]],"MMM")</f>
        <v>Mar</v>
      </c>
      <c r="H91" s="85" t="str">
        <f>TEXT(Table7[[#This Row],[EXPIRY DATE]],"YYY")</f>
        <v>2026</v>
      </c>
      <c r="I91" s="84" t="s">
        <v>607</v>
      </c>
      <c r="J91" s="69"/>
    </row>
    <row r="92" spans="1:10" x14ac:dyDescent="0.3">
      <c r="A92" s="84">
        <v>91</v>
      </c>
      <c r="B92" s="84">
        <v>10072</v>
      </c>
      <c r="C92" s="84" t="s">
        <v>636</v>
      </c>
      <c r="D92" s="115" t="s">
        <v>674</v>
      </c>
      <c r="E92" s="85" t="s">
        <v>689</v>
      </c>
      <c r="F92" s="85">
        <v>46112</v>
      </c>
      <c r="G92" s="85" t="str">
        <f>TEXT(Table7[[#This Row],[EXPIRY DATE]],"MMM")</f>
        <v>Mar</v>
      </c>
      <c r="H92" s="85" t="str">
        <f>TEXT(Table7[[#This Row],[EXPIRY DATE]],"YYY")</f>
        <v>2026</v>
      </c>
      <c r="I92" s="84" t="s">
        <v>607</v>
      </c>
      <c r="J92" s="69"/>
    </row>
    <row r="93" spans="1:10" x14ac:dyDescent="0.3">
      <c r="A93" s="84">
        <v>92</v>
      </c>
      <c r="B93" s="84">
        <v>10070</v>
      </c>
      <c r="C93" s="84" t="s">
        <v>636</v>
      </c>
      <c r="D93" s="115" t="s">
        <v>707</v>
      </c>
      <c r="E93" s="85" t="s">
        <v>689</v>
      </c>
      <c r="F93" s="85">
        <v>46112</v>
      </c>
      <c r="G93" s="85" t="str">
        <f>TEXT(Table7[[#This Row],[EXPIRY DATE]],"MMM")</f>
        <v>Mar</v>
      </c>
      <c r="H93" s="85" t="str">
        <f>TEXT(Table7[[#This Row],[EXPIRY DATE]],"YYY")</f>
        <v>2026</v>
      </c>
      <c r="I93" s="84" t="s">
        <v>607</v>
      </c>
      <c r="J93" s="69"/>
    </row>
    <row r="94" spans="1:10" x14ac:dyDescent="0.3">
      <c r="A94" s="84">
        <v>93</v>
      </c>
      <c r="B94" s="84">
        <v>10068</v>
      </c>
      <c r="C94" s="84" t="s">
        <v>636</v>
      </c>
      <c r="D94" s="115" t="s">
        <v>708</v>
      </c>
      <c r="E94" s="85" t="s">
        <v>689</v>
      </c>
      <c r="F94" s="85">
        <v>46112</v>
      </c>
      <c r="G94" s="85" t="str">
        <f>TEXT(Table7[[#This Row],[EXPIRY DATE]],"MMM")</f>
        <v>Mar</v>
      </c>
      <c r="H94" s="85" t="str">
        <f>TEXT(Table7[[#This Row],[EXPIRY DATE]],"YYY")</f>
        <v>2026</v>
      </c>
      <c r="I94" s="84" t="s">
        <v>607</v>
      </c>
      <c r="J94" s="69"/>
    </row>
    <row r="95" spans="1:10" x14ac:dyDescent="0.3">
      <c r="A95" s="84">
        <v>94</v>
      </c>
      <c r="B95" s="90">
        <v>10064</v>
      </c>
      <c r="C95" s="84" t="s">
        <v>636</v>
      </c>
      <c r="D95" s="115" t="s">
        <v>709</v>
      </c>
      <c r="E95" s="85" t="s">
        <v>689</v>
      </c>
      <c r="F95" s="85">
        <v>46112</v>
      </c>
      <c r="G95" s="85" t="str">
        <f>TEXT(Table7[[#This Row],[EXPIRY DATE]],"MMM")</f>
        <v>Mar</v>
      </c>
      <c r="H95" s="85" t="str">
        <f>TEXT(Table7[[#This Row],[EXPIRY DATE]],"YYY")</f>
        <v>2026</v>
      </c>
      <c r="I95" s="84" t="s">
        <v>607</v>
      </c>
      <c r="J95" s="69"/>
    </row>
    <row r="96" spans="1:10" x14ac:dyDescent="0.3">
      <c r="A96" s="84">
        <v>95</v>
      </c>
      <c r="B96" s="89">
        <v>10049</v>
      </c>
      <c r="C96" s="84" t="s">
        <v>636</v>
      </c>
      <c r="D96" s="115" t="s">
        <v>641</v>
      </c>
      <c r="E96" s="85" t="s">
        <v>640</v>
      </c>
      <c r="F96" s="85">
        <v>46112</v>
      </c>
      <c r="G96" s="85" t="str">
        <f>TEXT(Table7[[#This Row],[EXPIRY DATE]],"MMM")</f>
        <v>Mar</v>
      </c>
      <c r="H96" s="85" t="str">
        <f>TEXT(Table7[[#This Row],[EXPIRY DATE]],"YYY")</f>
        <v>2026</v>
      </c>
      <c r="I96" s="84" t="s">
        <v>607</v>
      </c>
      <c r="J96" s="69"/>
    </row>
    <row r="97" spans="1:10" x14ac:dyDescent="0.3">
      <c r="A97" s="84">
        <v>96</v>
      </c>
      <c r="B97" s="89">
        <v>10040</v>
      </c>
      <c r="C97" s="84" t="s">
        <v>636</v>
      </c>
      <c r="D97" s="115" t="s">
        <v>677</v>
      </c>
      <c r="E97" s="85" t="s">
        <v>689</v>
      </c>
      <c r="F97" s="85">
        <v>46112</v>
      </c>
      <c r="G97" s="85" t="str">
        <f>TEXT(Table7[[#This Row],[EXPIRY DATE]],"MMM")</f>
        <v>Mar</v>
      </c>
      <c r="H97" s="85" t="str">
        <f>TEXT(Table7[[#This Row],[EXPIRY DATE]],"YYY")</f>
        <v>2026</v>
      </c>
      <c r="I97" s="84" t="s">
        <v>607</v>
      </c>
      <c r="J97" s="69"/>
    </row>
    <row r="98" spans="1:10" ht="20.399999999999999" x14ac:dyDescent="0.3">
      <c r="A98" s="84">
        <v>97</v>
      </c>
      <c r="B98" s="84">
        <v>10038</v>
      </c>
      <c r="C98" s="84" t="s">
        <v>636</v>
      </c>
      <c r="D98" s="115" t="s">
        <v>710</v>
      </c>
      <c r="E98" s="85" t="s">
        <v>595</v>
      </c>
      <c r="F98" s="85">
        <v>46112</v>
      </c>
      <c r="G98" s="85" t="str">
        <f>TEXT(Table7[[#This Row],[EXPIRY DATE]],"MMM")</f>
        <v>Mar</v>
      </c>
      <c r="H98" s="85" t="str">
        <f>TEXT(Table7[[#This Row],[EXPIRY DATE]],"YYY")</f>
        <v>2026</v>
      </c>
      <c r="I98" s="84" t="s">
        <v>602</v>
      </c>
      <c r="J98" s="69"/>
    </row>
    <row r="99" spans="1:10" x14ac:dyDescent="0.3">
      <c r="A99" s="84">
        <v>98</v>
      </c>
      <c r="B99" s="84">
        <v>10036</v>
      </c>
      <c r="C99" s="84" t="s">
        <v>636</v>
      </c>
      <c r="D99" s="115" t="s">
        <v>642</v>
      </c>
      <c r="E99" s="85" t="s">
        <v>640</v>
      </c>
      <c r="F99" s="85">
        <v>46112</v>
      </c>
      <c r="G99" s="85" t="str">
        <f>TEXT(Table7[[#This Row],[EXPIRY DATE]],"MMM")</f>
        <v>Mar</v>
      </c>
      <c r="H99" s="85" t="str">
        <f>TEXT(Table7[[#This Row],[EXPIRY DATE]],"YYY")</f>
        <v>2026</v>
      </c>
      <c r="I99" s="84" t="s">
        <v>607</v>
      </c>
      <c r="J99" s="69"/>
    </row>
    <row r="100" spans="1:10" x14ac:dyDescent="0.3">
      <c r="A100" s="84">
        <v>99</v>
      </c>
      <c r="B100" s="84">
        <v>10035</v>
      </c>
      <c r="C100" s="84" t="s">
        <v>636</v>
      </c>
      <c r="D100" s="115" t="s">
        <v>678</v>
      </c>
      <c r="E100" s="85" t="s">
        <v>689</v>
      </c>
      <c r="F100" s="85">
        <v>46112</v>
      </c>
      <c r="G100" s="85" t="str">
        <f>TEXT(Table7[[#This Row],[EXPIRY DATE]],"MMM")</f>
        <v>Mar</v>
      </c>
      <c r="H100" s="85" t="str">
        <f>TEXT(Table7[[#This Row],[EXPIRY DATE]],"YYY")</f>
        <v>2026</v>
      </c>
      <c r="I100" s="84" t="s">
        <v>607</v>
      </c>
      <c r="J100" s="69"/>
    </row>
    <row r="101" spans="1:10" x14ac:dyDescent="0.3">
      <c r="A101" s="84">
        <v>100</v>
      </c>
      <c r="B101" s="89">
        <v>10032</v>
      </c>
      <c r="C101" s="84" t="s">
        <v>636</v>
      </c>
      <c r="D101" s="115" t="s">
        <v>711</v>
      </c>
      <c r="E101" s="85" t="s">
        <v>692</v>
      </c>
      <c r="F101" s="85">
        <v>46112</v>
      </c>
      <c r="G101" s="85" t="str">
        <f>TEXT(Table7[[#This Row],[EXPIRY DATE]],"MMM")</f>
        <v>Mar</v>
      </c>
      <c r="H101" s="85" t="str">
        <f>TEXT(Table7[[#This Row],[EXPIRY DATE]],"YYY")</f>
        <v>2026</v>
      </c>
      <c r="I101" s="84" t="s">
        <v>602</v>
      </c>
      <c r="J101" s="69"/>
    </row>
    <row r="102" spans="1:10" x14ac:dyDescent="0.3">
      <c r="A102" s="84">
        <v>101</v>
      </c>
      <c r="B102" s="89">
        <v>10032</v>
      </c>
      <c r="C102" s="84" t="s">
        <v>636</v>
      </c>
      <c r="D102" s="115" t="s">
        <v>711</v>
      </c>
      <c r="E102" s="85" t="s">
        <v>692</v>
      </c>
      <c r="F102" s="85">
        <v>46112</v>
      </c>
      <c r="G102" s="85" t="str">
        <f>TEXT(Table7[[#This Row],[EXPIRY DATE]],"MMM")</f>
        <v>Mar</v>
      </c>
      <c r="H102" s="85" t="str">
        <f>TEXT(Table7[[#This Row],[EXPIRY DATE]],"YYY")</f>
        <v>2026</v>
      </c>
      <c r="I102" s="84" t="s">
        <v>607</v>
      </c>
      <c r="J102" s="69"/>
    </row>
    <row r="103" spans="1:10" x14ac:dyDescent="0.3">
      <c r="A103" s="84">
        <v>102</v>
      </c>
      <c r="B103" s="89">
        <v>10024</v>
      </c>
      <c r="C103" s="84" t="s">
        <v>636</v>
      </c>
      <c r="D103" s="115" t="s">
        <v>679</v>
      </c>
      <c r="E103" s="85" t="s">
        <v>689</v>
      </c>
      <c r="F103" s="85">
        <v>46112</v>
      </c>
      <c r="G103" s="85" t="str">
        <f>TEXT(Table7[[#This Row],[EXPIRY DATE]],"MMM")</f>
        <v>Mar</v>
      </c>
      <c r="H103" s="85" t="str">
        <f>TEXT(Table7[[#This Row],[EXPIRY DATE]],"YYY")</f>
        <v>2026</v>
      </c>
      <c r="I103" s="84" t="s">
        <v>607</v>
      </c>
      <c r="J103" s="69"/>
    </row>
    <row r="104" spans="1:10" x14ac:dyDescent="0.3">
      <c r="A104" s="84">
        <v>103</v>
      </c>
      <c r="B104" s="89">
        <v>10023</v>
      </c>
      <c r="C104" s="84" t="s">
        <v>636</v>
      </c>
      <c r="D104" s="115" t="s">
        <v>680</v>
      </c>
      <c r="E104" s="85" t="s">
        <v>689</v>
      </c>
      <c r="F104" s="85">
        <v>46112</v>
      </c>
      <c r="G104" s="85" t="str">
        <f>TEXT(Table7[[#This Row],[EXPIRY DATE]],"MMM")</f>
        <v>Mar</v>
      </c>
      <c r="H104" s="85" t="str">
        <f>TEXT(Table7[[#This Row],[EXPIRY DATE]],"YYY")</f>
        <v>2026</v>
      </c>
      <c r="I104" s="84" t="s">
        <v>607</v>
      </c>
      <c r="J104" s="69"/>
    </row>
    <row r="105" spans="1:10" x14ac:dyDescent="0.3">
      <c r="A105" s="84">
        <v>104</v>
      </c>
      <c r="B105" s="89">
        <v>10020</v>
      </c>
      <c r="C105" s="84" t="s">
        <v>636</v>
      </c>
      <c r="D105" s="115" t="s">
        <v>712</v>
      </c>
      <c r="E105" s="85" t="s">
        <v>689</v>
      </c>
      <c r="F105" s="85">
        <v>46112</v>
      </c>
      <c r="G105" s="85" t="str">
        <f>TEXT(Table7[[#This Row],[EXPIRY DATE]],"MMM")</f>
        <v>Mar</v>
      </c>
      <c r="H105" s="85" t="str">
        <f>TEXT(Table7[[#This Row],[EXPIRY DATE]],"YYY")</f>
        <v>2026</v>
      </c>
      <c r="I105" s="84" t="s">
        <v>607</v>
      </c>
      <c r="J105" s="69"/>
    </row>
    <row r="106" spans="1:10" x14ac:dyDescent="0.3">
      <c r="A106" s="84">
        <v>105</v>
      </c>
      <c r="B106" s="89">
        <v>10019</v>
      </c>
      <c r="C106" s="84" t="s">
        <v>636</v>
      </c>
      <c r="D106" s="115" t="s">
        <v>681</v>
      </c>
      <c r="E106" s="85" t="s">
        <v>689</v>
      </c>
      <c r="F106" s="85">
        <v>46112</v>
      </c>
      <c r="G106" s="85" t="str">
        <f>TEXT(Table7[[#This Row],[EXPIRY DATE]],"MMM")</f>
        <v>Mar</v>
      </c>
      <c r="H106" s="85" t="str">
        <f>TEXT(Table7[[#This Row],[EXPIRY DATE]],"YYY")</f>
        <v>2026</v>
      </c>
      <c r="I106" s="84" t="s">
        <v>607</v>
      </c>
      <c r="J106" s="69"/>
    </row>
    <row r="107" spans="1:10" x14ac:dyDescent="0.3">
      <c r="A107" s="84">
        <v>106</v>
      </c>
      <c r="B107" s="89">
        <v>10016</v>
      </c>
      <c r="C107" s="84" t="s">
        <v>636</v>
      </c>
      <c r="D107" s="115" t="s">
        <v>682</v>
      </c>
      <c r="E107" s="85" t="s">
        <v>689</v>
      </c>
      <c r="F107" s="85">
        <v>46112</v>
      </c>
      <c r="G107" s="85" t="str">
        <f>TEXT(Table7[[#This Row],[EXPIRY DATE]],"MMM")</f>
        <v>Mar</v>
      </c>
      <c r="H107" s="85" t="str">
        <f>TEXT(Table7[[#This Row],[EXPIRY DATE]],"YYY")</f>
        <v>2026</v>
      </c>
      <c r="I107" s="84" t="s">
        <v>607</v>
      </c>
      <c r="J107" s="69"/>
    </row>
    <row r="108" spans="1:10" x14ac:dyDescent="0.3">
      <c r="A108" s="84">
        <v>107</v>
      </c>
      <c r="B108" s="89">
        <v>10015</v>
      </c>
      <c r="C108" s="84" t="s">
        <v>636</v>
      </c>
      <c r="D108" s="115" t="s">
        <v>683</v>
      </c>
      <c r="E108" s="85" t="s">
        <v>689</v>
      </c>
      <c r="F108" s="85">
        <v>46112</v>
      </c>
      <c r="G108" s="85" t="str">
        <f>TEXT(Table7[[#This Row],[EXPIRY DATE]],"MMM")</f>
        <v>Mar</v>
      </c>
      <c r="H108" s="85" t="str">
        <f>TEXT(Table7[[#This Row],[EXPIRY DATE]],"YYY")</f>
        <v>2026</v>
      </c>
      <c r="I108" s="84" t="s">
        <v>607</v>
      </c>
      <c r="J108" s="69"/>
    </row>
    <row r="109" spans="1:10" x14ac:dyDescent="0.3">
      <c r="A109" s="84">
        <v>108</v>
      </c>
      <c r="B109" s="89">
        <v>10014</v>
      </c>
      <c r="C109" s="84" t="s">
        <v>636</v>
      </c>
      <c r="D109" s="115" t="s">
        <v>684</v>
      </c>
      <c r="E109" s="85" t="s">
        <v>689</v>
      </c>
      <c r="F109" s="85">
        <v>46112</v>
      </c>
      <c r="G109" s="85" t="str">
        <f>TEXT(Table7[[#This Row],[EXPIRY DATE]],"MMM")</f>
        <v>Mar</v>
      </c>
      <c r="H109" s="85" t="str">
        <f>TEXT(Table7[[#This Row],[EXPIRY DATE]],"YYY")</f>
        <v>2026</v>
      </c>
      <c r="I109" s="84" t="s">
        <v>607</v>
      </c>
      <c r="J109" s="69"/>
    </row>
    <row r="110" spans="1:10" x14ac:dyDescent="0.3">
      <c r="A110" s="84">
        <v>109</v>
      </c>
      <c r="B110" s="89">
        <v>10009</v>
      </c>
      <c r="C110" s="84" t="s">
        <v>636</v>
      </c>
      <c r="D110" s="115" t="s">
        <v>643</v>
      </c>
      <c r="E110" s="85" t="s">
        <v>640</v>
      </c>
      <c r="F110" s="85">
        <v>46112</v>
      </c>
      <c r="G110" s="85" t="str">
        <f>TEXT(Table7[[#This Row],[EXPIRY DATE]],"MMM")</f>
        <v>Mar</v>
      </c>
      <c r="H110" s="85" t="str">
        <f>TEXT(Table7[[#This Row],[EXPIRY DATE]],"YYY")</f>
        <v>2026</v>
      </c>
      <c r="I110" s="84" t="s">
        <v>607</v>
      </c>
      <c r="J110" s="69"/>
    </row>
    <row r="111" spans="1:10" x14ac:dyDescent="0.3">
      <c r="A111" s="84">
        <v>110</v>
      </c>
      <c r="B111" s="89">
        <v>10007</v>
      </c>
      <c r="C111" s="84" t="s">
        <v>636</v>
      </c>
      <c r="D111" s="115" t="s">
        <v>713</v>
      </c>
      <c r="E111" s="85" t="s">
        <v>624</v>
      </c>
      <c r="F111" s="85">
        <v>46112</v>
      </c>
      <c r="G111" s="85" t="str">
        <f>TEXT(Table7[[#This Row],[EXPIRY DATE]],"MMM")</f>
        <v>Mar</v>
      </c>
      <c r="H111" s="85" t="str">
        <f>TEXT(Table7[[#This Row],[EXPIRY DATE]],"YYY")</f>
        <v>2026</v>
      </c>
      <c r="I111" s="84" t="s">
        <v>607</v>
      </c>
      <c r="J111" s="69"/>
    </row>
    <row r="112" spans="1:10" x14ac:dyDescent="0.3">
      <c r="A112" s="84">
        <v>111</v>
      </c>
      <c r="B112" s="84">
        <v>10003</v>
      </c>
      <c r="C112" s="84" t="s">
        <v>636</v>
      </c>
      <c r="D112" s="115" t="s">
        <v>714</v>
      </c>
      <c r="E112" s="85" t="s">
        <v>595</v>
      </c>
      <c r="F112" s="85">
        <v>46112</v>
      </c>
      <c r="G112" s="85" t="str">
        <f>TEXT(Table7[[#This Row],[EXPIRY DATE]],"MMM")</f>
        <v>Mar</v>
      </c>
      <c r="H112" s="85" t="str">
        <f>TEXT(Table7[[#This Row],[EXPIRY DATE]],"YYY")</f>
        <v>2026</v>
      </c>
      <c r="I112" s="84" t="s">
        <v>602</v>
      </c>
      <c r="J112" s="69"/>
    </row>
    <row r="113" spans="1:10" x14ac:dyDescent="0.3">
      <c r="A113" s="84">
        <v>112</v>
      </c>
      <c r="B113" s="90" t="s">
        <v>715</v>
      </c>
      <c r="C113" s="84" t="s">
        <v>636</v>
      </c>
      <c r="D113" s="118" t="s">
        <v>716</v>
      </c>
      <c r="E113" s="85" t="s">
        <v>717</v>
      </c>
      <c r="F113" s="85">
        <v>46128</v>
      </c>
      <c r="G113" s="85" t="str">
        <f>TEXT(Table7[[#This Row],[EXPIRY DATE]],"MMM")</f>
        <v>Apr</v>
      </c>
      <c r="H113" s="85" t="str">
        <f>TEXT(Table7[[#This Row],[EXPIRY DATE]],"YYY")</f>
        <v>2026</v>
      </c>
      <c r="I113" s="84" t="s">
        <v>602</v>
      </c>
      <c r="J113" s="69"/>
    </row>
    <row r="114" spans="1:10" x14ac:dyDescent="0.3">
      <c r="A114" s="84">
        <v>113</v>
      </c>
      <c r="B114" s="84" t="s">
        <v>718</v>
      </c>
      <c r="C114" s="84" t="s">
        <v>636</v>
      </c>
      <c r="D114" s="118" t="s">
        <v>719</v>
      </c>
      <c r="E114" s="85" t="s">
        <v>717</v>
      </c>
      <c r="F114" s="85">
        <v>46128</v>
      </c>
      <c r="G114" s="85" t="str">
        <f>TEXT(Table7[[#This Row],[EXPIRY DATE]],"MMM")</f>
        <v>Apr</v>
      </c>
      <c r="H114" s="85" t="str">
        <f>TEXT(Table7[[#This Row],[EXPIRY DATE]],"YYY")</f>
        <v>2026</v>
      </c>
      <c r="I114" s="84" t="s">
        <v>602</v>
      </c>
      <c r="J114" s="69"/>
    </row>
    <row r="115" spans="1:10" x14ac:dyDescent="0.3">
      <c r="A115" s="84">
        <v>114</v>
      </c>
      <c r="B115" s="89" t="s">
        <v>720</v>
      </c>
      <c r="C115" s="84" t="s">
        <v>636</v>
      </c>
      <c r="D115" s="115" t="s">
        <v>721</v>
      </c>
      <c r="E115" s="85" t="s">
        <v>717</v>
      </c>
      <c r="F115" s="85">
        <v>46128</v>
      </c>
      <c r="G115" s="85" t="str">
        <f>TEXT(Table7[[#This Row],[EXPIRY DATE]],"MMM")</f>
        <v>Apr</v>
      </c>
      <c r="H115" s="85" t="str">
        <f>TEXT(Table7[[#This Row],[EXPIRY DATE]],"YYY")</f>
        <v>2026</v>
      </c>
      <c r="I115" s="84" t="s">
        <v>602</v>
      </c>
      <c r="J115" s="69"/>
    </row>
    <row r="116" spans="1:10" x14ac:dyDescent="0.3">
      <c r="A116" s="84">
        <v>115</v>
      </c>
      <c r="B116" s="84" t="s">
        <v>722</v>
      </c>
      <c r="C116" s="84" t="s">
        <v>636</v>
      </c>
      <c r="D116" s="115" t="s">
        <v>723</v>
      </c>
      <c r="E116" s="85" t="s">
        <v>717</v>
      </c>
      <c r="F116" s="85">
        <v>46128</v>
      </c>
      <c r="G116" s="85" t="str">
        <f>TEXT(Table7[[#This Row],[EXPIRY DATE]],"MMM")</f>
        <v>Apr</v>
      </c>
      <c r="H116" s="85" t="str">
        <f>TEXT(Table7[[#This Row],[EXPIRY DATE]],"YYY")</f>
        <v>2026</v>
      </c>
      <c r="I116" s="84" t="s">
        <v>602</v>
      </c>
      <c r="J116" s="69"/>
    </row>
    <row r="117" spans="1:10" x14ac:dyDescent="0.3">
      <c r="A117" s="84">
        <v>116</v>
      </c>
      <c r="B117" s="84" t="s">
        <v>724</v>
      </c>
      <c r="C117" s="84" t="s">
        <v>636</v>
      </c>
      <c r="D117" s="115" t="s">
        <v>725</v>
      </c>
      <c r="E117" s="85" t="s">
        <v>601</v>
      </c>
      <c r="F117" s="85">
        <v>46129</v>
      </c>
      <c r="G117" s="85" t="str">
        <f>TEXT(Table7[[#This Row],[EXPIRY DATE]],"MMM")</f>
        <v>Apr</v>
      </c>
      <c r="H117" s="85" t="str">
        <f>TEXT(Table7[[#This Row],[EXPIRY DATE]],"YYY")</f>
        <v>2026</v>
      </c>
      <c r="I117" s="84" t="s">
        <v>602</v>
      </c>
      <c r="J117" s="69"/>
    </row>
    <row r="118" spans="1:10" x14ac:dyDescent="0.3">
      <c r="A118" s="84">
        <v>117</v>
      </c>
      <c r="B118" s="84">
        <v>10116</v>
      </c>
      <c r="C118" s="84" t="s">
        <v>636</v>
      </c>
      <c r="D118" s="115" t="s">
        <v>726</v>
      </c>
      <c r="E118" s="85" t="s">
        <v>601</v>
      </c>
      <c r="F118" s="85">
        <v>46274</v>
      </c>
      <c r="G118" s="85" t="str">
        <f>TEXT(Table7[[#This Row],[EXPIRY DATE]],"MMM")</f>
        <v>Sep</v>
      </c>
      <c r="H118" s="85" t="str">
        <f>TEXT(Table7[[#This Row],[EXPIRY DATE]],"YYY")</f>
        <v>2026</v>
      </c>
      <c r="I118" s="84" t="s">
        <v>602</v>
      </c>
      <c r="J118" s="69"/>
    </row>
    <row r="119" spans="1:10" x14ac:dyDescent="0.3">
      <c r="A119" s="84">
        <v>118</v>
      </c>
      <c r="B119" s="84">
        <v>10114</v>
      </c>
      <c r="C119" s="84" t="s">
        <v>636</v>
      </c>
      <c r="D119" s="115" t="s">
        <v>727</v>
      </c>
      <c r="E119" s="85" t="s">
        <v>601</v>
      </c>
      <c r="F119" s="85">
        <v>46274</v>
      </c>
      <c r="G119" s="85" t="str">
        <f>TEXT(Table7[[#This Row],[EXPIRY DATE]],"MMM")</f>
        <v>Sep</v>
      </c>
      <c r="H119" s="85" t="str">
        <f>TEXT(Table7[[#This Row],[EXPIRY DATE]],"YYY")</f>
        <v>2026</v>
      </c>
      <c r="I119" s="84" t="s">
        <v>602</v>
      </c>
      <c r="J119" s="69"/>
    </row>
    <row r="120" spans="1:10" x14ac:dyDescent="0.3">
      <c r="A120" s="84">
        <v>119</v>
      </c>
      <c r="B120" s="84">
        <v>10109</v>
      </c>
      <c r="C120" s="84" t="s">
        <v>636</v>
      </c>
      <c r="D120" s="115" t="s">
        <v>728</v>
      </c>
      <c r="E120" s="85" t="s">
        <v>601</v>
      </c>
      <c r="F120" s="85">
        <v>46274</v>
      </c>
      <c r="G120" s="85" t="str">
        <f>TEXT(Table7[[#This Row],[EXPIRY DATE]],"MMM")</f>
        <v>Sep</v>
      </c>
      <c r="H120" s="85" t="str">
        <f>TEXT(Table7[[#This Row],[EXPIRY DATE]],"YYY")</f>
        <v>2026</v>
      </c>
      <c r="I120" s="84" t="s">
        <v>602</v>
      </c>
      <c r="J120" s="69"/>
    </row>
    <row r="121" spans="1:10" x14ac:dyDescent="0.3">
      <c r="A121" s="84">
        <v>120</v>
      </c>
      <c r="B121" s="84">
        <v>10110</v>
      </c>
      <c r="C121" s="84" t="s">
        <v>636</v>
      </c>
      <c r="D121" s="115" t="s">
        <v>729</v>
      </c>
      <c r="E121" s="85" t="s">
        <v>601</v>
      </c>
      <c r="F121" s="85">
        <v>46275</v>
      </c>
      <c r="G121" s="85" t="str">
        <f>TEXT(Table7[[#This Row],[EXPIRY DATE]],"MMM")</f>
        <v>Sep</v>
      </c>
      <c r="H121" s="85" t="str">
        <f>TEXT(Table7[[#This Row],[EXPIRY DATE]],"YYY")</f>
        <v>2026</v>
      </c>
      <c r="I121" s="84" t="s">
        <v>602</v>
      </c>
      <c r="J121" s="69"/>
    </row>
    <row r="122" spans="1:10" x14ac:dyDescent="0.3">
      <c r="A122" s="84">
        <v>121</v>
      </c>
      <c r="B122" s="84">
        <v>10062</v>
      </c>
      <c r="C122" s="84" t="s">
        <v>636</v>
      </c>
      <c r="D122" s="115" t="s">
        <v>730</v>
      </c>
      <c r="E122" s="85" t="s">
        <v>601</v>
      </c>
      <c r="F122" s="85">
        <v>46275</v>
      </c>
      <c r="G122" s="85" t="str">
        <f>TEXT(Table7[[#This Row],[EXPIRY DATE]],"MMM")</f>
        <v>Sep</v>
      </c>
      <c r="H122" s="85" t="str">
        <f>TEXT(Table7[[#This Row],[EXPIRY DATE]],"YYY")</f>
        <v>2026</v>
      </c>
      <c r="I122" s="84" t="s">
        <v>602</v>
      </c>
      <c r="J122" s="69"/>
    </row>
    <row r="123" spans="1:10" x14ac:dyDescent="0.3">
      <c r="A123" s="84">
        <v>122</v>
      </c>
      <c r="B123" s="84" t="s">
        <v>665</v>
      </c>
      <c r="C123" s="84" t="s">
        <v>636</v>
      </c>
      <c r="D123" s="115" t="s">
        <v>666</v>
      </c>
      <c r="E123" s="85" t="s">
        <v>667</v>
      </c>
      <c r="F123" s="85">
        <v>46285</v>
      </c>
      <c r="G123" s="85" t="str">
        <f>TEXT(Table7[[#This Row],[EXPIRY DATE]],"MMM")</f>
        <v>Sep</v>
      </c>
      <c r="H123" s="85" t="str">
        <f>TEXT(Table7[[#This Row],[EXPIRY DATE]],"YYY")</f>
        <v>2026</v>
      </c>
      <c r="I123" s="84" t="s">
        <v>602</v>
      </c>
      <c r="J123" s="69"/>
    </row>
    <row r="124" spans="1:10" x14ac:dyDescent="0.3">
      <c r="A124" s="84">
        <v>123</v>
      </c>
      <c r="B124" s="90">
        <v>10082</v>
      </c>
      <c r="C124" s="84" t="s">
        <v>636</v>
      </c>
      <c r="D124" s="115" t="s">
        <v>731</v>
      </c>
      <c r="E124" s="85" t="s">
        <v>667</v>
      </c>
      <c r="F124" s="85">
        <v>46285</v>
      </c>
      <c r="G124" s="85" t="str">
        <f>TEXT(Table7[[#This Row],[EXPIRY DATE]],"MMM")</f>
        <v>Sep</v>
      </c>
      <c r="H124" s="85" t="str">
        <f>TEXT(Table7[[#This Row],[EXPIRY DATE]],"YYY")</f>
        <v>2026</v>
      </c>
      <c r="I124" s="84" t="s">
        <v>602</v>
      </c>
      <c r="J124" s="69"/>
    </row>
    <row r="125" spans="1:10" x14ac:dyDescent="0.3">
      <c r="A125" s="84">
        <v>124</v>
      </c>
      <c r="B125" s="89">
        <v>10025</v>
      </c>
      <c r="C125" s="84" t="s">
        <v>636</v>
      </c>
      <c r="D125" s="115" t="s">
        <v>732</v>
      </c>
      <c r="E125" s="85" t="s">
        <v>601</v>
      </c>
      <c r="F125" s="85">
        <v>46285</v>
      </c>
      <c r="G125" s="85" t="str">
        <f>TEXT(Table7[[#This Row],[EXPIRY DATE]],"MMM")</f>
        <v>Sep</v>
      </c>
      <c r="H125" s="85" t="str">
        <f>TEXT(Table7[[#This Row],[EXPIRY DATE]],"YYY")</f>
        <v>2026</v>
      </c>
      <c r="I125" s="84" t="s">
        <v>602</v>
      </c>
      <c r="J125" s="69"/>
    </row>
    <row r="126" spans="1:10" x14ac:dyDescent="0.3">
      <c r="A126" s="84">
        <v>125</v>
      </c>
      <c r="B126" s="89">
        <v>10010</v>
      </c>
      <c r="C126" s="84" t="s">
        <v>636</v>
      </c>
      <c r="D126" s="115" t="s">
        <v>733</v>
      </c>
      <c r="E126" s="85" t="s">
        <v>601</v>
      </c>
      <c r="F126" s="85">
        <v>46285</v>
      </c>
      <c r="G126" s="85" t="str">
        <f>TEXT(Table7[[#This Row],[EXPIRY DATE]],"MMM")</f>
        <v>Sep</v>
      </c>
      <c r="H126" s="85" t="str">
        <f>TEXT(Table7[[#This Row],[EXPIRY DATE]],"YYY")</f>
        <v>2026</v>
      </c>
      <c r="I126" s="84" t="s">
        <v>602</v>
      </c>
      <c r="J126" s="69"/>
    </row>
    <row r="127" spans="1:10" x14ac:dyDescent="0.3">
      <c r="A127" s="84">
        <v>126</v>
      </c>
      <c r="B127" s="84">
        <v>10145</v>
      </c>
      <c r="C127" s="84" t="s">
        <v>636</v>
      </c>
      <c r="D127" s="115" t="s">
        <v>734</v>
      </c>
      <c r="E127" s="85" t="s">
        <v>735</v>
      </c>
      <c r="F127" s="85">
        <v>46365</v>
      </c>
      <c r="G127" s="85" t="str">
        <f>TEXT(Table7[[#This Row],[EXPIRY DATE]],"MMM")</f>
        <v>Dec</v>
      </c>
      <c r="H127" s="85" t="str">
        <f>TEXT(Table7[[#This Row],[EXPIRY DATE]],"YYY")</f>
        <v>2026</v>
      </c>
      <c r="I127" s="84" t="s">
        <v>602</v>
      </c>
      <c r="J127" s="69"/>
    </row>
    <row r="128" spans="1:10" x14ac:dyDescent="0.3">
      <c r="A128" s="84">
        <v>127</v>
      </c>
      <c r="B128" s="84">
        <v>10128</v>
      </c>
      <c r="C128" s="84" t="s">
        <v>636</v>
      </c>
      <c r="D128" s="115" t="s">
        <v>736</v>
      </c>
      <c r="E128" s="85" t="s">
        <v>737</v>
      </c>
      <c r="F128" s="85">
        <v>46365</v>
      </c>
      <c r="G128" s="85" t="str">
        <f>TEXT(Table7[[#This Row],[EXPIRY DATE]],"MMM")</f>
        <v>Dec</v>
      </c>
      <c r="H128" s="85" t="str">
        <f>TEXT(Table7[[#This Row],[EXPIRY DATE]],"YYY")</f>
        <v>2026</v>
      </c>
      <c r="I128" s="84" t="s">
        <v>602</v>
      </c>
      <c r="J128" s="69"/>
    </row>
    <row r="129" spans="1:10" x14ac:dyDescent="0.3">
      <c r="A129" s="84">
        <v>128</v>
      </c>
      <c r="B129" s="84">
        <v>10111</v>
      </c>
      <c r="C129" s="84" t="s">
        <v>636</v>
      </c>
      <c r="D129" s="115" t="s">
        <v>738</v>
      </c>
      <c r="E129" s="85" t="s">
        <v>601</v>
      </c>
      <c r="F129" s="85">
        <v>46365</v>
      </c>
      <c r="G129" s="85" t="str">
        <f>TEXT(Table7[[#This Row],[EXPIRY DATE]],"MMM")</f>
        <v>Dec</v>
      </c>
      <c r="H129" s="85" t="str">
        <f>TEXT(Table7[[#This Row],[EXPIRY DATE]],"YYY")</f>
        <v>2026</v>
      </c>
      <c r="I129" s="84" t="s">
        <v>602</v>
      </c>
      <c r="J129" s="69"/>
    </row>
    <row r="130" spans="1:10" ht="40.799999999999997" x14ac:dyDescent="0.3">
      <c r="A130" s="84">
        <v>129</v>
      </c>
      <c r="B130" s="84">
        <v>10102</v>
      </c>
      <c r="C130" s="84" t="s">
        <v>636</v>
      </c>
      <c r="D130" s="115" t="s">
        <v>739</v>
      </c>
      <c r="E130" s="85" t="s">
        <v>601</v>
      </c>
      <c r="F130" s="85">
        <v>46365</v>
      </c>
      <c r="G130" s="85" t="str">
        <f>TEXT(Table7[[#This Row],[EXPIRY DATE]],"MMM")</f>
        <v>Dec</v>
      </c>
      <c r="H130" s="85" t="str">
        <f>TEXT(Table7[[#This Row],[EXPIRY DATE]],"YYY")</f>
        <v>2026</v>
      </c>
      <c r="I130" s="84" t="s">
        <v>602</v>
      </c>
      <c r="J130" s="69"/>
    </row>
    <row r="131" spans="1:10" x14ac:dyDescent="0.3">
      <c r="A131" s="84">
        <v>130</v>
      </c>
      <c r="B131" s="84" t="s">
        <v>740</v>
      </c>
      <c r="C131" s="84" t="s">
        <v>636</v>
      </c>
      <c r="D131" s="115" t="s">
        <v>741</v>
      </c>
      <c r="E131" s="85" t="s">
        <v>742</v>
      </c>
      <c r="F131" s="85">
        <v>46387</v>
      </c>
      <c r="G131" s="85" t="str">
        <f>TEXT(Table7[[#This Row],[EXPIRY DATE]],"MMM")</f>
        <v>Dec</v>
      </c>
      <c r="H131" s="85" t="str">
        <f>TEXT(Table7[[#This Row],[EXPIRY DATE]],"YYY")</f>
        <v>2026</v>
      </c>
      <c r="I131" s="84" t="s">
        <v>602</v>
      </c>
      <c r="J131" s="69"/>
    </row>
    <row r="132" spans="1:10" x14ac:dyDescent="0.3">
      <c r="A132" s="84">
        <v>131</v>
      </c>
      <c r="B132" s="84" t="s">
        <v>743</v>
      </c>
      <c r="C132" s="84" t="s">
        <v>636</v>
      </c>
      <c r="D132" s="115" t="s">
        <v>744</v>
      </c>
      <c r="E132" s="85" t="s">
        <v>590</v>
      </c>
      <c r="F132" s="85">
        <v>46387</v>
      </c>
      <c r="G132" s="85" t="str">
        <f>TEXT(Table7[[#This Row],[EXPIRY DATE]],"MMM")</f>
        <v>Dec</v>
      </c>
      <c r="H132" s="85" t="str">
        <f>TEXT(Table7[[#This Row],[EXPIRY DATE]],"YYY")</f>
        <v>2026</v>
      </c>
      <c r="I132" s="84" t="s">
        <v>602</v>
      </c>
      <c r="J132" s="69"/>
    </row>
    <row r="133" spans="1:10" x14ac:dyDescent="0.3">
      <c r="A133" s="84">
        <v>132</v>
      </c>
      <c r="B133" s="84" t="s">
        <v>685</v>
      </c>
      <c r="C133" s="84" t="s">
        <v>636</v>
      </c>
      <c r="D133" s="115" t="s">
        <v>686</v>
      </c>
      <c r="E133" s="85" t="s">
        <v>742</v>
      </c>
      <c r="F133" s="85">
        <v>46387</v>
      </c>
      <c r="G133" s="85" t="str">
        <f>TEXT(Table7[[#This Row],[EXPIRY DATE]],"MMM")</f>
        <v>Dec</v>
      </c>
      <c r="H133" s="85" t="str">
        <f>TEXT(Table7[[#This Row],[EXPIRY DATE]],"YYY")</f>
        <v>2026</v>
      </c>
      <c r="I133" s="84" t="s">
        <v>602</v>
      </c>
      <c r="J133" s="69"/>
    </row>
    <row r="134" spans="1:10" x14ac:dyDescent="0.3">
      <c r="A134" s="84">
        <v>133</v>
      </c>
      <c r="B134" s="84">
        <v>10142</v>
      </c>
      <c r="C134" s="84" t="s">
        <v>636</v>
      </c>
      <c r="D134" s="115" t="s">
        <v>745</v>
      </c>
      <c r="E134" s="85" t="s">
        <v>746</v>
      </c>
      <c r="F134" s="85">
        <v>46387</v>
      </c>
      <c r="G134" s="85" t="str">
        <f>TEXT(Table7[[#This Row],[EXPIRY DATE]],"MMM")</f>
        <v>Dec</v>
      </c>
      <c r="H134" s="85" t="str">
        <f>TEXT(Table7[[#This Row],[EXPIRY DATE]],"YYY")</f>
        <v>2026</v>
      </c>
      <c r="I134" s="84" t="s">
        <v>602</v>
      </c>
      <c r="J134" s="69"/>
    </row>
    <row r="135" spans="1:10" x14ac:dyDescent="0.3">
      <c r="A135" s="84">
        <v>134</v>
      </c>
      <c r="B135" s="84">
        <v>10134</v>
      </c>
      <c r="C135" s="84" t="s">
        <v>636</v>
      </c>
      <c r="D135" s="115" t="s">
        <v>690</v>
      </c>
      <c r="E135" s="85" t="s">
        <v>598</v>
      </c>
      <c r="F135" s="85">
        <v>46387</v>
      </c>
      <c r="G135" s="85" t="str">
        <f>TEXT(Table7[[#This Row],[EXPIRY DATE]],"MMM")</f>
        <v>Dec</v>
      </c>
      <c r="H135" s="85" t="str">
        <f>TEXT(Table7[[#This Row],[EXPIRY DATE]],"YYY")</f>
        <v>2026</v>
      </c>
      <c r="I135" s="84" t="s">
        <v>602</v>
      </c>
      <c r="J135" s="69"/>
    </row>
    <row r="136" spans="1:10" x14ac:dyDescent="0.3">
      <c r="A136" s="84">
        <v>135</v>
      </c>
      <c r="B136" s="84">
        <v>10125</v>
      </c>
      <c r="C136" s="84" t="s">
        <v>636</v>
      </c>
      <c r="D136" s="115" t="s">
        <v>747</v>
      </c>
      <c r="E136" s="85" t="s">
        <v>610</v>
      </c>
      <c r="F136" s="85">
        <v>46387</v>
      </c>
      <c r="G136" s="85" t="str">
        <f>TEXT(Table7[[#This Row],[EXPIRY DATE]],"MMM")</f>
        <v>Dec</v>
      </c>
      <c r="H136" s="85" t="str">
        <f>TEXT(Table7[[#This Row],[EXPIRY DATE]],"YYY")</f>
        <v>2026</v>
      </c>
      <c r="I136" s="84" t="s">
        <v>602</v>
      </c>
      <c r="J136" s="69"/>
    </row>
    <row r="137" spans="1:10" x14ac:dyDescent="0.3">
      <c r="A137" s="84">
        <v>136</v>
      </c>
      <c r="B137" s="84">
        <v>10125</v>
      </c>
      <c r="C137" s="84" t="s">
        <v>636</v>
      </c>
      <c r="D137" s="115" t="s">
        <v>747</v>
      </c>
      <c r="E137" s="85" t="s">
        <v>610</v>
      </c>
      <c r="F137" s="85">
        <v>46387</v>
      </c>
      <c r="G137" s="85" t="str">
        <f>TEXT(Table7[[#This Row],[EXPIRY DATE]],"MMM")</f>
        <v>Dec</v>
      </c>
      <c r="H137" s="85" t="str">
        <f>TEXT(Table7[[#This Row],[EXPIRY DATE]],"YYY")</f>
        <v>2026</v>
      </c>
      <c r="I137" s="84" t="s">
        <v>607</v>
      </c>
      <c r="J137" s="69"/>
    </row>
    <row r="138" spans="1:10" x14ac:dyDescent="0.3">
      <c r="A138" s="84">
        <v>137</v>
      </c>
      <c r="B138" s="84">
        <v>10121</v>
      </c>
      <c r="C138" s="84" t="s">
        <v>636</v>
      </c>
      <c r="D138" s="115" t="s">
        <v>644</v>
      </c>
      <c r="E138" s="85" t="s">
        <v>645</v>
      </c>
      <c r="F138" s="85">
        <v>46387</v>
      </c>
      <c r="G138" s="85" t="str">
        <f>TEXT(Table7[[#This Row],[EXPIRY DATE]],"MMM")</f>
        <v>Dec</v>
      </c>
      <c r="H138" s="85" t="str">
        <f>TEXT(Table7[[#This Row],[EXPIRY DATE]],"YYY")</f>
        <v>2026</v>
      </c>
      <c r="I138" s="84" t="s">
        <v>602</v>
      </c>
      <c r="J138" s="69"/>
    </row>
    <row r="139" spans="1:10" x14ac:dyDescent="0.3">
      <c r="A139" s="84">
        <v>138</v>
      </c>
      <c r="B139" s="84">
        <v>10120</v>
      </c>
      <c r="C139" s="84" t="s">
        <v>636</v>
      </c>
      <c r="D139" s="115" t="s">
        <v>695</v>
      </c>
      <c r="E139" s="85" t="s">
        <v>689</v>
      </c>
      <c r="F139" s="85">
        <v>46387</v>
      </c>
      <c r="G139" s="85" t="str">
        <f>TEXT(Table7[[#This Row],[EXPIRY DATE]],"MMM")</f>
        <v>Dec</v>
      </c>
      <c r="H139" s="85" t="str">
        <f>TEXT(Table7[[#This Row],[EXPIRY DATE]],"YYY")</f>
        <v>2026</v>
      </c>
      <c r="I139" s="84" t="s">
        <v>602</v>
      </c>
      <c r="J139" s="69"/>
    </row>
    <row r="140" spans="1:10" x14ac:dyDescent="0.3">
      <c r="A140" s="84">
        <v>139</v>
      </c>
      <c r="B140" s="84">
        <v>10119</v>
      </c>
      <c r="C140" s="84" t="s">
        <v>636</v>
      </c>
      <c r="D140" s="115" t="s">
        <v>696</v>
      </c>
      <c r="E140" s="85" t="s">
        <v>689</v>
      </c>
      <c r="F140" s="85">
        <v>46387</v>
      </c>
      <c r="G140" s="85" t="str">
        <f>TEXT(Table7[[#This Row],[EXPIRY DATE]],"MMM")</f>
        <v>Dec</v>
      </c>
      <c r="H140" s="85" t="str">
        <f>TEXT(Table7[[#This Row],[EXPIRY DATE]],"YYY")</f>
        <v>2026</v>
      </c>
      <c r="I140" s="84" t="s">
        <v>602</v>
      </c>
      <c r="J140" s="69"/>
    </row>
    <row r="141" spans="1:10" x14ac:dyDescent="0.3">
      <c r="A141" s="84">
        <v>140</v>
      </c>
      <c r="B141" s="84">
        <v>10118</v>
      </c>
      <c r="C141" s="84" t="s">
        <v>636</v>
      </c>
      <c r="D141" s="115" t="s">
        <v>697</v>
      </c>
      <c r="E141" s="85" t="s">
        <v>647</v>
      </c>
      <c r="F141" s="85">
        <v>46387</v>
      </c>
      <c r="G141" s="85" t="str">
        <f>TEXT(Table7[[#This Row],[EXPIRY DATE]],"MMM")</f>
        <v>Dec</v>
      </c>
      <c r="H141" s="85" t="str">
        <f>TEXT(Table7[[#This Row],[EXPIRY DATE]],"YYY")</f>
        <v>2026</v>
      </c>
      <c r="I141" s="84" t="s">
        <v>602</v>
      </c>
      <c r="J141" s="69"/>
    </row>
    <row r="142" spans="1:10" x14ac:dyDescent="0.3">
      <c r="A142" s="84">
        <v>141</v>
      </c>
      <c r="B142" s="84">
        <v>10115</v>
      </c>
      <c r="C142" s="84" t="s">
        <v>636</v>
      </c>
      <c r="D142" s="115" t="s">
        <v>646</v>
      </c>
      <c r="E142" s="85" t="s">
        <v>647</v>
      </c>
      <c r="F142" s="85">
        <v>46387</v>
      </c>
      <c r="G142" s="85" t="str">
        <f>TEXT(Table7[[#This Row],[EXPIRY DATE]],"MMM")</f>
        <v>Dec</v>
      </c>
      <c r="H142" s="85" t="str">
        <f>TEXT(Table7[[#This Row],[EXPIRY DATE]],"YYY")</f>
        <v>2026</v>
      </c>
      <c r="I142" s="84" t="s">
        <v>602</v>
      </c>
      <c r="J142" s="69"/>
    </row>
    <row r="143" spans="1:10" x14ac:dyDescent="0.3">
      <c r="A143" s="84">
        <v>142</v>
      </c>
      <c r="B143" s="84">
        <v>10112</v>
      </c>
      <c r="C143" s="84" t="s">
        <v>636</v>
      </c>
      <c r="D143" s="115" t="s">
        <v>648</v>
      </c>
      <c r="E143" s="85" t="s">
        <v>645</v>
      </c>
      <c r="F143" s="85">
        <v>46387</v>
      </c>
      <c r="G143" s="85" t="str">
        <f>TEXT(Table7[[#This Row],[EXPIRY DATE]],"MMM")</f>
        <v>Dec</v>
      </c>
      <c r="H143" s="85" t="str">
        <f>TEXT(Table7[[#This Row],[EXPIRY DATE]],"YYY")</f>
        <v>2026</v>
      </c>
      <c r="I143" s="84" t="s">
        <v>602</v>
      </c>
      <c r="J143" s="69"/>
    </row>
    <row r="144" spans="1:10" x14ac:dyDescent="0.3">
      <c r="A144" s="84">
        <v>143</v>
      </c>
      <c r="B144" s="90">
        <v>10107</v>
      </c>
      <c r="C144" s="84" t="s">
        <v>636</v>
      </c>
      <c r="D144" s="115" t="s">
        <v>748</v>
      </c>
      <c r="E144" s="85" t="s">
        <v>610</v>
      </c>
      <c r="F144" s="85">
        <v>46387</v>
      </c>
      <c r="G144" s="85" t="str">
        <f>TEXT(Table7[[#This Row],[EXPIRY DATE]],"MMM")</f>
        <v>Dec</v>
      </c>
      <c r="H144" s="85" t="str">
        <f>TEXT(Table7[[#This Row],[EXPIRY DATE]],"YYY")</f>
        <v>2026</v>
      </c>
      <c r="I144" s="84" t="s">
        <v>602</v>
      </c>
      <c r="J144" s="69"/>
    </row>
    <row r="145" spans="1:10" x14ac:dyDescent="0.3">
      <c r="A145" s="84">
        <v>144</v>
      </c>
      <c r="B145" s="90">
        <v>10107</v>
      </c>
      <c r="C145" s="84" t="s">
        <v>636</v>
      </c>
      <c r="D145" s="115" t="s">
        <v>748</v>
      </c>
      <c r="E145" s="85" t="s">
        <v>610</v>
      </c>
      <c r="F145" s="85">
        <v>46387</v>
      </c>
      <c r="G145" s="85" t="str">
        <f>TEXT(Table7[[#This Row],[EXPIRY DATE]],"MMM")</f>
        <v>Dec</v>
      </c>
      <c r="H145" s="85" t="str">
        <f>TEXT(Table7[[#This Row],[EXPIRY DATE]],"YYY")</f>
        <v>2026</v>
      </c>
      <c r="I145" s="84" t="s">
        <v>607</v>
      </c>
      <c r="J145" s="69"/>
    </row>
    <row r="146" spans="1:10" x14ac:dyDescent="0.3">
      <c r="A146" s="84">
        <v>145</v>
      </c>
      <c r="B146" s="84">
        <v>10106</v>
      </c>
      <c r="C146" s="84" t="s">
        <v>636</v>
      </c>
      <c r="D146" s="115" t="s">
        <v>749</v>
      </c>
      <c r="E146" s="85" t="s">
        <v>610</v>
      </c>
      <c r="F146" s="85">
        <v>46387</v>
      </c>
      <c r="G146" s="85" t="str">
        <f>TEXT(Table7[[#This Row],[EXPIRY DATE]],"MMM")</f>
        <v>Dec</v>
      </c>
      <c r="H146" s="85" t="str">
        <f>TEXT(Table7[[#This Row],[EXPIRY DATE]],"YYY")</f>
        <v>2026</v>
      </c>
      <c r="I146" s="84" t="s">
        <v>602</v>
      </c>
      <c r="J146" s="69"/>
    </row>
    <row r="147" spans="1:10" x14ac:dyDescent="0.3">
      <c r="A147" s="84">
        <v>146</v>
      </c>
      <c r="B147" s="84">
        <v>10106</v>
      </c>
      <c r="C147" s="84" t="s">
        <v>636</v>
      </c>
      <c r="D147" s="115" t="s">
        <v>749</v>
      </c>
      <c r="E147" s="85" t="s">
        <v>610</v>
      </c>
      <c r="F147" s="85">
        <v>46387</v>
      </c>
      <c r="G147" s="85" t="str">
        <f>TEXT(Table7[[#This Row],[EXPIRY DATE]],"MMM")</f>
        <v>Dec</v>
      </c>
      <c r="H147" s="85" t="str">
        <f>TEXT(Table7[[#This Row],[EXPIRY DATE]],"YYY")</f>
        <v>2026</v>
      </c>
      <c r="I147" s="84" t="s">
        <v>607</v>
      </c>
      <c r="J147" s="69"/>
    </row>
    <row r="148" spans="1:10" x14ac:dyDescent="0.3">
      <c r="A148" s="84">
        <v>147</v>
      </c>
      <c r="B148" s="90">
        <v>10100</v>
      </c>
      <c r="C148" s="84" t="s">
        <v>636</v>
      </c>
      <c r="D148" s="115" t="s">
        <v>750</v>
      </c>
      <c r="E148" s="85" t="s">
        <v>610</v>
      </c>
      <c r="F148" s="85">
        <v>46387</v>
      </c>
      <c r="G148" s="85" t="str">
        <f>TEXT(Table7[[#This Row],[EXPIRY DATE]],"MMM")</f>
        <v>Dec</v>
      </c>
      <c r="H148" s="85" t="str">
        <f>TEXT(Table7[[#This Row],[EXPIRY DATE]],"YYY")</f>
        <v>2026</v>
      </c>
      <c r="I148" s="84" t="s">
        <v>602</v>
      </c>
      <c r="J148" s="69"/>
    </row>
    <row r="149" spans="1:10" x14ac:dyDescent="0.3">
      <c r="A149" s="84">
        <v>148</v>
      </c>
      <c r="B149" s="90">
        <v>10100</v>
      </c>
      <c r="C149" s="84" t="s">
        <v>636</v>
      </c>
      <c r="D149" s="115" t="s">
        <v>750</v>
      </c>
      <c r="E149" s="85" t="s">
        <v>610</v>
      </c>
      <c r="F149" s="85">
        <v>46387</v>
      </c>
      <c r="G149" s="85" t="str">
        <f>TEXT(Table7[[#This Row],[EXPIRY DATE]],"MMM")</f>
        <v>Dec</v>
      </c>
      <c r="H149" s="85" t="str">
        <f>TEXT(Table7[[#This Row],[EXPIRY DATE]],"YYY")</f>
        <v>2026</v>
      </c>
      <c r="I149" s="84" t="s">
        <v>607</v>
      </c>
      <c r="J149" s="69"/>
    </row>
    <row r="150" spans="1:10" x14ac:dyDescent="0.3">
      <c r="A150" s="84">
        <v>149</v>
      </c>
      <c r="B150" s="90">
        <v>10096</v>
      </c>
      <c r="C150" s="84" t="s">
        <v>636</v>
      </c>
      <c r="D150" s="115" t="s">
        <v>751</v>
      </c>
      <c r="E150" s="85" t="s">
        <v>610</v>
      </c>
      <c r="F150" s="85">
        <v>46387</v>
      </c>
      <c r="G150" s="85" t="str">
        <f>TEXT(Table7[[#This Row],[EXPIRY DATE]],"MMM")</f>
        <v>Dec</v>
      </c>
      <c r="H150" s="85" t="str">
        <f>TEXT(Table7[[#This Row],[EXPIRY DATE]],"YYY")</f>
        <v>2026</v>
      </c>
      <c r="I150" s="84" t="s">
        <v>602</v>
      </c>
      <c r="J150" s="69"/>
    </row>
    <row r="151" spans="1:10" x14ac:dyDescent="0.3">
      <c r="A151" s="84">
        <v>150</v>
      </c>
      <c r="B151" s="90">
        <v>10096</v>
      </c>
      <c r="C151" s="84" t="s">
        <v>636</v>
      </c>
      <c r="D151" s="115" t="s">
        <v>751</v>
      </c>
      <c r="E151" s="85" t="s">
        <v>610</v>
      </c>
      <c r="F151" s="85">
        <v>46387</v>
      </c>
      <c r="G151" s="85" t="str">
        <f>TEXT(Table7[[#This Row],[EXPIRY DATE]],"MMM")</f>
        <v>Dec</v>
      </c>
      <c r="H151" s="85" t="str">
        <f>TEXT(Table7[[#This Row],[EXPIRY DATE]],"YYY")</f>
        <v>2026</v>
      </c>
      <c r="I151" s="84" t="s">
        <v>607</v>
      </c>
      <c r="J151" s="69"/>
    </row>
    <row r="152" spans="1:10" x14ac:dyDescent="0.3">
      <c r="A152" s="84">
        <v>151</v>
      </c>
      <c r="B152" s="84">
        <v>10094</v>
      </c>
      <c r="C152" s="84" t="s">
        <v>636</v>
      </c>
      <c r="D152" s="115" t="s">
        <v>752</v>
      </c>
      <c r="E152" s="85" t="s">
        <v>610</v>
      </c>
      <c r="F152" s="85">
        <v>46387</v>
      </c>
      <c r="G152" s="85" t="str">
        <f>TEXT(Table7[[#This Row],[EXPIRY DATE]],"MMM")</f>
        <v>Dec</v>
      </c>
      <c r="H152" s="85" t="str">
        <f>TEXT(Table7[[#This Row],[EXPIRY DATE]],"YYY")</f>
        <v>2026</v>
      </c>
      <c r="I152" s="84" t="s">
        <v>602</v>
      </c>
      <c r="J152" s="69"/>
    </row>
    <row r="153" spans="1:10" x14ac:dyDescent="0.3">
      <c r="A153" s="84">
        <v>152</v>
      </c>
      <c r="B153" s="84">
        <v>10094</v>
      </c>
      <c r="C153" s="84" t="s">
        <v>636</v>
      </c>
      <c r="D153" s="115" t="s">
        <v>752</v>
      </c>
      <c r="E153" s="85" t="s">
        <v>610</v>
      </c>
      <c r="F153" s="85">
        <v>46387</v>
      </c>
      <c r="G153" s="85" t="str">
        <f>TEXT(Table7[[#This Row],[EXPIRY DATE]],"MMM")</f>
        <v>Dec</v>
      </c>
      <c r="H153" s="85" t="str">
        <f>TEXT(Table7[[#This Row],[EXPIRY DATE]],"YYY")</f>
        <v>2026</v>
      </c>
      <c r="I153" s="84" t="s">
        <v>607</v>
      </c>
      <c r="J153" s="69"/>
    </row>
    <row r="154" spans="1:10" x14ac:dyDescent="0.3">
      <c r="A154" s="84">
        <v>153</v>
      </c>
      <c r="B154" s="90">
        <v>10093</v>
      </c>
      <c r="C154" s="84" t="s">
        <v>636</v>
      </c>
      <c r="D154" s="115" t="s">
        <v>753</v>
      </c>
      <c r="E154" s="85" t="s">
        <v>610</v>
      </c>
      <c r="F154" s="85">
        <v>46387</v>
      </c>
      <c r="G154" s="85" t="str">
        <f>TEXT(Table7[[#This Row],[EXPIRY DATE]],"MMM")</f>
        <v>Dec</v>
      </c>
      <c r="H154" s="85" t="str">
        <f>TEXT(Table7[[#This Row],[EXPIRY DATE]],"YYY")</f>
        <v>2026</v>
      </c>
      <c r="I154" s="84" t="s">
        <v>602</v>
      </c>
      <c r="J154" s="69"/>
    </row>
    <row r="155" spans="1:10" x14ac:dyDescent="0.3">
      <c r="A155" s="84">
        <v>154</v>
      </c>
      <c r="B155" s="90">
        <v>10093</v>
      </c>
      <c r="C155" s="84" t="s">
        <v>636</v>
      </c>
      <c r="D155" s="115" t="s">
        <v>753</v>
      </c>
      <c r="E155" s="85" t="s">
        <v>610</v>
      </c>
      <c r="F155" s="85">
        <v>46387</v>
      </c>
      <c r="G155" s="85" t="str">
        <f>TEXT(Table7[[#This Row],[EXPIRY DATE]],"MMM")</f>
        <v>Dec</v>
      </c>
      <c r="H155" s="85" t="str">
        <f>TEXT(Table7[[#This Row],[EXPIRY DATE]],"YYY")</f>
        <v>2026</v>
      </c>
      <c r="I155" s="84" t="s">
        <v>607</v>
      </c>
      <c r="J155" s="69"/>
    </row>
    <row r="156" spans="1:10" x14ac:dyDescent="0.3">
      <c r="A156" s="84">
        <v>155</v>
      </c>
      <c r="B156" s="90">
        <v>10092</v>
      </c>
      <c r="C156" s="84" t="s">
        <v>636</v>
      </c>
      <c r="D156" s="115" t="s">
        <v>754</v>
      </c>
      <c r="E156" s="85" t="s">
        <v>610</v>
      </c>
      <c r="F156" s="85">
        <v>46387</v>
      </c>
      <c r="G156" s="85" t="str">
        <f>TEXT(Table7[[#This Row],[EXPIRY DATE]],"MMM")</f>
        <v>Dec</v>
      </c>
      <c r="H156" s="85" t="str">
        <f>TEXT(Table7[[#This Row],[EXPIRY DATE]],"YYY")</f>
        <v>2026</v>
      </c>
      <c r="I156" s="84" t="s">
        <v>602</v>
      </c>
      <c r="J156" s="69"/>
    </row>
    <row r="157" spans="1:10" x14ac:dyDescent="0.3">
      <c r="A157" s="84">
        <v>156</v>
      </c>
      <c r="B157" s="90">
        <v>10092</v>
      </c>
      <c r="C157" s="84" t="s">
        <v>636</v>
      </c>
      <c r="D157" s="115" t="s">
        <v>754</v>
      </c>
      <c r="E157" s="85" t="s">
        <v>610</v>
      </c>
      <c r="F157" s="85">
        <v>46387</v>
      </c>
      <c r="G157" s="85" t="str">
        <f>TEXT(Table7[[#This Row],[EXPIRY DATE]],"MMM")</f>
        <v>Dec</v>
      </c>
      <c r="H157" s="85" t="str">
        <f>TEXT(Table7[[#This Row],[EXPIRY DATE]],"YYY")</f>
        <v>2026</v>
      </c>
      <c r="I157" s="84" t="s">
        <v>607</v>
      </c>
      <c r="J157" s="69"/>
    </row>
    <row r="158" spans="1:10" x14ac:dyDescent="0.3">
      <c r="A158" s="84">
        <v>157</v>
      </c>
      <c r="B158" s="90">
        <v>10087</v>
      </c>
      <c r="C158" s="84" t="s">
        <v>636</v>
      </c>
      <c r="D158" s="115" t="s">
        <v>755</v>
      </c>
      <c r="E158" s="85" t="s">
        <v>610</v>
      </c>
      <c r="F158" s="85">
        <v>46387</v>
      </c>
      <c r="G158" s="85" t="str">
        <f>TEXT(Table7[[#This Row],[EXPIRY DATE]],"MMM")</f>
        <v>Dec</v>
      </c>
      <c r="H158" s="85" t="str">
        <f>TEXT(Table7[[#This Row],[EXPIRY DATE]],"YYY")</f>
        <v>2026</v>
      </c>
      <c r="I158" s="84" t="s">
        <v>602</v>
      </c>
      <c r="J158" s="69"/>
    </row>
    <row r="159" spans="1:10" x14ac:dyDescent="0.3">
      <c r="A159" s="84">
        <v>158</v>
      </c>
      <c r="B159" s="90">
        <v>10087</v>
      </c>
      <c r="C159" s="84" t="s">
        <v>636</v>
      </c>
      <c r="D159" s="115" t="s">
        <v>755</v>
      </c>
      <c r="E159" s="85" t="s">
        <v>610</v>
      </c>
      <c r="F159" s="85">
        <v>46387</v>
      </c>
      <c r="G159" s="85" t="str">
        <f>TEXT(Table7[[#This Row],[EXPIRY DATE]],"MMM")</f>
        <v>Dec</v>
      </c>
      <c r="H159" s="85" t="str">
        <f>TEXT(Table7[[#This Row],[EXPIRY DATE]],"YYY")</f>
        <v>2026</v>
      </c>
      <c r="I159" s="84" t="s">
        <v>607</v>
      </c>
      <c r="J159" s="69"/>
    </row>
    <row r="160" spans="1:10" x14ac:dyDescent="0.3">
      <c r="A160" s="84">
        <v>159</v>
      </c>
      <c r="B160" s="84">
        <v>10085</v>
      </c>
      <c r="C160" s="84" t="s">
        <v>636</v>
      </c>
      <c r="D160" s="115" t="s">
        <v>705</v>
      </c>
      <c r="E160" s="85" t="s">
        <v>610</v>
      </c>
      <c r="F160" s="85">
        <v>46387</v>
      </c>
      <c r="G160" s="85" t="str">
        <f>TEXT(Table7[[#This Row],[EXPIRY DATE]],"MMM")</f>
        <v>Dec</v>
      </c>
      <c r="H160" s="85" t="str">
        <f>TEXT(Table7[[#This Row],[EXPIRY DATE]],"YYY")</f>
        <v>2026</v>
      </c>
      <c r="I160" s="84" t="s">
        <v>602</v>
      </c>
      <c r="J160" s="69"/>
    </row>
    <row r="161" spans="1:10" x14ac:dyDescent="0.3">
      <c r="A161" s="84">
        <v>160</v>
      </c>
      <c r="B161" s="84">
        <v>10083</v>
      </c>
      <c r="C161" s="84" t="s">
        <v>636</v>
      </c>
      <c r="D161" s="115" t="s">
        <v>756</v>
      </c>
      <c r="E161" s="85" t="s">
        <v>610</v>
      </c>
      <c r="F161" s="85">
        <v>46387</v>
      </c>
      <c r="G161" s="85" t="str">
        <f>TEXT(Table7[[#This Row],[EXPIRY DATE]],"MMM")</f>
        <v>Dec</v>
      </c>
      <c r="H161" s="85" t="str">
        <f>TEXT(Table7[[#This Row],[EXPIRY DATE]],"YYY")</f>
        <v>2026</v>
      </c>
      <c r="I161" s="84" t="s">
        <v>602</v>
      </c>
      <c r="J161" s="69"/>
    </row>
    <row r="162" spans="1:10" x14ac:dyDescent="0.3">
      <c r="A162" s="84">
        <v>161</v>
      </c>
      <c r="B162" s="84">
        <v>10083</v>
      </c>
      <c r="C162" s="84" t="s">
        <v>636</v>
      </c>
      <c r="D162" s="115" t="s">
        <v>756</v>
      </c>
      <c r="E162" s="85" t="s">
        <v>610</v>
      </c>
      <c r="F162" s="85">
        <v>46387</v>
      </c>
      <c r="G162" s="85" t="str">
        <f>TEXT(Table7[[#This Row],[EXPIRY DATE]],"MMM")</f>
        <v>Dec</v>
      </c>
      <c r="H162" s="85" t="str">
        <f>TEXT(Table7[[#This Row],[EXPIRY DATE]],"YYY")</f>
        <v>2026</v>
      </c>
      <c r="I162" s="84" t="s">
        <v>607</v>
      </c>
      <c r="J162" s="69"/>
    </row>
    <row r="163" spans="1:10" x14ac:dyDescent="0.3">
      <c r="A163" s="84">
        <v>162</v>
      </c>
      <c r="B163" s="84">
        <v>10074</v>
      </c>
      <c r="C163" s="84" t="s">
        <v>636</v>
      </c>
      <c r="D163" s="118" t="s">
        <v>673</v>
      </c>
      <c r="E163" s="85" t="s">
        <v>610</v>
      </c>
      <c r="F163" s="85">
        <v>46387</v>
      </c>
      <c r="G163" s="85" t="str">
        <f>TEXT(Table7[[#This Row],[EXPIRY DATE]],"MMM")</f>
        <v>Dec</v>
      </c>
      <c r="H163" s="85" t="str">
        <f>TEXT(Table7[[#This Row],[EXPIRY DATE]],"YYY")</f>
        <v>2026</v>
      </c>
      <c r="I163" s="84" t="s">
        <v>602</v>
      </c>
      <c r="J163" s="69"/>
    </row>
    <row r="164" spans="1:10" x14ac:dyDescent="0.3">
      <c r="A164" s="84">
        <v>163</v>
      </c>
      <c r="B164" s="84">
        <v>10071</v>
      </c>
      <c r="C164" s="84" t="s">
        <v>636</v>
      </c>
      <c r="D164" s="118" t="s">
        <v>757</v>
      </c>
      <c r="E164" s="85" t="s">
        <v>610</v>
      </c>
      <c r="F164" s="85">
        <v>46387</v>
      </c>
      <c r="G164" s="85" t="str">
        <f>TEXT(Table7[[#This Row],[EXPIRY DATE]],"MMM")</f>
        <v>Dec</v>
      </c>
      <c r="H164" s="85" t="str">
        <f>TEXT(Table7[[#This Row],[EXPIRY DATE]],"YYY")</f>
        <v>2026</v>
      </c>
      <c r="I164" s="84" t="s">
        <v>602</v>
      </c>
      <c r="J164" s="69"/>
    </row>
    <row r="165" spans="1:10" x14ac:dyDescent="0.3">
      <c r="A165" s="84">
        <v>164</v>
      </c>
      <c r="B165" s="84">
        <v>10071</v>
      </c>
      <c r="C165" s="84" t="s">
        <v>636</v>
      </c>
      <c r="D165" s="118" t="s">
        <v>757</v>
      </c>
      <c r="E165" s="85" t="s">
        <v>610</v>
      </c>
      <c r="F165" s="85">
        <v>46387</v>
      </c>
      <c r="G165" s="85" t="str">
        <f>TEXT(Table7[[#This Row],[EXPIRY DATE]],"MMM")</f>
        <v>Dec</v>
      </c>
      <c r="H165" s="85" t="str">
        <f>TEXT(Table7[[#This Row],[EXPIRY DATE]],"YYY")</f>
        <v>2026</v>
      </c>
      <c r="I165" s="84" t="s">
        <v>607</v>
      </c>
      <c r="J165" s="69"/>
    </row>
    <row r="166" spans="1:10" x14ac:dyDescent="0.3">
      <c r="A166" s="84">
        <v>165</v>
      </c>
      <c r="B166" s="84">
        <v>10068</v>
      </c>
      <c r="C166" s="84" t="s">
        <v>636</v>
      </c>
      <c r="D166" s="115" t="s">
        <v>708</v>
      </c>
      <c r="E166" s="85" t="s">
        <v>758</v>
      </c>
      <c r="F166" s="85">
        <v>46387</v>
      </c>
      <c r="G166" s="85" t="str">
        <f>TEXT(Table7[[#This Row],[EXPIRY DATE]],"MMM")</f>
        <v>Dec</v>
      </c>
      <c r="H166" s="85" t="str">
        <f>TEXT(Table7[[#This Row],[EXPIRY DATE]],"YYY")</f>
        <v>2026</v>
      </c>
      <c r="I166" s="84" t="s">
        <v>602</v>
      </c>
      <c r="J166" s="69"/>
    </row>
    <row r="167" spans="1:10" x14ac:dyDescent="0.3">
      <c r="A167" s="84">
        <v>166</v>
      </c>
      <c r="B167" s="84">
        <v>10066</v>
      </c>
      <c r="C167" s="84" t="s">
        <v>636</v>
      </c>
      <c r="D167" s="118" t="s">
        <v>759</v>
      </c>
      <c r="E167" s="85" t="s">
        <v>610</v>
      </c>
      <c r="F167" s="85">
        <v>46387</v>
      </c>
      <c r="G167" s="85" t="str">
        <f>TEXT(Table7[[#This Row],[EXPIRY DATE]],"MMM")</f>
        <v>Dec</v>
      </c>
      <c r="H167" s="85" t="str">
        <f>TEXT(Table7[[#This Row],[EXPIRY DATE]],"YYY")</f>
        <v>2026</v>
      </c>
      <c r="I167" s="84" t="s">
        <v>602</v>
      </c>
      <c r="J167" s="69"/>
    </row>
    <row r="168" spans="1:10" x14ac:dyDescent="0.3">
      <c r="A168" s="84">
        <v>167</v>
      </c>
      <c r="B168" s="84">
        <v>10066</v>
      </c>
      <c r="C168" s="84" t="s">
        <v>636</v>
      </c>
      <c r="D168" s="118" t="s">
        <v>759</v>
      </c>
      <c r="E168" s="85" t="s">
        <v>610</v>
      </c>
      <c r="F168" s="85">
        <v>46387</v>
      </c>
      <c r="G168" s="85" t="str">
        <f>TEXT(Table7[[#This Row],[EXPIRY DATE]],"MMM")</f>
        <v>Dec</v>
      </c>
      <c r="H168" s="85" t="str">
        <f>TEXT(Table7[[#This Row],[EXPIRY DATE]],"YYY")</f>
        <v>2026</v>
      </c>
      <c r="I168" s="84" t="s">
        <v>607</v>
      </c>
      <c r="J168" s="69"/>
    </row>
    <row r="169" spans="1:10" x14ac:dyDescent="0.3">
      <c r="A169" s="84">
        <v>168</v>
      </c>
      <c r="B169" s="84">
        <v>10061</v>
      </c>
      <c r="C169" s="84" t="s">
        <v>636</v>
      </c>
      <c r="D169" s="115" t="s">
        <v>675</v>
      </c>
      <c r="E169" s="85" t="s">
        <v>610</v>
      </c>
      <c r="F169" s="85">
        <v>46387</v>
      </c>
      <c r="G169" s="85" t="str">
        <f>TEXT(Table7[[#This Row],[EXPIRY DATE]],"MMM")</f>
        <v>Dec</v>
      </c>
      <c r="H169" s="85" t="str">
        <f>TEXT(Table7[[#This Row],[EXPIRY DATE]],"YYY")</f>
        <v>2026</v>
      </c>
      <c r="I169" s="84" t="s">
        <v>607</v>
      </c>
      <c r="J169" s="69"/>
    </row>
    <row r="170" spans="1:10" x14ac:dyDescent="0.3">
      <c r="A170" s="84">
        <v>169</v>
      </c>
      <c r="B170" s="89">
        <v>10045</v>
      </c>
      <c r="C170" s="84" t="s">
        <v>636</v>
      </c>
      <c r="D170" s="115" t="s">
        <v>676</v>
      </c>
      <c r="E170" s="85" t="s">
        <v>610</v>
      </c>
      <c r="F170" s="85">
        <v>46387</v>
      </c>
      <c r="G170" s="85" t="str">
        <f>TEXT(Table7[[#This Row],[EXPIRY DATE]],"MMM")</f>
        <v>Dec</v>
      </c>
      <c r="H170" s="85" t="str">
        <f>TEXT(Table7[[#This Row],[EXPIRY DATE]],"YYY")</f>
        <v>2026</v>
      </c>
      <c r="I170" s="84" t="s">
        <v>602</v>
      </c>
      <c r="J170" s="69"/>
    </row>
    <row r="171" spans="1:10" x14ac:dyDescent="0.3">
      <c r="A171" s="84">
        <v>170</v>
      </c>
      <c r="B171" s="84">
        <v>10030</v>
      </c>
      <c r="C171" s="84" t="s">
        <v>636</v>
      </c>
      <c r="D171" s="115" t="s">
        <v>760</v>
      </c>
      <c r="E171" s="85" t="s">
        <v>610</v>
      </c>
      <c r="F171" s="85">
        <v>46387</v>
      </c>
      <c r="G171" s="85" t="str">
        <f>TEXT(Table7[[#This Row],[EXPIRY DATE]],"MMM")</f>
        <v>Dec</v>
      </c>
      <c r="H171" s="85" t="str">
        <f>TEXT(Table7[[#This Row],[EXPIRY DATE]],"YYY")</f>
        <v>2026</v>
      </c>
      <c r="I171" s="84" t="s">
        <v>602</v>
      </c>
      <c r="J171" s="69"/>
    </row>
    <row r="172" spans="1:10" x14ac:dyDescent="0.3">
      <c r="A172" s="84">
        <v>171</v>
      </c>
      <c r="B172" s="84">
        <v>10030</v>
      </c>
      <c r="C172" s="84" t="s">
        <v>636</v>
      </c>
      <c r="D172" s="115" t="s">
        <v>760</v>
      </c>
      <c r="E172" s="85" t="s">
        <v>610</v>
      </c>
      <c r="F172" s="85">
        <v>46387</v>
      </c>
      <c r="G172" s="85" t="str">
        <f>TEXT(Table7[[#This Row],[EXPIRY DATE]],"MMM")</f>
        <v>Dec</v>
      </c>
      <c r="H172" s="85" t="str">
        <f>TEXT(Table7[[#This Row],[EXPIRY DATE]],"YYY")</f>
        <v>2026</v>
      </c>
      <c r="I172" s="84" t="s">
        <v>607</v>
      </c>
      <c r="J172" s="69"/>
    </row>
    <row r="173" spans="1:10" x14ac:dyDescent="0.3">
      <c r="A173" s="84">
        <v>172</v>
      </c>
      <c r="B173" s="89">
        <v>10011</v>
      </c>
      <c r="C173" s="84" t="s">
        <v>636</v>
      </c>
      <c r="D173" s="115" t="s">
        <v>761</v>
      </c>
      <c r="E173" s="85" t="s">
        <v>610</v>
      </c>
      <c r="F173" s="85">
        <v>46387</v>
      </c>
      <c r="G173" s="85" t="str">
        <f>TEXT(Table7[[#This Row],[EXPIRY DATE]],"MMM")</f>
        <v>Dec</v>
      </c>
      <c r="H173" s="85" t="str">
        <f>TEXT(Table7[[#This Row],[EXPIRY DATE]],"YYY")</f>
        <v>2026</v>
      </c>
      <c r="I173" s="84" t="s">
        <v>602</v>
      </c>
      <c r="J173" s="69"/>
    </row>
    <row r="174" spans="1:10" x14ac:dyDescent="0.3">
      <c r="A174" s="84">
        <v>173</v>
      </c>
      <c r="B174" s="89">
        <v>10011</v>
      </c>
      <c r="C174" s="84" t="s">
        <v>636</v>
      </c>
      <c r="D174" s="115" t="s">
        <v>761</v>
      </c>
      <c r="E174" s="85" t="s">
        <v>610</v>
      </c>
      <c r="F174" s="85">
        <v>46387</v>
      </c>
      <c r="G174" s="85" t="str">
        <f>TEXT(Table7[[#This Row],[EXPIRY DATE]],"MMM")</f>
        <v>Dec</v>
      </c>
      <c r="H174" s="85" t="str">
        <f>TEXT(Table7[[#This Row],[EXPIRY DATE]],"YYY")</f>
        <v>2026</v>
      </c>
      <c r="I174" s="84" t="s">
        <v>607</v>
      </c>
      <c r="J174" s="69"/>
    </row>
    <row r="175" spans="1:10" x14ac:dyDescent="0.3">
      <c r="A175" s="84">
        <v>174</v>
      </c>
      <c r="B175" s="89">
        <v>10007</v>
      </c>
      <c r="C175" s="84" t="s">
        <v>636</v>
      </c>
      <c r="D175" s="115" t="s">
        <v>713</v>
      </c>
      <c r="E175" s="85" t="s">
        <v>624</v>
      </c>
      <c r="F175" s="85">
        <v>46387</v>
      </c>
      <c r="G175" s="85" t="str">
        <f>TEXT(Table7[[#This Row],[EXPIRY DATE]],"MMM")</f>
        <v>Dec</v>
      </c>
      <c r="H175" s="85" t="str">
        <f>TEXT(Table7[[#This Row],[EXPIRY DATE]],"YYY")</f>
        <v>2026</v>
      </c>
      <c r="I175" s="84" t="s">
        <v>602</v>
      </c>
      <c r="J175" s="69"/>
    </row>
    <row r="176" spans="1:10" x14ac:dyDescent="0.3">
      <c r="A176" s="84">
        <v>175</v>
      </c>
      <c r="B176" s="84">
        <v>10126</v>
      </c>
      <c r="C176" s="84" t="s">
        <v>636</v>
      </c>
      <c r="D176" s="115" t="s">
        <v>762</v>
      </c>
      <c r="E176" s="85" t="s">
        <v>702</v>
      </c>
      <c r="F176" s="85">
        <v>46477</v>
      </c>
      <c r="G176" s="85" t="str">
        <f>TEXT(Table7[[#This Row],[EXPIRY DATE]],"MMM")</f>
        <v>Mar</v>
      </c>
      <c r="H176" s="85" t="str">
        <f>TEXT(Table7[[#This Row],[EXPIRY DATE]],"YYY")</f>
        <v>2027</v>
      </c>
      <c r="I176" s="84" t="s">
        <v>602</v>
      </c>
      <c r="J176" s="69"/>
    </row>
    <row r="177" spans="1:10" x14ac:dyDescent="0.3">
      <c r="A177" s="84">
        <v>176</v>
      </c>
      <c r="B177" s="84" t="s">
        <v>763</v>
      </c>
      <c r="C177" s="84" t="s">
        <v>636</v>
      </c>
      <c r="D177" s="115" t="s">
        <v>688</v>
      </c>
      <c r="E177" s="85" t="s">
        <v>742</v>
      </c>
      <c r="F177" s="85">
        <v>46752</v>
      </c>
      <c r="G177" s="85" t="str">
        <f>TEXT(Table7[[#This Row],[EXPIRY DATE]],"MMM")</f>
        <v>Dec</v>
      </c>
      <c r="H177" s="85" t="str">
        <f>TEXT(Table7[[#This Row],[EXPIRY DATE]],"YYY")</f>
        <v>2027</v>
      </c>
      <c r="I177" s="84" t="s">
        <v>602</v>
      </c>
      <c r="J177" s="69"/>
    </row>
    <row r="178" spans="1:10" x14ac:dyDescent="0.3">
      <c r="A178" s="84">
        <v>177</v>
      </c>
      <c r="B178" s="84">
        <v>10108</v>
      </c>
      <c r="C178" s="84" t="s">
        <v>636</v>
      </c>
      <c r="D178" s="115" t="s">
        <v>698</v>
      </c>
      <c r="E178" s="85" t="s">
        <v>598</v>
      </c>
      <c r="F178" s="85">
        <v>47848</v>
      </c>
      <c r="G178" s="85" t="str">
        <f>TEXT(Table7[[#This Row],[EXPIRY DATE]],"MMM")</f>
        <v>Dec</v>
      </c>
      <c r="H178" s="85" t="str">
        <f>TEXT(Table7[[#This Row],[EXPIRY DATE]],"YYY")</f>
        <v>2030</v>
      </c>
      <c r="I178" s="84" t="s">
        <v>602</v>
      </c>
      <c r="J178" s="69"/>
    </row>
    <row r="179" spans="1:10" x14ac:dyDescent="0.3">
      <c r="A179" s="84">
        <v>178</v>
      </c>
      <c r="B179" s="90">
        <v>10091</v>
      </c>
      <c r="C179" s="84" t="s">
        <v>636</v>
      </c>
      <c r="D179" s="115" t="s">
        <v>704</v>
      </c>
      <c r="E179" s="85" t="s">
        <v>598</v>
      </c>
      <c r="F179" s="85">
        <v>47848</v>
      </c>
      <c r="G179" s="85" t="str">
        <f>TEXT(Table7[[#This Row],[EXPIRY DATE]],"MMM")</f>
        <v>Dec</v>
      </c>
      <c r="H179" s="85" t="str">
        <f>TEXT(Table7[[#This Row],[EXPIRY DATE]],"YYY")</f>
        <v>2030</v>
      </c>
      <c r="I179" s="84" t="s">
        <v>602</v>
      </c>
      <c r="J179" s="69"/>
    </row>
    <row r="180" spans="1:10" x14ac:dyDescent="0.3">
      <c r="A180" s="84">
        <v>179</v>
      </c>
      <c r="B180" s="84">
        <v>10078</v>
      </c>
      <c r="C180" s="84" t="s">
        <v>636</v>
      </c>
      <c r="D180" s="118" t="s">
        <v>706</v>
      </c>
      <c r="E180" s="85" t="s">
        <v>598</v>
      </c>
      <c r="F180" s="85">
        <v>47848</v>
      </c>
      <c r="G180" s="85" t="str">
        <f>TEXT(Table7[[#This Row],[EXPIRY DATE]],"MMM")</f>
        <v>Dec</v>
      </c>
      <c r="H180" s="85" t="str">
        <f>TEXT(Table7[[#This Row],[EXPIRY DATE]],"YYY")</f>
        <v>2030</v>
      </c>
      <c r="I180" s="84" t="s">
        <v>602</v>
      </c>
      <c r="J180" s="69"/>
    </row>
    <row r="181" spans="1:10" x14ac:dyDescent="0.3">
      <c r="A181" s="84">
        <v>180</v>
      </c>
      <c r="B181" s="84">
        <v>10070</v>
      </c>
      <c r="C181" s="84" t="s">
        <v>636</v>
      </c>
      <c r="D181" s="115" t="s">
        <v>707</v>
      </c>
      <c r="E181" s="85" t="s">
        <v>598</v>
      </c>
      <c r="F181" s="85">
        <v>47848</v>
      </c>
      <c r="G181" s="85" t="str">
        <f>TEXT(Table7[[#This Row],[EXPIRY DATE]],"MMM")</f>
        <v>Dec</v>
      </c>
      <c r="H181" s="85" t="str">
        <f>TEXT(Table7[[#This Row],[EXPIRY DATE]],"YYY")</f>
        <v>2030</v>
      </c>
      <c r="I181" s="84" t="s">
        <v>602</v>
      </c>
      <c r="J181" s="69"/>
    </row>
    <row r="182" spans="1:10" x14ac:dyDescent="0.3">
      <c r="A182" s="84">
        <v>181</v>
      </c>
      <c r="B182" s="90">
        <v>10064</v>
      </c>
      <c r="C182" s="84" t="s">
        <v>636</v>
      </c>
      <c r="D182" s="115" t="s">
        <v>709</v>
      </c>
      <c r="E182" s="85" t="s">
        <v>598</v>
      </c>
      <c r="F182" s="85">
        <v>47848</v>
      </c>
      <c r="G182" s="85" t="str">
        <f>TEXT(Table7[[#This Row],[EXPIRY DATE]],"MMM")</f>
        <v>Dec</v>
      </c>
      <c r="H182" s="85" t="str">
        <f>TEXT(Table7[[#This Row],[EXPIRY DATE]],"YYY")</f>
        <v>2030</v>
      </c>
      <c r="I182" s="84" t="s">
        <v>602</v>
      </c>
      <c r="J182" s="69"/>
    </row>
    <row r="183" spans="1:10" x14ac:dyDescent="0.3">
      <c r="A183" s="84">
        <v>182</v>
      </c>
      <c r="B183" s="89">
        <v>10020</v>
      </c>
      <c r="C183" s="84" t="s">
        <v>636</v>
      </c>
      <c r="D183" s="115" t="s">
        <v>712</v>
      </c>
      <c r="E183" s="85" t="s">
        <v>598</v>
      </c>
      <c r="F183" s="85">
        <v>47848</v>
      </c>
      <c r="G183" s="85" t="str">
        <f>TEXT(Table7[[#This Row],[EXPIRY DATE]],"MMM")</f>
        <v>Dec</v>
      </c>
      <c r="H183" s="85" t="str">
        <f>TEXT(Table7[[#This Row],[EXPIRY DATE]],"YYY")</f>
        <v>2030</v>
      </c>
      <c r="I183" s="84" t="s">
        <v>602</v>
      </c>
      <c r="J183" s="69"/>
    </row>
    <row r="184" spans="1:10" x14ac:dyDescent="0.3">
      <c r="A184" s="84">
        <v>183</v>
      </c>
      <c r="B184" s="84" t="s">
        <v>764</v>
      </c>
      <c r="C184" s="92" t="s">
        <v>636</v>
      </c>
      <c r="D184" s="119" t="s">
        <v>765</v>
      </c>
      <c r="E184" s="93" t="s">
        <v>598</v>
      </c>
      <c r="F184" s="93" t="s">
        <v>766</v>
      </c>
      <c r="G184" s="93" t="str">
        <f>TEXT(Table7[[#This Row],[EXPIRY DATE]],"MMM")</f>
        <v>CLOSED</v>
      </c>
      <c r="H184" s="93" t="str">
        <f>TEXT(Table7[[#This Row],[EXPIRY DATE]],"YYY")</f>
        <v>CLOSED</v>
      </c>
      <c r="I184" s="92" t="s">
        <v>607</v>
      </c>
      <c r="J184" s="75"/>
    </row>
    <row r="185" spans="1:10" x14ac:dyDescent="0.3">
      <c r="A185" s="84">
        <v>184</v>
      </c>
      <c r="B185" s="84" t="s">
        <v>767</v>
      </c>
      <c r="C185" s="84" t="s">
        <v>636</v>
      </c>
      <c r="D185" s="115" t="s">
        <v>768</v>
      </c>
      <c r="E185" s="85" t="s">
        <v>769</v>
      </c>
      <c r="F185" s="85" t="s">
        <v>629</v>
      </c>
      <c r="G185" s="85" t="str">
        <f>TEXT(Table7[[#This Row],[EXPIRY DATE]],"MMM")</f>
        <v>LIFETIME</v>
      </c>
      <c r="H185" s="85" t="str">
        <f>TEXT(Table7[[#This Row],[EXPIRY DATE]],"YYY")</f>
        <v>LIFETIME</v>
      </c>
      <c r="I185" s="84" t="s">
        <v>602</v>
      </c>
      <c r="J185" s="69"/>
    </row>
    <row r="186" spans="1:10" ht="30.6" x14ac:dyDescent="0.3">
      <c r="A186" s="84">
        <v>185</v>
      </c>
      <c r="B186" s="90" t="s">
        <v>770</v>
      </c>
      <c r="C186" s="92" t="s">
        <v>636</v>
      </c>
      <c r="D186" s="119" t="s">
        <v>771</v>
      </c>
      <c r="E186" s="93" t="s">
        <v>772</v>
      </c>
      <c r="F186" s="93" t="s">
        <v>766</v>
      </c>
      <c r="G186" s="93" t="str">
        <f>TEXT(Table7[[#This Row],[EXPIRY DATE]],"MMM")</f>
        <v>CLOSED</v>
      </c>
      <c r="H186" s="93" t="str">
        <f>TEXT(Table7[[#This Row],[EXPIRY DATE]],"YYY")</f>
        <v>CLOSED</v>
      </c>
      <c r="I186" s="92" t="s">
        <v>602</v>
      </c>
      <c r="J186" s="75"/>
    </row>
    <row r="187" spans="1:10" x14ac:dyDescent="0.3">
      <c r="A187" s="84">
        <v>186</v>
      </c>
      <c r="B187" s="84" t="s">
        <v>773</v>
      </c>
      <c r="C187" s="92" t="s">
        <v>636</v>
      </c>
      <c r="D187" s="119" t="s">
        <v>774</v>
      </c>
      <c r="E187" s="93" t="s">
        <v>742</v>
      </c>
      <c r="F187" s="93" t="s">
        <v>766</v>
      </c>
      <c r="G187" s="93" t="str">
        <f>TEXT(Table7[[#This Row],[EXPIRY DATE]],"MMM")</f>
        <v>CLOSED</v>
      </c>
      <c r="H187" s="93" t="str">
        <f>TEXT(Table7[[#This Row],[EXPIRY DATE]],"YYY")</f>
        <v>CLOSED</v>
      </c>
      <c r="I187" s="92" t="s">
        <v>602</v>
      </c>
      <c r="J187" s="75"/>
    </row>
    <row r="188" spans="1:10" x14ac:dyDescent="0.3">
      <c r="A188" s="84">
        <v>187</v>
      </c>
      <c r="B188" s="84" t="s">
        <v>773</v>
      </c>
      <c r="C188" s="92" t="s">
        <v>636</v>
      </c>
      <c r="D188" s="119" t="s">
        <v>774</v>
      </c>
      <c r="E188" s="93" t="s">
        <v>689</v>
      </c>
      <c r="F188" s="93" t="s">
        <v>766</v>
      </c>
      <c r="G188" s="93" t="str">
        <f>TEXT(Table7[[#This Row],[EXPIRY DATE]],"MMM")</f>
        <v>CLOSED</v>
      </c>
      <c r="H188" s="93" t="str">
        <f>TEXT(Table7[[#This Row],[EXPIRY DATE]],"YYY")</f>
        <v>CLOSED</v>
      </c>
      <c r="I188" s="92" t="s">
        <v>607</v>
      </c>
      <c r="J188" s="75"/>
    </row>
    <row r="189" spans="1:10" x14ac:dyDescent="0.3">
      <c r="A189" s="84">
        <v>188</v>
      </c>
      <c r="B189" s="84" t="s">
        <v>775</v>
      </c>
      <c r="C189" s="92" t="s">
        <v>636</v>
      </c>
      <c r="D189" s="119" t="s">
        <v>776</v>
      </c>
      <c r="E189" s="93" t="s">
        <v>742</v>
      </c>
      <c r="F189" s="93" t="s">
        <v>766</v>
      </c>
      <c r="G189" s="93" t="str">
        <f>TEXT(Table7[[#This Row],[EXPIRY DATE]],"MMM")</f>
        <v>CLOSED</v>
      </c>
      <c r="H189" s="93" t="str">
        <f>TEXT(Table7[[#This Row],[EXPIRY DATE]],"YYY")</f>
        <v>CLOSED</v>
      </c>
      <c r="I189" s="92" t="s">
        <v>602</v>
      </c>
      <c r="J189" s="75"/>
    </row>
    <row r="190" spans="1:10" x14ac:dyDescent="0.3">
      <c r="A190" s="84">
        <v>189</v>
      </c>
      <c r="B190" s="84" t="s">
        <v>775</v>
      </c>
      <c r="C190" s="92" t="s">
        <v>636</v>
      </c>
      <c r="D190" s="119" t="s">
        <v>776</v>
      </c>
      <c r="E190" s="93" t="s">
        <v>689</v>
      </c>
      <c r="F190" s="93" t="s">
        <v>766</v>
      </c>
      <c r="G190" s="93" t="str">
        <f>TEXT(Table7[[#This Row],[EXPIRY DATE]],"MMM")</f>
        <v>CLOSED</v>
      </c>
      <c r="H190" s="93" t="str">
        <f>TEXT(Table7[[#This Row],[EXPIRY DATE]],"YYY")</f>
        <v>CLOSED</v>
      </c>
      <c r="I190" s="92" t="s">
        <v>607</v>
      </c>
      <c r="J190" s="75"/>
    </row>
    <row r="191" spans="1:10" x14ac:dyDescent="0.3">
      <c r="A191" s="84">
        <v>190</v>
      </c>
      <c r="B191" s="89" t="s">
        <v>777</v>
      </c>
      <c r="C191" s="92" t="s">
        <v>636</v>
      </c>
      <c r="D191" s="119" t="s">
        <v>778</v>
      </c>
      <c r="E191" s="93" t="s">
        <v>652</v>
      </c>
      <c r="F191" s="93" t="s">
        <v>766</v>
      </c>
      <c r="G191" s="93" t="str">
        <f>TEXT(Table7[[#This Row],[EXPIRY DATE]],"MMM")</f>
        <v>CLOSED</v>
      </c>
      <c r="H191" s="93" t="str">
        <f>TEXT(Table7[[#This Row],[EXPIRY DATE]],"YYY")</f>
        <v>CLOSED</v>
      </c>
      <c r="I191" s="92" t="s">
        <v>602</v>
      </c>
      <c r="J191" s="75"/>
    </row>
    <row r="192" spans="1:10" x14ac:dyDescent="0.3">
      <c r="A192" s="84">
        <v>191</v>
      </c>
      <c r="B192" s="89" t="s">
        <v>777</v>
      </c>
      <c r="C192" s="92" t="s">
        <v>636</v>
      </c>
      <c r="D192" s="119" t="s">
        <v>778</v>
      </c>
      <c r="E192" s="93"/>
      <c r="F192" s="93" t="s">
        <v>766</v>
      </c>
      <c r="G192" s="93" t="str">
        <f>TEXT(Table7[[#This Row],[EXPIRY DATE]],"MMM")</f>
        <v>CLOSED</v>
      </c>
      <c r="H192" s="93" t="str">
        <f>TEXT(Table7[[#This Row],[EXPIRY DATE]],"YYY")</f>
        <v>CLOSED</v>
      </c>
      <c r="I192" s="92" t="s">
        <v>607</v>
      </c>
      <c r="J192" s="75"/>
    </row>
    <row r="193" spans="1:10" x14ac:dyDescent="0.3">
      <c r="A193" s="84">
        <v>192</v>
      </c>
      <c r="B193" s="89" t="s">
        <v>779</v>
      </c>
      <c r="C193" s="92" t="s">
        <v>636</v>
      </c>
      <c r="D193" s="119" t="s">
        <v>780</v>
      </c>
      <c r="E193" s="93" t="s">
        <v>610</v>
      </c>
      <c r="F193" s="93" t="s">
        <v>766</v>
      </c>
      <c r="G193" s="93" t="str">
        <f>TEXT(Table7[[#This Row],[EXPIRY DATE]],"MMM")</f>
        <v>CLOSED</v>
      </c>
      <c r="H193" s="93" t="str">
        <f>TEXT(Table7[[#This Row],[EXPIRY DATE]],"YYY")</f>
        <v>CLOSED</v>
      </c>
      <c r="I193" s="92" t="s">
        <v>602</v>
      </c>
      <c r="J193" s="75"/>
    </row>
    <row r="194" spans="1:10" x14ac:dyDescent="0.3">
      <c r="A194" s="84">
        <v>193</v>
      </c>
      <c r="B194" s="89" t="s">
        <v>779</v>
      </c>
      <c r="C194" s="92" t="s">
        <v>636</v>
      </c>
      <c r="D194" s="119" t="s">
        <v>780</v>
      </c>
      <c r="E194" s="93" t="s">
        <v>610</v>
      </c>
      <c r="F194" s="93" t="s">
        <v>766</v>
      </c>
      <c r="G194" s="93" t="str">
        <f>TEXT(Table7[[#This Row],[EXPIRY DATE]],"MMM")</f>
        <v>CLOSED</v>
      </c>
      <c r="H194" s="93" t="str">
        <f>TEXT(Table7[[#This Row],[EXPIRY DATE]],"YYY")</f>
        <v>CLOSED</v>
      </c>
      <c r="I194" s="92" t="s">
        <v>607</v>
      </c>
      <c r="J194" s="75"/>
    </row>
    <row r="195" spans="1:10" x14ac:dyDescent="0.3">
      <c r="A195" s="84">
        <v>194</v>
      </c>
      <c r="B195" s="89" t="s">
        <v>781</v>
      </c>
      <c r="C195" s="92" t="s">
        <v>636</v>
      </c>
      <c r="D195" s="119" t="s">
        <v>782</v>
      </c>
      <c r="E195" s="93" t="s">
        <v>783</v>
      </c>
      <c r="F195" s="93" t="s">
        <v>766</v>
      </c>
      <c r="G195" s="93" t="str">
        <f>TEXT(Table7[[#This Row],[EXPIRY DATE]],"MMM")</f>
        <v>CLOSED</v>
      </c>
      <c r="H195" s="93" t="str">
        <f>TEXT(Table7[[#This Row],[EXPIRY DATE]],"YYY")</f>
        <v>CLOSED</v>
      </c>
      <c r="I195" s="92" t="s">
        <v>602</v>
      </c>
      <c r="J195" s="75"/>
    </row>
    <row r="196" spans="1:10" x14ac:dyDescent="0.3">
      <c r="A196" s="84">
        <v>195</v>
      </c>
      <c r="B196" s="89" t="s">
        <v>784</v>
      </c>
      <c r="C196" s="92" t="s">
        <v>636</v>
      </c>
      <c r="D196" s="115" t="s">
        <v>785</v>
      </c>
      <c r="E196" s="93" t="s">
        <v>742</v>
      </c>
      <c r="F196" s="93" t="s">
        <v>766</v>
      </c>
      <c r="G196" s="93" t="str">
        <f>TEXT(Table7[[#This Row],[EXPIRY DATE]],"MMM")</f>
        <v>CLOSED</v>
      </c>
      <c r="H196" s="93" t="str">
        <f>TEXT(Table7[[#This Row],[EXPIRY DATE]],"YYY")</f>
        <v>CLOSED</v>
      </c>
      <c r="I196" s="92" t="s">
        <v>602</v>
      </c>
      <c r="J196" s="75"/>
    </row>
    <row r="197" spans="1:10" x14ac:dyDescent="0.3">
      <c r="A197" s="84">
        <v>196</v>
      </c>
      <c r="B197" s="89" t="s">
        <v>784</v>
      </c>
      <c r="C197" s="92" t="s">
        <v>636</v>
      </c>
      <c r="D197" s="115" t="s">
        <v>785</v>
      </c>
      <c r="E197" s="93" t="s">
        <v>689</v>
      </c>
      <c r="F197" s="93" t="s">
        <v>766</v>
      </c>
      <c r="G197" s="93" t="str">
        <f>TEXT(Table7[[#This Row],[EXPIRY DATE]],"MMM")</f>
        <v>CLOSED</v>
      </c>
      <c r="H197" s="93" t="str">
        <f>TEXT(Table7[[#This Row],[EXPIRY DATE]],"YYY")</f>
        <v>CLOSED</v>
      </c>
      <c r="I197" s="92" t="s">
        <v>607</v>
      </c>
      <c r="J197" s="75"/>
    </row>
    <row r="198" spans="1:10" x14ac:dyDescent="0.3">
      <c r="A198" s="84">
        <v>197</v>
      </c>
      <c r="B198" s="84">
        <v>10101</v>
      </c>
      <c r="C198" s="84" t="s">
        <v>636</v>
      </c>
      <c r="D198" s="115" t="s">
        <v>699</v>
      </c>
      <c r="E198" s="85" t="s">
        <v>700</v>
      </c>
      <c r="F198" s="85" t="s">
        <v>786</v>
      </c>
      <c r="G198" s="85" t="str">
        <f>TEXT(Table7[[#This Row],[EXPIRY DATE]],"MMM")</f>
        <v>DOCUMENT PENDING</v>
      </c>
      <c r="H198" s="85" t="str">
        <f>TEXT(Table7[[#This Row],[EXPIRY DATE]],"YYY")</f>
        <v>DOCUMENT PENDING</v>
      </c>
      <c r="I198" s="84" t="s">
        <v>607</v>
      </c>
      <c r="J198" s="69"/>
    </row>
    <row r="199" spans="1:10" x14ac:dyDescent="0.3">
      <c r="A199" s="84">
        <v>198</v>
      </c>
      <c r="B199" s="84" t="s">
        <v>787</v>
      </c>
      <c r="C199" s="84" t="s">
        <v>788</v>
      </c>
      <c r="D199" s="115" t="s">
        <v>789</v>
      </c>
      <c r="E199" s="94" t="s">
        <v>790</v>
      </c>
      <c r="F199" s="85">
        <v>45975</v>
      </c>
      <c r="G199" s="85" t="str">
        <f>TEXT(Table7[[#This Row],[EXPIRY DATE]],"MMM")</f>
        <v>Nov</v>
      </c>
      <c r="H199" s="85" t="str">
        <f>TEXT(Table7[[#This Row],[EXPIRY DATE]],"YYY")</f>
        <v>2025</v>
      </c>
      <c r="I199" s="84" t="s">
        <v>602</v>
      </c>
      <c r="J199" s="69"/>
    </row>
    <row r="200" spans="1:10" x14ac:dyDescent="0.3">
      <c r="A200" s="84">
        <v>199</v>
      </c>
      <c r="B200" s="84" t="s">
        <v>787</v>
      </c>
      <c r="C200" s="84" t="s">
        <v>788</v>
      </c>
      <c r="D200" s="115" t="s">
        <v>789</v>
      </c>
      <c r="E200" s="94" t="s">
        <v>790</v>
      </c>
      <c r="F200" s="85">
        <v>46341</v>
      </c>
      <c r="G200" s="85" t="str">
        <f>TEXT(Table7[[#This Row],[EXPIRY DATE]],"MMM")</f>
        <v>Nov</v>
      </c>
      <c r="H200" s="85" t="str">
        <f>TEXT(Table7[[#This Row],[EXPIRY DATE]],"YYY")</f>
        <v>2026</v>
      </c>
      <c r="I200" s="85" t="s">
        <v>791</v>
      </c>
      <c r="J200" s="69"/>
    </row>
    <row r="201" spans="1:10" x14ac:dyDescent="0.3">
      <c r="A201" s="84">
        <v>200</v>
      </c>
      <c r="B201" s="84" t="s">
        <v>766</v>
      </c>
      <c r="C201" s="92" t="s">
        <v>792</v>
      </c>
      <c r="D201" s="119" t="s">
        <v>793</v>
      </c>
      <c r="E201" s="93"/>
      <c r="F201" s="93" t="s">
        <v>766</v>
      </c>
      <c r="G201" s="93" t="str">
        <f>TEXT(Table7[[#This Row],[EXPIRY DATE]],"MMM")</f>
        <v>CLOSED</v>
      </c>
      <c r="H201" s="93" t="str">
        <f>TEXT(Table7[[#This Row],[EXPIRY DATE]],"YYY")</f>
        <v>CLOSED</v>
      </c>
      <c r="I201" s="93" t="s">
        <v>791</v>
      </c>
      <c r="J201" s="75"/>
    </row>
    <row r="202" spans="1:10" x14ac:dyDescent="0.3">
      <c r="A202" s="84">
        <v>201</v>
      </c>
      <c r="B202" s="95"/>
      <c r="C202" s="96" t="s">
        <v>794</v>
      </c>
      <c r="D202" s="120" t="s">
        <v>795</v>
      </c>
      <c r="E202" s="97" t="s">
        <v>796</v>
      </c>
      <c r="F202" s="98">
        <v>45932</v>
      </c>
      <c r="G202" s="98" t="str">
        <f>TEXT(Table7[[#This Row],[EXPIRY DATE]],"MMM")</f>
        <v>Oct</v>
      </c>
      <c r="H202" s="98" t="str">
        <f>TEXT(Table7[[#This Row],[EXPIRY DATE]],"YYY")</f>
        <v>2025</v>
      </c>
      <c r="I202" s="98" t="s">
        <v>791</v>
      </c>
      <c r="J202" s="76"/>
    </row>
    <row r="203" spans="1:10" x14ac:dyDescent="0.3">
      <c r="A203" s="84">
        <v>202</v>
      </c>
      <c r="B203" s="84" t="s">
        <v>766</v>
      </c>
      <c r="C203" s="92" t="s">
        <v>797</v>
      </c>
      <c r="D203" s="119" t="s">
        <v>798</v>
      </c>
      <c r="E203" s="93"/>
      <c r="F203" s="93" t="s">
        <v>766</v>
      </c>
      <c r="G203" s="93" t="str">
        <f>TEXT(Table7[[#This Row],[EXPIRY DATE]],"MMM")</f>
        <v>CLOSED</v>
      </c>
      <c r="H203" s="93" t="str">
        <f>TEXT(Table7[[#This Row],[EXPIRY DATE]],"YYY")</f>
        <v>CLOSED</v>
      </c>
      <c r="I203" s="92" t="s">
        <v>602</v>
      </c>
      <c r="J203" s="75"/>
    </row>
    <row r="204" spans="1:10" x14ac:dyDescent="0.3">
      <c r="A204" s="84">
        <v>203</v>
      </c>
      <c r="B204" s="84" t="s">
        <v>766</v>
      </c>
      <c r="C204" s="92" t="s">
        <v>797</v>
      </c>
      <c r="D204" s="119" t="s">
        <v>798</v>
      </c>
      <c r="E204" s="93"/>
      <c r="F204" s="93" t="s">
        <v>766</v>
      </c>
      <c r="G204" s="93" t="str">
        <f>TEXT(Table7[[#This Row],[EXPIRY DATE]],"MMM")</f>
        <v>CLOSED</v>
      </c>
      <c r="H204" s="93" t="str">
        <f>TEXT(Table7[[#This Row],[EXPIRY DATE]],"YYY")</f>
        <v>CLOSED</v>
      </c>
      <c r="I204" s="93" t="s">
        <v>791</v>
      </c>
      <c r="J204" s="75"/>
    </row>
    <row r="205" spans="1:10" x14ac:dyDescent="0.3">
      <c r="A205" s="84">
        <v>204</v>
      </c>
      <c r="B205" s="84" t="s">
        <v>799</v>
      </c>
      <c r="C205" s="84" t="s">
        <v>800</v>
      </c>
      <c r="D205" s="115" t="s">
        <v>801</v>
      </c>
      <c r="E205" s="94" t="s">
        <v>802</v>
      </c>
      <c r="F205" s="85">
        <v>46894</v>
      </c>
      <c r="G205" s="85" t="str">
        <f>TEXT(Table7[[#This Row],[EXPIRY DATE]],"MMM")</f>
        <v>May</v>
      </c>
      <c r="H205" s="85" t="str">
        <f>TEXT(Table7[[#This Row],[EXPIRY DATE]],"YYY")</f>
        <v>2028</v>
      </c>
      <c r="I205" s="85" t="s">
        <v>791</v>
      </c>
      <c r="J205" s="69"/>
    </row>
    <row r="206" spans="1:10" x14ac:dyDescent="0.3">
      <c r="A206" s="84">
        <v>205</v>
      </c>
      <c r="B206" s="84" t="s">
        <v>803</v>
      </c>
      <c r="C206" s="92" t="s">
        <v>800</v>
      </c>
      <c r="D206" s="119" t="s">
        <v>804</v>
      </c>
      <c r="E206" s="99" t="s">
        <v>802</v>
      </c>
      <c r="F206" s="93" t="s">
        <v>766</v>
      </c>
      <c r="G206" s="93" t="str">
        <f>TEXT(Table7[[#This Row],[EXPIRY DATE]],"MMM")</f>
        <v>CLOSED</v>
      </c>
      <c r="H206" s="93" t="str">
        <f>TEXT(Table7[[#This Row],[EXPIRY DATE]],"YYY")</f>
        <v>CLOSED</v>
      </c>
      <c r="I206" s="92" t="s">
        <v>602</v>
      </c>
      <c r="J206" s="75"/>
    </row>
    <row r="207" spans="1:10" x14ac:dyDescent="0.3">
      <c r="A207" s="84">
        <v>206</v>
      </c>
      <c r="B207" s="84" t="s">
        <v>766</v>
      </c>
      <c r="C207" s="92" t="s">
        <v>805</v>
      </c>
      <c r="D207" s="119" t="s">
        <v>806</v>
      </c>
      <c r="E207" s="93"/>
      <c r="F207" s="93" t="s">
        <v>766</v>
      </c>
      <c r="G207" s="93" t="str">
        <f>TEXT(Table7[[#This Row],[EXPIRY DATE]],"MMM")</f>
        <v>CLOSED</v>
      </c>
      <c r="H207" s="93" t="str">
        <f>TEXT(Table7[[#This Row],[EXPIRY DATE]],"YYY")</f>
        <v>CLOSED</v>
      </c>
      <c r="I207" s="93" t="s">
        <v>791</v>
      </c>
      <c r="J207" s="75"/>
    </row>
    <row r="208" spans="1:10" x14ac:dyDescent="0.3">
      <c r="A208" s="84">
        <v>207</v>
      </c>
      <c r="B208" s="84" t="s">
        <v>807</v>
      </c>
      <c r="C208" s="92" t="s">
        <v>808</v>
      </c>
      <c r="D208" s="119" t="s">
        <v>809</v>
      </c>
      <c r="E208" s="93"/>
      <c r="F208" s="93" t="s">
        <v>766</v>
      </c>
      <c r="G208" s="93" t="str">
        <f>TEXT(Table7[[#This Row],[EXPIRY DATE]],"MMM")</f>
        <v>CLOSED</v>
      </c>
      <c r="H208" s="93" t="str">
        <f>TEXT(Table7[[#This Row],[EXPIRY DATE]],"YYY")</f>
        <v>CLOSED</v>
      </c>
      <c r="I208" s="93" t="s">
        <v>791</v>
      </c>
      <c r="J208" s="75"/>
    </row>
    <row r="209" spans="1:10" x14ac:dyDescent="0.3">
      <c r="A209" s="84">
        <v>208</v>
      </c>
      <c r="B209" s="84" t="s">
        <v>810</v>
      </c>
      <c r="C209" s="84" t="s">
        <v>811</v>
      </c>
      <c r="D209" s="115" t="s">
        <v>812</v>
      </c>
      <c r="E209" s="94" t="s">
        <v>802</v>
      </c>
      <c r="F209" s="85">
        <v>47657</v>
      </c>
      <c r="G209" s="85" t="str">
        <f>TEXT(Table7[[#This Row],[EXPIRY DATE]],"MMM")</f>
        <v>Jun</v>
      </c>
      <c r="H209" s="85" t="str">
        <f>TEXT(Table7[[#This Row],[EXPIRY DATE]],"YYY")</f>
        <v>2030</v>
      </c>
      <c r="I209" s="85" t="s">
        <v>791</v>
      </c>
      <c r="J209" s="69"/>
    </row>
    <row r="210" spans="1:10" x14ac:dyDescent="0.3">
      <c r="A210" s="84">
        <v>209</v>
      </c>
      <c r="B210" s="84" t="s">
        <v>813</v>
      </c>
      <c r="C210" s="84" t="s">
        <v>814</v>
      </c>
      <c r="D210" s="115" t="s">
        <v>815</v>
      </c>
      <c r="E210" s="85" t="s">
        <v>737</v>
      </c>
      <c r="F210" s="85">
        <v>46333</v>
      </c>
      <c r="G210" s="85" t="str">
        <f>TEXT(Table7[[#This Row],[EXPIRY DATE]],"MMM")</f>
        <v>Nov</v>
      </c>
      <c r="H210" s="85" t="str">
        <f>TEXT(Table7[[#This Row],[EXPIRY DATE]],"YYY")</f>
        <v>2026</v>
      </c>
      <c r="I210" s="85" t="s">
        <v>791</v>
      </c>
      <c r="J210" s="69"/>
    </row>
    <row r="211" spans="1:10" x14ac:dyDescent="0.3">
      <c r="A211" s="84">
        <v>210</v>
      </c>
      <c r="B211" s="84" t="s">
        <v>816</v>
      </c>
      <c r="C211" s="92" t="s">
        <v>814</v>
      </c>
      <c r="D211" s="119" t="s">
        <v>815</v>
      </c>
      <c r="E211" s="93" t="s">
        <v>817</v>
      </c>
      <c r="F211" s="93" t="s">
        <v>766</v>
      </c>
      <c r="G211" s="93" t="str">
        <f>TEXT(Table7[[#This Row],[EXPIRY DATE]],"MMM")</f>
        <v>CLOSED</v>
      </c>
      <c r="H211" s="93" t="str">
        <f>TEXT(Table7[[#This Row],[EXPIRY DATE]],"YYY")</f>
        <v>CLOSED</v>
      </c>
      <c r="I211" s="92" t="s">
        <v>602</v>
      </c>
      <c r="J211" s="75"/>
    </row>
    <row r="212" spans="1:10" x14ac:dyDescent="0.3">
      <c r="A212" s="84">
        <v>211</v>
      </c>
      <c r="B212" s="84" t="s">
        <v>818</v>
      </c>
      <c r="C212" s="84" t="s">
        <v>819</v>
      </c>
      <c r="D212" s="115" t="s">
        <v>820</v>
      </c>
      <c r="E212" s="85" t="s">
        <v>802</v>
      </c>
      <c r="F212" s="85">
        <v>46277</v>
      </c>
      <c r="G212" s="85" t="str">
        <f>TEXT(Table7[[#This Row],[EXPIRY DATE]],"MMM")</f>
        <v>Sep</v>
      </c>
      <c r="H212" s="85" t="str">
        <f>TEXT(Table7[[#This Row],[EXPIRY DATE]],"YYY")</f>
        <v>2026</v>
      </c>
      <c r="I212" s="85" t="s">
        <v>791</v>
      </c>
      <c r="J212" s="69"/>
    </row>
    <row r="213" spans="1:10" x14ac:dyDescent="0.3">
      <c r="A213" s="84">
        <v>212</v>
      </c>
      <c r="B213" s="84" t="s">
        <v>821</v>
      </c>
      <c r="C213" s="84" t="s">
        <v>822</v>
      </c>
      <c r="D213" s="115" t="s">
        <v>823</v>
      </c>
      <c r="E213" s="85" t="s">
        <v>737</v>
      </c>
      <c r="F213" s="85">
        <v>46022</v>
      </c>
      <c r="G213" s="85" t="s">
        <v>625</v>
      </c>
      <c r="H213" s="85" t="str">
        <f>TEXT(Table7[[#This Row],[EXPIRY DATE]],"YYY")</f>
        <v>2025</v>
      </c>
      <c r="I213" s="84" t="s">
        <v>607</v>
      </c>
      <c r="J213" s="69"/>
    </row>
    <row r="214" spans="1:10" ht="20.399999999999999" x14ac:dyDescent="0.3">
      <c r="A214" s="84">
        <v>213</v>
      </c>
      <c r="B214" s="84" t="s">
        <v>824</v>
      </c>
      <c r="C214" s="84" t="s">
        <v>822</v>
      </c>
      <c r="D214" s="115" t="s">
        <v>825</v>
      </c>
      <c r="E214" s="85" t="s">
        <v>590</v>
      </c>
      <c r="F214" s="85">
        <v>46112</v>
      </c>
      <c r="G214" s="85" t="s">
        <v>606</v>
      </c>
      <c r="H214" s="85" t="str">
        <f>TEXT(Table7[[#This Row],[EXPIRY DATE]],"YYY")</f>
        <v>2026</v>
      </c>
      <c r="I214" s="84" t="s">
        <v>607</v>
      </c>
      <c r="J214" s="69"/>
    </row>
    <row r="215" spans="1:10" x14ac:dyDescent="0.3">
      <c r="A215" s="84">
        <v>214</v>
      </c>
      <c r="B215" s="84" t="s">
        <v>826</v>
      </c>
      <c r="C215" s="84" t="s">
        <v>822</v>
      </c>
      <c r="D215" s="115" t="s">
        <v>827</v>
      </c>
      <c r="E215" s="85" t="s">
        <v>590</v>
      </c>
      <c r="F215" s="85">
        <v>46112</v>
      </c>
      <c r="G215" s="85" t="s">
        <v>606</v>
      </c>
      <c r="H215" s="85" t="str">
        <f>TEXT(Table7[[#This Row],[EXPIRY DATE]],"YYY")</f>
        <v>2026</v>
      </c>
      <c r="I215" s="84" t="s">
        <v>607</v>
      </c>
      <c r="J215" s="69"/>
    </row>
    <row r="216" spans="1:10" x14ac:dyDescent="0.3">
      <c r="A216" s="84">
        <v>215</v>
      </c>
      <c r="B216" s="84" t="s">
        <v>828</v>
      </c>
      <c r="C216" s="84" t="s">
        <v>822</v>
      </c>
      <c r="D216" s="115" t="s">
        <v>829</v>
      </c>
      <c r="E216" s="85" t="s">
        <v>590</v>
      </c>
      <c r="F216" s="85">
        <v>46112</v>
      </c>
      <c r="G216" s="85" t="s">
        <v>606</v>
      </c>
      <c r="H216" s="85" t="str">
        <f>TEXT(Table7[[#This Row],[EXPIRY DATE]],"YYY")</f>
        <v>2026</v>
      </c>
      <c r="I216" s="84" t="s">
        <v>607</v>
      </c>
      <c r="J216" s="69"/>
    </row>
    <row r="217" spans="1:10" x14ac:dyDescent="0.3">
      <c r="A217" s="84">
        <v>216</v>
      </c>
      <c r="B217" s="84" t="s">
        <v>830</v>
      </c>
      <c r="C217" s="84" t="s">
        <v>822</v>
      </c>
      <c r="D217" s="115" t="s">
        <v>831</v>
      </c>
      <c r="E217" s="85" t="s">
        <v>590</v>
      </c>
      <c r="F217" s="85">
        <v>46112</v>
      </c>
      <c r="G217" s="85" t="s">
        <v>606</v>
      </c>
      <c r="H217" s="85" t="str">
        <f>TEXT(Table7[[#This Row],[EXPIRY DATE]],"YYY")</f>
        <v>2026</v>
      </c>
      <c r="I217" s="84" t="s">
        <v>607</v>
      </c>
      <c r="J217" s="69"/>
    </row>
    <row r="218" spans="1:10" x14ac:dyDescent="0.3">
      <c r="A218" s="84">
        <v>217</v>
      </c>
      <c r="B218" s="84" t="s">
        <v>832</v>
      </c>
      <c r="C218" s="84" t="s">
        <v>822</v>
      </c>
      <c r="D218" s="115" t="s">
        <v>833</v>
      </c>
      <c r="E218" s="85" t="s">
        <v>590</v>
      </c>
      <c r="F218" s="85">
        <v>46112</v>
      </c>
      <c r="G218" s="85" t="s">
        <v>606</v>
      </c>
      <c r="H218" s="85" t="str">
        <f>TEXT(Table7[[#This Row],[EXPIRY DATE]],"YYY")</f>
        <v>2026</v>
      </c>
      <c r="I218" s="84" t="s">
        <v>607</v>
      </c>
      <c r="J218" s="69"/>
    </row>
    <row r="219" spans="1:10" ht="20.399999999999999" x14ac:dyDescent="0.3">
      <c r="A219" s="84">
        <v>218</v>
      </c>
      <c r="B219" s="84" t="s">
        <v>834</v>
      </c>
      <c r="C219" s="84" t="s">
        <v>822</v>
      </c>
      <c r="D219" s="115" t="s">
        <v>835</v>
      </c>
      <c r="E219" s="85" t="s">
        <v>590</v>
      </c>
      <c r="F219" s="85">
        <v>46112</v>
      </c>
      <c r="G219" s="85" t="s">
        <v>606</v>
      </c>
      <c r="H219" s="85" t="str">
        <f>TEXT(Table7[[#This Row],[EXPIRY DATE]],"YYY")</f>
        <v>2026</v>
      </c>
      <c r="I219" s="84" t="s">
        <v>607</v>
      </c>
      <c r="J219" s="69"/>
    </row>
    <row r="220" spans="1:10" x14ac:dyDescent="0.3">
      <c r="A220" s="84">
        <v>219</v>
      </c>
      <c r="B220" s="84" t="s">
        <v>836</v>
      </c>
      <c r="C220" s="84" t="s">
        <v>822</v>
      </c>
      <c r="D220" s="115" t="s">
        <v>837</v>
      </c>
      <c r="E220" s="85" t="s">
        <v>616</v>
      </c>
      <c r="F220" s="85">
        <v>46172</v>
      </c>
      <c r="G220" s="85" t="s">
        <v>838</v>
      </c>
      <c r="H220" s="85" t="str">
        <f>TEXT(Table7[[#This Row],[EXPIRY DATE]],"YYY")</f>
        <v>2026</v>
      </c>
      <c r="I220" s="84" t="s">
        <v>839</v>
      </c>
      <c r="J220" s="69"/>
    </row>
    <row r="221" spans="1:10" x14ac:dyDescent="0.3">
      <c r="A221" s="84">
        <v>220</v>
      </c>
      <c r="B221" s="84" t="s">
        <v>840</v>
      </c>
      <c r="C221" s="84" t="s">
        <v>822</v>
      </c>
      <c r="D221" s="115" t="s">
        <v>841</v>
      </c>
      <c r="E221" s="84" t="s">
        <v>616</v>
      </c>
      <c r="F221" s="85">
        <v>46354</v>
      </c>
      <c r="G221" s="85" t="s">
        <v>842</v>
      </c>
      <c r="H221" s="85" t="str">
        <f>TEXT(Table7[[#This Row],[EXPIRY DATE]],"YYY")</f>
        <v>2026</v>
      </c>
      <c r="I221" s="84" t="s">
        <v>839</v>
      </c>
      <c r="J221" s="69"/>
    </row>
    <row r="222" spans="1:10" x14ac:dyDescent="0.3">
      <c r="A222" s="84">
        <v>221</v>
      </c>
      <c r="B222" s="84" t="s">
        <v>843</v>
      </c>
      <c r="C222" s="84" t="s">
        <v>822</v>
      </c>
      <c r="D222" s="115" t="s">
        <v>844</v>
      </c>
      <c r="E222" s="85" t="s">
        <v>601</v>
      </c>
      <c r="F222" s="85">
        <v>46364</v>
      </c>
      <c r="G222" s="85" t="s">
        <v>625</v>
      </c>
      <c r="H222" s="85" t="str">
        <f>TEXT(Table7[[#This Row],[EXPIRY DATE]],"YYY")</f>
        <v>2026</v>
      </c>
      <c r="I222" s="84" t="s">
        <v>845</v>
      </c>
      <c r="J222" s="69"/>
    </row>
    <row r="223" spans="1:10" x14ac:dyDescent="0.3">
      <c r="A223" s="84">
        <v>222</v>
      </c>
      <c r="B223" s="84" t="s">
        <v>846</v>
      </c>
      <c r="C223" s="84" t="s">
        <v>822</v>
      </c>
      <c r="D223" s="115" t="s">
        <v>847</v>
      </c>
      <c r="E223" s="85" t="s">
        <v>601</v>
      </c>
      <c r="F223" s="85">
        <v>46367</v>
      </c>
      <c r="G223" s="85" t="s">
        <v>625</v>
      </c>
      <c r="H223" s="85" t="str">
        <f>TEXT(Table7[[#This Row],[EXPIRY DATE]],"YYY")</f>
        <v>2026</v>
      </c>
      <c r="I223" s="84" t="s">
        <v>839</v>
      </c>
      <c r="J223" s="69"/>
    </row>
    <row r="224" spans="1:10" ht="30.6" x14ac:dyDescent="0.3">
      <c r="A224" s="84">
        <v>223</v>
      </c>
      <c r="B224" s="84" t="s">
        <v>848</v>
      </c>
      <c r="C224" s="84" t="s">
        <v>822</v>
      </c>
      <c r="D224" s="115" t="s">
        <v>849</v>
      </c>
      <c r="E224" s="85" t="s">
        <v>610</v>
      </c>
      <c r="F224" s="85">
        <v>46387</v>
      </c>
      <c r="G224" s="85" t="s">
        <v>625</v>
      </c>
      <c r="H224" s="85" t="str">
        <f>TEXT(Table7[[#This Row],[EXPIRY DATE]],"YYY")</f>
        <v>2026</v>
      </c>
      <c r="I224" s="84" t="s">
        <v>602</v>
      </c>
      <c r="J224" s="69"/>
    </row>
    <row r="225" spans="1:10" x14ac:dyDescent="0.3">
      <c r="A225" s="84">
        <v>224</v>
      </c>
      <c r="B225" s="84" t="s">
        <v>848</v>
      </c>
      <c r="C225" s="84" t="s">
        <v>822</v>
      </c>
      <c r="D225" s="115" t="s">
        <v>850</v>
      </c>
      <c r="E225" s="85" t="s">
        <v>610</v>
      </c>
      <c r="F225" s="85">
        <v>46387</v>
      </c>
      <c r="G225" s="85" t="s">
        <v>625</v>
      </c>
      <c r="H225" s="85" t="str">
        <f>TEXT(Table7[[#This Row],[EXPIRY DATE]],"YYY")</f>
        <v>2026</v>
      </c>
      <c r="I225" s="84" t="s">
        <v>602</v>
      </c>
      <c r="J225" s="69"/>
    </row>
    <row r="226" spans="1:10" ht="20.399999999999999" x14ac:dyDescent="0.3">
      <c r="A226" s="84">
        <v>225</v>
      </c>
      <c r="B226" s="84" t="s">
        <v>851</v>
      </c>
      <c r="C226" s="84" t="s">
        <v>822</v>
      </c>
      <c r="D226" s="115" t="s">
        <v>852</v>
      </c>
      <c r="E226" s="85" t="s">
        <v>610</v>
      </c>
      <c r="F226" s="85">
        <v>46387</v>
      </c>
      <c r="G226" s="85" t="s">
        <v>625</v>
      </c>
      <c r="H226" s="85" t="str">
        <f>TEXT(Table7[[#This Row],[EXPIRY DATE]],"YYY")</f>
        <v>2026</v>
      </c>
      <c r="I226" s="84" t="s">
        <v>602</v>
      </c>
      <c r="J226" s="69"/>
    </row>
    <row r="227" spans="1:10" ht="20.399999999999999" x14ac:dyDescent="0.3">
      <c r="A227" s="84">
        <v>226</v>
      </c>
      <c r="B227" s="84" t="s">
        <v>853</v>
      </c>
      <c r="C227" s="84" t="s">
        <v>822</v>
      </c>
      <c r="D227" s="115" t="s">
        <v>854</v>
      </c>
      <c r="E227" s="85" t="s">
        <v>610</v>
      </c>
      <c r="F227" s="85">
        <v>46387</v>
      </c>
      <c r="G227" s="85" t="s">
        <v>625</v>
      </c>
      <c r="H227" s="85" t="str">
        <f>H228</f>
        <v>2026</v>
      </c>
      <c r="I227" s="84" t="s">
        <v>602</v>
      </c>
      <c r="J227" s="69"/>
    </row>
    <row r="228" spans="1:10" ht="40.799999999999997" x14ac:dyDescent="0.3">
      <c r="A228" s="84">
        <v>227</v>
      </c>
      <c r="B228" s="84" t="s">
        <v>855</v>
      </c>
      <c r="C228" s="84" t="s">
        <v>822</v>
      </c>
      <c r="D228" s="115" t="s">
        <v>856</v>
      </c>
      <c r="E228" s="85" t="s">
        <v>610</v>
      </c>
      <c r="F228" s="85">
        <v>46387</v>
      </c>
      <c r="G228" s="85" t="s">
        <v>625</v>
      </c>
      <c r="H228" s="85" t="str">
        <f>TEXT(Table7[[#This Row],[EXPIRY DATE]],"YYY")</f>
        <v>2026</v>
      </c>
      <c r="I228" s="84" t="s">
        <v>602</v>
      </c>
      <c r="J228" s="69"/>
    </row>
    <row r="229" spans="1:10" x14ac:dyDescent="0.3">
      <c r="A229" s="84">
        <v>228</v>
      </c>
      <c r="B229" s="84" t="s">
        <v>855</v>
      </c>
      <c r="C229" s="84" t="s">
        <v>822</v>
      </c>
      <c r="D229" s="115" t="s">
        <v>850</v>
      </c>
      <c r="E229" s="85" t="s">
        <v>610</v>
      </c>
      <c r="F229" s="85">
        <v>46387</v>
      </c>
      <c r="G229" s="85" t="s">
        <v>625</v>
      </c>
      <c r="H229" s="85" t="str">
        <f>TEXT(Table7[[#This Row],[EXPIRY DATE]],"YYY")</f>
        <v>2026</v>
      </c>
      <c r="I229" s="84" t="s">
        <v>602</v>
      </c>
      <c r="J229" s="69"/>
    </row>
    <row r="230" spans="1:10" x14ac:dyDescent="0.3">
      <c r="A230" s="84">
        <v>229</v>
      </c>
      <c r="B230" s="84" t="s">
        <v>857</v>
      </c>
      <c r="C230" s="84" t="s">
        <v>822</v>
      </c>
      <c r="D230" s="115" t="s">
        <v>858</v>
      </c>
      <c r="E230" s="85" t="s">
        <v>616</v>
      </c>
      <c r="F230" s="85">
        <v>46432</v>
      </c>
      <c r="G230" s="85" t="str">
        <f>TEXT(Table7[[#This Row],[EXPIRY DATE]],"MMM")</f>
        <v>Feb</v>
      </c>
      <c r="H230" s="85" t="str">
        <f>TEXT(Table7[[#This Row],[EXPIRY DATE]],"YYY")</f>
        <v>2027</v>
      </c>
      <c r="I230" s="84" t="s">
        <v>839</v>
      </c>
      <c r="J230" s="69"/>
    </row>
    <row r="231" spans="1:10" ht="20.399999999999999" x14ac:dyDescent="0.3">
      <c r="A231" s="84">
        <v>230</v>
      </c>
      <c r="B231" s="84" t="s">
        <v>859</v>
      </c>
      <c r="C231" s="84" t="s">
        <v>822</v>
      </c>
      <c r="D231" s="115" t="s">
        <v>860</v>
      </c>
      <c r="E231" s="85" t="s">
        <v>616</v>
      </c>
      <c r="F231" s="85">
        <v>46452</v>
      </c>
      <c r="G231" s="85" t="s">
        <v>861</v>
      </c>
      <c r="H231" s="85" t="str">
        <f>TEXT(Table7[[#This Row],[EXPIRY DATE]],"YYY")</f>
        <v>2027</v>
      </c>
      <c r="I231" s="84" t="s">
        <v>791</v>
      </c>
      <c r="J231" s="69"/>
    </row>
    <row r="232" spans="1:10" ht="20.399999999999999" x14ac:dyDescent="0.3">
      <c r="A232" s="84">
        <v>231</v>
      </c>
      <c r="B232" s="84" t="s">
        <v>862</v>
      </c>
      <c r="C232" s="84" t="s">
        <v>822</v>
      </c>
      <c r="D232" s="115" t="s">
        <v>863</v>
      </c>
      <c r="E232" s="85" t="s">
        <v>717</v>
      </c>
      <c r="F232" s="85">
        <v>46503</v>
      </c>
      <c r="G232" s="85" t="s">
        <v>864</v>
      </c>
      <c r="H232" s="85" t="str">
        <f>TEXT(Table7[[#This Row],[EXPIRY DATE]],"YYY")</f>
        <v>2027</v>
      </c>
      <c r="I232" s="84" t="s">
        <v>791</v>
      </c>
      <c r="J232" s="69"/>
    </row>
    <row r="233" spans="1:10" ht="30.6" x14ac:dyDescent="0.3">
      <c r="A233" s="84">
        <v>232</v>
      </c>
      <c r="B233" s="84" t="s">
        <v>865</v>
      </c>
      <c r="C233" s="84" t="s">
        <v>822</v>
      </c>
      <c r="D233" s="115" t="s">
        <v>866</v>
      </c>
      <c r="E233" s="85" t="s">
        <v>867</v>
      </c>
      <c r="F233" s="85">
        <v>46580</v>
      </c>
      <c r="G233" s="85" t="s">
        <v>619</v>
      </c>
      <c r="H233" s="85" t="str">
        <f>TEXT(Table7[[#This Row],[EXPIRY DATE]],"YYY")</f>
        <v>2027</v>
      </c>
      <c r="I233" s="84" t="s">
        <v>791</v>
      </c>
      <c r="J233" s="69"/>
    </row>
    <row r="234" spans="1:10" x14ac:dyDescent="0.3">
      <c r="A234" s="84">
        <v>233</v>
      </c>
      <c r="B234" s="84" t="s">
        <v>868</v>
      </c>
      <c r="C234" s="84" t="s">
        <v>822</v>
      </c>
      <c r="D234" s="115" t="s">
        <v>844</v>
      </c>
      <c r="E234" s="85" t="s">
        <v>601</v>
      </c>
      <c r="F234" s="85">
        <v>46600</v>
      </c>
      <c r="G234" s="85" t="str">
        <f>TEXT(Table7[[#This Row],[EXPIRY DATE]],"MMM")</f>
        <v>Aug</v>
      </c>
      <c r="H234" s="85" t="str">
        <f>TEXT(Table7[[#This Row],[EXPIRY DATE]],"YYY")</f>
        <v>2027</v>
      </c>
      <c r="I234" s="84" t="s">
        <v>791</v>
      </c>
      <c r="J234" s="69"/>
    </row>
    <row r="235" spans="1:10" ht="30.6" x14ac:dyDescent="0.3">
      <c r="A235" s="84">
        <v>234</v>
      </c>
      <c r="B235" s="84" t="s">
        <v>869</v>
      </c>
      <c r="C235" s="84" t="s">
        <v>822</v>
      </c>
      <c r="D235" s="115" t="s">
        <v>870</v>
      </c>
      <c r="E235" s="85" t="s">
        <v>867</v>
      </c>
      <c r="F235" s="85">
        <v>46721</v>
      </c>
      <c r="G235" s="85" t="s">
        <v>842</v>
      </c>
      <c r="H235" s="85" t="str">
        <f>TEXT(Table7[[#This Row],[EXPIRY DATE]],"YYY")</f>
        <v>2027</v>
      </c>
      <c r="I235" s="84" t="s">
        <v>791</v>
      </c>
      <c r="J235" s="69"/>
    </row>
    <row r="236" spans="1:10" x14ac:dyDescent="0.3">
      <c r="A236" s="84">
        <v>235</v>
      </c>
      <c r="B236" s="84" t="s">
        <v>832</v>
      </c>
      <c r="C236" s="84" t="s">
        <v>822</v>
      </c>
      <c r="D236" s="115" t="s">
        <v>871</v>
      </c>
      <c r="E236" s="85" t="s">
        <v>590</v>
      </c>
      <c r="F236" s="85">
        <v>46721</v>
      </c>
      <c r="G236" s="85" t="s">
        <v>842</v>
      </c>
      <c r="H236" s="85" t="str">
        <f>TEXT(Table7[[#This Row],[EXPIRY DATE]],"YYY")</f>
        <v>2027</v>
      </c>
      <c r="I236" s="84" t="s">
        <v>791</v>
      </c>
      <c r="J236" s="69"/>
    </row>
    <row r="237" spans="1:10" ht="20.399999999999999" x14ac:dyDescent="0.3">
      <c r="A237" s="84">
        <v>236</v>
      </c>
      <c r="B237" s="84" t="s">
        <v>824</v>
      </c>
      <c r="C237" s="84" t="s">
        <v>822</v>
      </c>
      <c r="D237" s="115" t="s">
        <v>872</v>
      </c>
      <c r="E237" s="85" t="s">
        <v>867</v>
      </c>
      <c r="F237" s="85">
        <v>46752</v>
      </c>
      <c r="G237" s="85" t="s">
        <v>625</v>
      </c>
      <c r="H237" s="85" t="str">
        <f>TEXT(Table7[[#This Row],[EXPIRY DATE]],"YYY")</f>
        <v>2027</v>
      </c>
      <c r="I237" s="84" t="s">
        <v>602</v>
      </c>
      <c r="J237" s="69"/>
    </row>
    <row r="238" spans="1:10" x14ac:dyDescent="0.3">
      <c r="A238" s="84">
        <v>237</v>
      </c>
      <c r="B238" s="84" t="s">
        <v>824</v>
      </c>
      <c r="C238" s="84" t="s">
        <v>822</v>
      </c>
      <c r="D238" s="115" t="s">
        <v>873</v>
      </c>
      <c r="E238" s="85" t="s">
        <v>590</v>
      </c>
      <c r="F238" s="85">
        <v>46752</v>
      </c>
      <c r="G238" s="85" t="s">
        <v>625</v>
      </c>
      <c r="H238" s="85" t="str">
        <f>TEXT(Table7[[#This Row],[EXPIRY DATE]],"YYY")</f>
        <v>2027</v>
      </c>
      <c r="I238" s="84" t="s">
        <v>602</v>
      </c>
      <c r="J238" s="69"/>
    </row>
    <row r="239" spans="1:10" ht="20.399999999999999" x14ac:dyDescent="0.3">
      <c r="A239" s="84">
        <v>238</v>
      </c>
      <c r="B239" s="84" t="s">
        <v>826</v>
      </c>
      <c r="C239" s="84" t="s">
        <v>822</v>
      </c>
      <c r="D239" s="115" t="s">
        <v>874</v>
      </c>
      <c r="E239" s="85" t="s">
        <v>590</v>
      </c>
      <c r="F239" s="85">
        <v>46752</v>
      </c>
      <c r="G239" s="85" t="s">
        <v>625</v>
      </c>
      <c r="H239" s="85" t="str">
        <f>TEXT(Table7[[#This Row],[EXPIRY DATE]],"YYY")</f>
        <v>2027</v>
      </c>
      <c r="I239" s="84" t="s">
        <v>602</v>
      </c>
      <c r="J239" s="69"/>
    </row>
    <row r="240" spans="1:10" ht="20.399999999999999" x14ac:dyDescent="0.3">
      <c r="A240" s="84">
        <v>239</v>
      </c>
      <c r="B240" s="84" t="s">
        <v>828</v>
      </c>
      <c r="C240" s="84" t="s">
        <v>822</v>
      </c>
      <c r="D240" s="115" t="s">
        <v>875</v>
      </c>
      <c r="E240" s="85" t="s">
        <v>867</v>
      </c>
      <c r="F240" s="85">
        <v>46752</v>
      </c>
      <c r="G240" s="85" t="s">
        <v>625</v>
      </c>
      <c r="H240" s="85" t="str">
        <f>TEXT(Table7[[#This Row],[EXPIRY DATE]],"YYY")</f>
        <v>2027</v>
      </c>
      <c r="I240" s="84" t="s">
        <v>602</v>
      </c>
      <c r="J240" s="69"/>
    </row>
    <row r="241" spans="1:10" x14ac:dyDescent="0.3">
      <c r="A241" s="84">
        <v>240</v>
      </c>
      <c r="B241" s="84" t="s">
        <v>828</v>
      </c>
      <c r="C241" s="84" t="s">
        <v>822</v>
      </c>
      <c r="D241" s="115" t="s">
        <v>876</v>
      </c>
      <c r="E241" s="85" t="s">
        <v>590</v>
      </c>
      <c r="F241" s="85">
        <v>46752</v>
      </c>
      <c r="G241" s="85" t="s">
        <v>625</v>
      </c>
      <c r="H241" s="85" t="str">
        <f>TEXT(Table7[[#This Row],[EXPIRY DATE]],"YYY")</f>
        <v>2027</v>
      </c>
      <c r="I241" s="84" t="s">
        <v>602</v>
      </c>
      <c r="J241" s="69"/>
    </row>
    <row r="242" spans="1:10" ht="20.399999999999999" x14ac:dyDescent="0.3">
      <c r="A242" s="84">
        <v>241</v>
      </c>
      <c r="B242" s="84" t="s">
        <v>830</v>
      </c>
      <c r="C242" s="84" t="s">
        <v>822</v>
      </c>
      <c r="D242" s="115" t="s">
        <v>877</v>
      </c>
      <c r="E242" s="85" t="s">
        <v>867</v>
      </c>
      <c r="F242" s="85">
        <v>46752</v>
      </c>
      <c r="G242" s="85" t="s">
        <v>625</v>
      </c>
      <c r="H242" s="85" t="str">
        <f>TEXT(Table7[[#This Row],[EXPIRY DATE]],"YYY")</f>
        <v>2027</v>
      </c>
      <c r="I242" s="84" t="s">
        <v>602</v>
      </c>
      <c r="J242" s="69"/>
    </row>
    <row r="243" spans="1:10" ht="20.399999999999999" x14ac:dyDescent="0.3">
      <c r="A243" s="84">
        <v>242</v>
      </c>
      <c r="B243" s="84" t="s">
        <v>830</v>
      </c>
      <c r="C243" s="84" t="s">
        <v>822</v>
      </c>
      <c r="D243" s="115" t="s">
        <v>878</v>
      </c>
      <c r="E243" s="85" t="s">
        <v>590</v>
      </c>
      <c r="F243" s="85">
        <v>46752</v>
      </c>
      <c r="G243" s="85" t="s">
        <v>625</v>
      </c>
      <c r="H243" s="85" t="str">
        <f>TEXT(Table7[[#This Row],[EXPIRY DATE]],"YYY")</f>
        <v>2027</v>
      </c>
      <c r="I243" s="84" t="s">
        <v>602</v>
      </c>
      <c r="J243" s="69"/>
    </row>
    <row r="244" spans="1:10" ht="20.399999999999999" x14ac:dyDescent="0.3">
      <c r="A244" s="84">
        <v>243</v>
      </c>
      <c r="B244" s="84" t="s">
        <v>879</v>
      </c>
      <c r="C244" s="84" t="s">
        <v>822</v>
      </c>
      <c r="D244" s="115" t="s">
        <v>880</v>
      </c>
      <c r="E244" s="85" t="s">
        <v>590</v>
      </c>
      <c r="F244" s="85">
        <v>46752</v>
      </c>
      <c r="G244" s="85" t="s">
        <v>625</v>
      </c>
      <c r="H244" s="85" t="str">
        <f>TEXT(Table7[[#This Row],[EXPIRY DATE]],"YYY")</f>
        <v>2027</v>
      </c>
      <c r="I244" s="84" t="s">
        <v>602</v>
      </c>
      <c r="J244" s="69"/>
    </row>
    <row r="245" spans="1:10" ht="20.399999999999999" x14ac:dyDescent="0.3">
      <c r="A245" s="84">
        <v>244</v>
      </c>
      <c r="B245" s="84" t="s">
        <v>881</v>
      </c>
      <c r="C245" s="84" t="s">
        <v>822</v>
      </c>
      <c r="D245" s="115" t="s">
        <v>882</v>
      </c>
      <c r="E245" s="85" t="s">
        <v>717</v>
      </c>
      <c r="F245" s="85">
        <v>47079</v>
      </c>
      <c r="G245" s="85" t="s">
        <v>842</v>
      </c>
      <c r="H245" s="85" t="str">
        <f>TEXT(Table7[[#This Row],[EXPIRY DATE]],"YYY")</f>
        <v>2028</v>
      </c>
      <c r="I245" s="84" t="s">
        <v>791</v>
      </c>
      <c r="J245" s="69"/>
    </row>
    <row r="246" spans="1:10" x14ac:dyDescent="0.3">
      <c r="A246" s="84">
        <v>245</v>
      </c>
      <c r="B246" s="100" t="s">
        <v>883</v>
      </c>
      <c r="C246" s="100" t="s">
        <v>822</v>
      </c>
      <c r="D246" s="121" t="s">
        <v>884</v>
      </c>
      <c r="E246" s="101" t="s">
        <v>885</v>
      </c>
      <c r="F246" s="101">
        <v>47118</v>
      </c>
      <c r="G246" s="101" t="str">
        <f>TEXT(Table7[[#This Row],[EXPIRY DATE]],"MMM")</f>
        <v>Dec</v>
      </c>
      <c r="H246" s="101" t="str">
        <f>TEXT(Table7[[#This Row],[EXPIRY DATE]],"YYY")</f>
        <v>2028</v>
      </c>
      <c r="I246" s="100" t="s">
        <v>607</v>
      </c>
      <c r="J246" s="74"/>
    </row>
    <row r="247" spans="1:10" ht="20.399999999999999" x14ac:dyDescent="0.3">
      <c r="A247" s="84">
        <v>246</v>
      </c>
      <c r="B247" s="84" t="s">
        <v>826</v>
      </c>
      <c r="C247" s="84" t="s">
        <v>822</v>
      </c>
      <c r="D247" s="115" t="s">
        <v>886</v>
      </c>
      <c r="E247" s="85" t="s">
        <v>867</v>
      </c>
      <c r="F247" s="85">
        <v>47177</v>
      </c>
      <c r="G247" s="85" t="s">
        <v>887</v>
      </c>
      <c r="H247" s="85" t="str">
        <f>TEXT(Table7[[#This Row],[EXPIRY DATE]],"YYY")</f>
        <v>2029</v>
      </c>
      <c r="I247" s="84" t="s">
        <v>791</v>
      </c>
      <c r="J247" s="69"/>
    </row>
    <row r="248" spans="1:10" x14ac:dyDescent="0.3">
      <c r="A248" s="84">
        <v>247</v>
      </c>
      <c r="B248" s="84" t="s">
        <v>826</v>
      </c>
      <c r="C248" s="84" t="s">
        <v>822</v>
      </c>
      <c r="D248" s="115" t="s">
        <v>888</v>
      </c>
      <c r="E248" s="85" t="s">
        <v>590</v>
      </c>
      <c r="F248" s="85">
        <v>47177</v>
      </c>
      <c r="G248" s="85" t="s">
        <v>887</v>
      </c>
      <c r="H248" s="85" t="str">
        <f>TEXT(Table7[[#This Row],[EXPIRY DATE]],"YYY")</f>
        <v>2029</v>
      </c>
      <c r="I248" s="84" t="s">
        <v>791</v>
      </c>
      <c r="J248" s="69"/>
    </row>
    <row r="249" spans="1:10" x14ac:dyDescent="0.3">
      <c r="A249" s="84">
        <v>248</v>
      </c>
      <c r="B249" s="84" t="s">
        <v>883</v>
      </c>
      <c r="C249" s="84" t="s">
        <v>822</v>
      </c>
      <c r="D249" s="115" t="s">
        <v>884</v>
      </c>
      <c r="E249" s="85" t="s">
        <v>885</v>
      </c>
      <c r="F249" s="85">
        <v>47203</v>
      </c>
      <c r="G249" s="85" t="str">
        <f>TEXT(Table7[[#This Row],[EXPIRY DATE]],"MMM")</f>
        <v>Mar</v>
      </c>
      <c r="H249" s="85" t="str">
        <f>TEXT(Table7[[#This Row],[EXPIRY DATE]],"YYY")</f>
        <v>2029</v>
      </c>
      <c r="I249" s="84" t="s">
        <v>791</v>
      </c>
      <c r="J249" s="69"/>
    </row>
    <row r="250" spans="1:10" x14ac:dyDescent="0.3">
      <c r="A250" s="84">
        <v>249</v>
      </c>
      <c r="B250" s="84" t="s">
        <v>889</v>
      </c>
      <c r="C250" s="84" t="s">
        <v>822</v>
      </c>
      <c r="D250" s="115" t="s">
        <v>890</v>
      </c>
      <c r="E250" s="85" t="s">
        <v>616</v>
      </c>
      <c r="F250" s="85">
        <v>47206</v>
      </c>
      <c r="G250" s="85" t="s">
        <v>606</v>
      </c>
      <c r="H250" s="85" t="str">
        <f>TEXT(Table7[[#This Row],[EXPIRY DATE]],"YYY")</f>
        <v>2029</v>
      </c>
      <c r="I250" s="84" t="s">
        <v>791</v>
      </c>
      <c r="J250" s="69"/>
    </row>
    <row r="251" spans="1:10" ht="20.399999999999999" x14ac:dyDescent="0.3">
      <c r="A251" s="84">
        <v>250</v>
      </c>
      <c r="B251" s="84" t="s">
        <v>891</v>
      </c>
      <c r="C251" s="84" t="s">
        <v>822</v>
      </c>
      <c r="D251" s="115" t="s">
        <v>892</v>
      </c>
      <c r="E251" s="85" t="s">
        <v>717</v>
      </c>
      <c r="F251" s="85">
        <v>47249</v>
      </c>
      <c r="G251" s="85" t="s">
        <v>838</v>
      </c>
      <c r="H251" s="85" t="str">
        <f>TEXT(Table7[[#This Row],[EXPIRY DATE]],"YYY")</f>
        <v>2029</v>
      </c>
      <c r="I251" s="84" t="s">
        <v>791</v>
      </c>
      <c r="J251" s="69"/>
    </row>
    <row r="252" spans="1:10" x14ac:dyDescent="0.3">
      <c r="A252" s="84">
        <v>251</v>
      </c>
      <c r="B252" s="84" t="s">
        <v>893</v>
      </c>
      <c r="C252" s="84" t="s">
        <v>822</v>
      </c>
      <c r="D252" s="115" t="s">
        <v>894</v>
      </c>
      <c r="E252" s="85" t="s">
        <v>601</v>
      </c>
      <c r="F252" s="85">
        <v>47331</v>
      </c>
      <c r="G252" s="85" t="str">
        <f>TEXT(Table7[[#This Row],[EXPIRY DATE]],"MMM")</f>
        <v>Aug</v>
      </c>
      <c r="H252" s="85" t="str">
        <f>TEXT(Table7[[#This Row],[EXPIRY DATE]],"YYY")</f>
        <v>2029</v>
      </c>
      <c r="I252" s="84" t="s">
        <v>791</v>
      </c>
      <c r="J252" s="69"/>
    </row>
    <row r="253" spans="1:10" ht="20.399999999999999" x14ac:dyDescent="0.3">
      <c r="A253" s="84">
        <v>252</v>
      </c>
      <c r="B253" s="84" t="s">
        <v>895</v>
      </c>
      <c r="C253" s="84" t="s">
        <v>822</v>
      </c>
      <c r="D253" s="115" t="s">
        <v>896</v>
      </c>
      <c r="E253" s="85" t="s">
        <v>616</v>
      </c>
      <c r="F253" s="85">
        <v>47349</v>
      </c>
      <c r="G253" s="85" t="s">
        <v>897</v>
      </c>
      <c r="H253" s="85" t="str">
        <f>TEXT(Table7[[#This Row],[EXPIRY DATE]],"YYY")</f>
        <v>2029</v>
      </c>
      <c r="I253" s="84" t="s">
        <v>791</v>
      </c>
      <c r="J253" s="69"/>
    </row>
    <row r="254" spans="1:10" ht="30.6" x14ac:dyDescent="0.3">
      <c r="A254" s="84">
        <v>253</v>
      </c>
      <c r="B254" s="84" t="s">
        <v>898</v>
      </c>
      <c r="C254" s="84" t="s">
        <v>822</v>
      </c>
      <c r="D254" s="115" t="s">
        <v>899</v>
      </c>
      <c r="E254" s="85" t="s">
        <v>616</v>
      </c>
      <c r="F254" s="85">
        <v>47377</v>
      </c>
      <c r="G254" s="85" t="s">
        <v>625</v>
      </c>
      <c r="H254" s="85" t="str">
        <f>TEXT(Table7[[#This Row],[EXPIRY DATE]],"YYY")</f>
        <v>2029</v>
      </c>
      <c r="I254" s="84" t="s">
        <v>791</v>
      </c>
      <c r="J254" s="69"/>
    </row>
    <row r="255" spans="1:10" x14ac:dyDescent="0.3">
      <c r="A255" s="84">
        <v>254</v>
      </c>
      <c r="B255" s="84" t="s">
        <v>824</v>
      </c>
      <c r="C255" s="84" t="s">
        <v>822</v>
      </c>
      <c r="D255" s="115" t="s">
        <v>900</v>
      </c>
      <c r="E255" s="85" t="s">
        <v>867</v>
      </c>
      <c r="F255" s="85">
        <v>47396</v>
      </c>
      <c r="G255" s="85" t="s">
        <v>901</v>
      </c>
      <c r="H255" s="85" t="str">
        <f>TEXT(Table7[[#This Row],[EXPIRY DATE]],"YYY")</f>
        <v>2029</v>
      </c>
      <c r="I255" s="84" t="s">
        <v>791</v>
      </c>
      <c r="J255" s="69"/>
    </row>
    <row r="256" spans="1:10" x14ac:dyDescent="0.3">
      <c r="A256" s="84">
        <v>255</v>
      </c>
      <c r="B256" s="84" t="s">
        <v>824</v>
      </c>
      <c r="C256" s="84" t="s">
        <v>822</v>
      </c>
      <c r="D256" s="115" t="s">
        <v>902</v>
      </c>
      <c r="E256" s="85" t="s">
        <v>590</v>
      </c>
      <c r="F256" s="85">
        <v>47396</v>
      </c>
      <c r="G256" s="85" t="s">
        <v>901</v>
      </c>
      <c r="H256" s="85" t="str">
        <f>TEXT(Table7[[#This Row],[EXPIRY DATE]],"YYY")</f>
        <v>2029</v>
      </c>
      <c r="I256" s="84" t="s">
        <v>791</v>
      </c>
      <c r="J256" s="69"/>
    </row>
    <row r="257" spans="1:10" ht="20.399999999999999" x14ac:dyDescent="0.3">
      <c r="A257" s="84">
        <v>256</v>
      </c>
      <c r="B257" s="84" t="s">
        <v>903</v>
      </c>
      <c r="C257" s="84" t="s">
        <v>822</v>
      </c>
      <c r="D257" s="115" t="s">
        <v>904</v>
      </c>
      <c r="E257" s="85" t="s">
        <v>667</v>
      </c>
      <c r="F257" s="85">
        <v>47398</v>
      </c>
      <c r="G257" s="85" t="s">
        <v>901</v>
      </c>
      <c r="H257" s="85" t="str">
        <f>TEXT(Table7[[#This Row],[EXPIRY DATE]],"YYY")</f>
        <v>2029</v>
      </c>
      <c r="I257" s="84" t="s">
        <v>791</v>
      </c>
      <c r="J257" s="69"/>
    </row>
    <row r="258" spans="1:10" ht="30.6" x14ac:dyDescent="0.3">
      <c r="A258" s="84">
        <v>257</v>
      </c>
      <c r="B258" s="84" t="s">
        <v>828</v>
      </c>
      <c r="C258" s="84" t="s">
        <v>822</v>
      </c>
      <c r="D258" s="115" t="s">
        <v>905</v>
      </c>
      <c r="E258" s="85" t="s">
        <v>867</v>
      </c>
      <c r="F258" s="85">
        <v>47401</v>
      </c>
      <c r="G258" s="85" t="s">
        <v>901</v>
      </c>
      <c r="H258" s="85" t="str">
        <f>TEXT(Table7[[#This Row],[EXPIRY DATE]],"YYY")</f>
        <v>2029</v>
      </c>
      <c r="I258" s="84" t="s">
        <v>791</v>
      </c>
      <c r="J258" s="69"/>
    </row>
    <row r="259" spans="1:10" x14ac:dyDescent="0.3">
      <c r="A259" s="84">
        <v>258</v>
      </c>
      <c r="B259" s="84" t="s">
        <v>828</v>
      </c>
      <c r="C259" s="84" t="s">
        <v>822</v>
      </c>
      <c r="D259" s="115" t="s">
        <v>906</v>
      </c>
      <c r="E259" s="85" t="s">
        <v>590</v>
      </c>
      <c r="F259" s="85">
        <v>47401</v>
      </c>
      <c r="G259" s="85" t="s">
        <v>901</v>
      </c>
      <c r="H259" s="85" t="str">
        <f>TEXT(Table7[[#This Row],[EXPIRY DATE]],"YYY")</f>
        <v>2029</v>
      </c>
      <c r="I259" s="84" t="s">
        <v>791</v>
      </c>
      <c r="J259" s="69"/>
    </row>
    <row r="260" spans="1:10" ht="30.6" x14ac:dyDescent="0.3">
      <c r="A260" s="84">
        <v>259</v>
      </c>
      <c r="B260" s="84" t="s">
        <v>830</v>
      </c>
      <c r="C260" s="84" t="s">
        <v>822</v>
      </c>
      <c r="D260" s="115" t="s">
        <v>907</v>
      </c>
      <c r="E260" s="85" t="s">
        <v>867</v>
      </c>
      <c r="F260" s="85">
        <v>47416</v>
      </c>
      <c r="G260" s="85" t="s">
        <v>901</v>
      </c>
      <c r="H260" s="85" t="str">
        <f>TEXT(Table7[[#This Row],[EXPIRY DATE]],"YYY")</f>
        <v>2029</v>
      </c>
      <c r="I260" s="84" t="s">
        <v>791</v>
      </c>
      <c r="J260" s="69"/>
    </row>
    <row r="261" spans="1:10" x14ac:dyDescent="0.3">
      <c r="A261" s="84">
        <v>260</v>
      </c>
      <c r="B261" s="84" t="s">
        <v>830</v>
      </c>
      <c r="C261" s="84" t="s">
        <v>822</v>
      </c>
      <c r="D261" s="115" t="s">
        <v>908</v>
      </c>
      <c r="E261" s="85" t="s">
        <v>590</v>
      </c>
      <c r="F261" s="85">
        <v>47416</v>
      </c>
      <c r="G261" s="85" t="s">
        <v>901</v>
      </c>
      <c r="H261" s="85" t="str">
        <f>TEXT(Table7[[#This Row],[EXPIRY DATE]],"YYY")</f>
        <v>2029</v>
      </c>
      <c r="I261" s="84" t="s">
        <v>791</v>
      </c>
      <c r="J261" s="69"/>
    </row>
    <row r="262" spans="1:10" ht="20.399999999999999" x14ac:dyDescent="0.3">
      <c r="A262" s="84">
        <v>261</v>
      </c>
      <c r="B262" s="84" t="s">
        <v>834</v>
      </c>
      <c r="C262" s="84" t="s">
        <v>822</v>
      </c>
      <c r="D262" s="115" t="s">
        <v>909</v>
      </c>
      <c r="E262" s="85" t="s">
        <v>590</v>
      </c>
      <c r="F262" s="85">
        <v>47416</v>
      </c>
      <c r="G262" s="85" t="s">
        <v>901</v>
      </c>
      <c r="H262" s="85" t="str">
        <f>TEXT(Table7[[#This Row],[EXPIRY DATE]],"YYY")</f>
        <v>2029</v>
      </c>
      <c r="I262" s="84" t="s">
        <v>791</v>
      </c>
      <c r="J262" s="69"/>
    </row>
    <row r="263" spans="1:10" x14ac:dyDescent="0.3">
      <c r="A263" s="84">
        <v>262</v>
      </c>
      <c r="B263" s="84" t="s">
        <v>910</v>
      </c>
      <c r="C263" s="84" t="s">
        <v>822</v>
      </c>
      <c r="D263" s="115" t="s">
        <v>911</v>
      </c>
      <c r="E263" s="85" t="s">
        <v>802</v>
      </c>
      <c r="F263" s="85">
        <v>47450</v>
      </c>
      <c r="G263" s="85" t="str">
        <f>TEXT(Table7[[#This Row],[EXPIRY DATE]],"MMM")</f>
        <v>Nov</v>
      </c>
      <c r="H263" s="85" t="str">
        <f>TEXT(Table7[[#This Row],[EXPIRY DATE]],"YYY")</f>
        <v>2029</v>
      </c>
      <c r="I263" s="84" t="s">
        <v>791</v>
      </c>
      <c r="J263" s="69"/>
    </row>
    <row r="264" spans="1:10" x14ac:dyDescent="0.3">
      <c r="A264" s="84">
        <v>263</v>
      </c>
      <c r="B264" s="84" t="s">
        <v>910</v>
      </c>
      <c r="C264" s="84" t="s">
        <v>822</v>
      </c>
      <c r="D264" s="115" t="s">
        <v>911</v>
      </c>
      <c r="E264" s="85" t="s">
        <v>802</v>
      </c>
      <c r="F264" s="85">
        <v>47483</v>
      </c>
      <c r="G264" s="85" t="str">
        <f>TEXT(Table7[[#This Row],[EXPIRY DATE]],"MMM")</f>
        <v>Dec</v>
      </c>
      <c r="H264" s="85" t="str">
        <f>TEXT(Table7[[#This Row],[EXPIRY DATE]],"YYY")</f>
        <v>2029</v>
      </c>
      <c r="I264" s="84" t="s">
        <v>607</v>
      </c>
      <c r="J264" s="69"/>
    </row>
    <row r="265" spans="1:10" ht="20.399999999999999" x14ac:dyDescent="0.3">
      <c r="A265" s="84">
        <v>264</v>
      </c>
      <c r="B265" s="84" t="s">
        <v>912</v>
      </c>
      <c r="C265" s="84" t="s">
        <v>822</v>
      </c>
      <c r="D265" s="115" t="s">
        <v>913</v>
      </c>
      <c r="E265" s="85" t="s">
        <v>717</v>
      </c>
      <c r="F265" s="85">
        <v>47744</v>
      </c>
      <c r="G265" s="85" t="s">
        <v>591</v>
      </c>
      <c r="H265" s="85" t="str">
        <f>TEXT(Table7[[#This Row],[EXPIRY DATE]],"YYY")</f>
        <v>2030</v>
      </c>
      <c r="I265" s="84" t="s">
        <v>791</v>
      </c>
      <c r="J265" s="69"/>
    </row>
    <row r="266" spans="1:10" x14ac:dyDescent="0.3">
      <c r="A266" s="84">
        <v>265</v>
      </c>
      <c r="B266" s="84" t="s">
        <v>481</v>
      </c>
      <c r="C266" s="84" t="s">
        <v>822</v>
      </c>
      <c r="D266" s="115" t="s">
        <v>914</v>
      </c>
      <c r="E266" s="85" t="s">
        <v>616</v>
      </c>
      <c r="F266" s="85">
        <v>47778</v>
      </c>
      <c r="G266" s="85" t="str">
        <f>TEXT(Table7[[#This Row],[EXPIRY DATE]],"MMM")</f>
        <v>Oct</v>
      </c>
      <c r="H266" s="85" t="str">
        <f>TEXT(Table7[[#This Row],[EXPIRY DATE]],"YYY")</f>
        <v>2030</v>
      </c>
      <c r="I266" s="84" t="s">
        <v>791</v>
      </c>
      <c r="J266" s="69"/>
    </row>
    <row r="267" spans="1:10" x14ac:dyDescent="0.3">
      <c r="A267" s="84">
        <v>266</v>
      </c>
      <c r="B267" s="84" t="s">
        <v>910</v>
      </c>
      <c r="C267" s="84" t="s">
        <v>822</v>
      </c>
      <c r="D267" s="115" t="s">
        <v>911</v>
      </c>
      <c r="E267" s="85" t="s">
        <v>802</v>
      </c>
      <c r="F267" s="85" t="s">
        <v>629</v>
      </c>
      <c r="G267" s="85" t="str">
        <f>TEXT(Table7[[#This Row],[EXPIRY DATE]],"MMM")</f>
        <v>LIFETIME</v>
      </c>
      <c r="H267" s="85" t="str">
        <f>TEXT(Table7[[#This Row],[EXPIRY DATE]],"YYY")</f>
        <v>LIFETIME</v>
      </c>
      <c r="I267" s="84" t="s">
        <v>602</v>
      </c>
      <c r="J267" s="69"/>
    </row>
    <row r="268" spans="1:10" x14ac:dyDescent="0.3">
      <c r="A268" s="84">
        <v>267</v>
      </c>
      <c r="B268" s="84" t="s">
        <v>910</v>
      </c>
      <c r="C268" s="84" t="s">
        <v>822</v>
      </c>
      <c r="D268" s="115" t="s">
        <v>911</v>
      </c>
      <c r="E268" s="85" t="s">
        <v>802</v>
      </c>
      <c r="F268" s="85" t="s">
        <v>915</v>
      </c>
      <c r="G268" s="85" t="str">
        <f>TEXT(Table7[[#This Row],[EXPIRY DATE]],"MMM")</f>
        <v>DONE BY COMPANY</v>
      </c>
      <c r="H268" s="85" t="str">
        <f>TEXT(Table7[[#This Row],[EXPIRY DATE]],"YYY")</f>
        <v>DONE BY COMPANY</v>
      </c>
      <c r="I268" s="84" t="s">
        <v>916</v>
      </c>
      <c r="J268" s="69"/>
    </row>
    <row r="269" spans="1:10" x14ac:dyDescent="0.3">
      <c r="A269" s="84">
        <v>268</v>
      </c>
      <c r="B269" s="84" t="s">
        <v>917</v>
      </c>
      <c r="C269" s="84" t="s">
        <v>918</v>
      </c>
      <c r="D269" s="115" t="s">
        <v>919</v>
      </c>
      <c r="E269" s="85" t="s">
        <v>742</v>
      </c>
      <c r="F269" s="85">
        <v>46387</v>
      </c>
      <c r="G269" s="85" t="str">
        <f>TEXT(Table7[[#This Row],[EXPIRY DATE]],"MMM")</f>
        <v>Dec</v>
      </c>
      <c r="H269" s="85" t="str">
        <f>TEXT(Table7[[#This Row],[EXPIRY DATE]],"YYY")</f>
        <v>2026</v>
      </c>
      <c r="I269" s="84" t="s">
        <v>602</v>
      </c>
      <c r="J269" s="69"/>
    </row>
    <row r="270" spans="1:10" x14ac:dyDescent="0.3">
      <c r="A270" s="84">
        <v>269</v>
      </c>
      <c r="B270" s="84" t="s">
        <v>917</v>
      </c>
      <c r="C270" s="84" t="s">
        <v>918</v>
      </c>
      <c r="D270" s="115" t="s">
        <v>919</v>
      </c>
      <c r="E270" s="85" t="s">
        <v>742</v>
      </c>
      <c r="F270" s="85">
        <v>46447</v>
      </c>
      <c r="G270" s="85" t="str">
        <f>TEXT(Table7[[#This Row],[EXPIRY DATE]],"MMM")</f>
        <v>Mar</v>
      </c>
      <c r="H270" s="85" t="str">
        <f>TEXT(Table7[[#This Row],[EXPIRY DATE]],"YYY")</f>
        <v>2027</v>
      </c>
      <c r="I270" s="85" t="s">
        <v>791</v>
      </c>
      <c r="J270" s="69"/>
    </row>
    <row r="271" spans="1:10" x14ac:dyDescent="0.3">
      <c r="A271" s="84">
        <v>270</v>
      </c>
      <c r="B271" s="84" t="s">
        <v>920</v>
      </c>
      <c r="C271" s="84" t="s">
        <v>404</v>
      </c>
      <c r="D271" s="115" t="s">
        <v>921</v>
      </c>
      <c r="E271" s="85" t="s">
        <v>922</v>
      </c>
      <c r="F271" s="85">
        <v>45747</v>
      </c>
      <c r="G271" s="85" t="str">
        <f>TEXT(Table7[[#This Row],[EXPIRY DATE]],"MMM")</f>
        <v>Mar</v>
      </c>
      <c r="H271" s="85" t="str">
        <f>TEXT(Table7[[#This Row],[EXPIRY DATE]],"YYY")</f>
        <v>2025</v>
      </c>
      <c r="I271" s="84" t="s">
        <v>607</v>
      </c>
      <c r="J271" s="69"/>
    </row>
    <row r="272" spans="1:10" x14ac:dyDescent="0.3">
      <c r="A272" s="84">
        <v>271</v>
      </c>
      <c r="B272" s="84" t="s">
        <v>923</v>
      </c>
      <c r="C272" s="84" t="s">
        <v>404</v>
      </c>
      <c r="D272" s="115" t="s">
        <v>924</v>
      </c>
      <c r="E272" s="85" t="s">
        <v>925</v>
      </c>
      <c r="F272" s="85">
        <v>45930</v>
      </c>
      <c r="G272" s="85" t="s">
        <v>591</v>
      </c>
      <c r="H272" s="85" t="str">
        <f>TEXT(Table7[[#This Row],[EXPIRY DATE]],"YYY")</f>
        <v>2025</v>
      </c>
      <c r="I272" s="84" t="s">
        <v>926</v>
      </c>
      <c r="J272" s="69"/>
    </row>
    <row r="273" spans="1:10" x14ac:dyDescent="0.3">
      <c r="A273" s="84">
        <v>272</v>
      </c>
      <c r="B273" s="84" t="s">
        <v>927</v>
      </c>
      <c r="C273" s="84" t="s">
        <v>404</v>
      </c>
      <c r="D273" s="115" t="s">
        <v>928</v>
      </c>
      <c r="E273" s="85" t="s">
        <v>717</v>
      </c>
      <c r="F273" s="85">
        <v>45952</v>
      </c>
      <c r="G273" s="85" t="str">
        <f>TEXT(Table7[[#This Row],[EXPIRY DATE]],"MMM")</f>
        <v>Oct</v>
      </c>
      <c r="H273" s="85" t="str">
        <f>TEXT(Table7[[#This Row],[EXPIRY DATE]],"YYY")</f>
        <v>2025</v>
      </c>
      <c r="I273" s="84" t="s">
        <v>602</v>
      </c>
      <c r="J273" s="69"/>
    </row>
    <row r="274" spans="1:10" x14ac:dyDescent="0.3">
      <c r="A274" s="84">
        <v>273</v>
      </c>
      <c r="B274" s="84" t="s">
        <v>929</v>
      </c>
      <c r="C274" s="84" t="s">
        <v>404</v>
      </c>
      <c r="D274" s="115" t="s">
        <v>930</v>
      </c>
      <c r="E274" s="85" t="s">
        <v>931</v>
      </c>
      <c r="F274" s="85">
        <v>45976</v>
      </c>
      <c r="G274" s="85" t="s">
        <v>842</v>
      </c>
      <c r="H274" s="85" t="str">
        <f>TEXT(Table7[[#This Row],[EXPIRY DATE]],"YYY")</f>
        <v>2025</v>
      </c>
      <c r="I274" s="84" t="s">
        <v>621</v>
      </c>
      <c r="J274" s="69"/>
    </row>
    <row r="275" spans="1:10" x14ac:dyDescent="0.3">
      <c r="A275" s="84">
        <v>274</v>
      </c>
      <c r="B275" s="84" t="s">
        <v>923</v>
      </c>
      <c r="C275" s="84" t="s">
        <v>404</v>
      </c>
      <c r="D275" s="115" t="s">
        <v>924</v>
      </c>
      <c r="E275" s="85" t="s">
        <v>925</v>
      </c>
      <c r="F275" s="85">
        <v>46022</v>
      </c>
      <c r="G275" s="85" t="s">
        <v>625</v>
      </c>
      <c r="H275" s="85" t="str">
        <f>TEXT(Table7[[#This Row],[EXPIRY DATE]],"YYY")</f>
        <v>2025</v>
      </c>
      <c r="I275" s="84" t="s">
        <v>602</v>
      </c>
      <c r="J275" s="69"/>
    </row>
    <row r="276" spans="1:10" x14ac:dyDescent="0.3">
      <c r="A276" s="84">
        <v>275</v>
      </c>
      <c r="B276" s="84" t="s">
        <v>932</v>
      </c>
      <c r="C276" s="84" t="s">
        <v>404</v>
      </c>
      <c r="D276" s="115" t="s">
        <v>933</v>
      </c>
      <c r="E276" s="85" t="s">
        <v>717</v>
      </c>
      <c r="F276" s="85">
        <v>46037</v>
      </c>
      <c r="G276" s="85" t="str">
        <f>TEXT(Table7[[#This Row],[EXPIRY DATE]],"MMM")</f>
        <v>Jan</v>
      </c>
      <c r="H276" s="85" t="str">
        <f>TEXT(Table7[[#This Row],[EXPIRY DATE]],"YYY")</f>
        <v>2026</v>
      </c>
      <c r="I276" s="84" t="s">
        <v>602</v>
      </c>
      <c r="J276" s="69"/>
    </row>
    <row r="277" spans="1:10" x14ac:dyDescent="0.3">
      <c r="A277" s="84">
        <v>276</v>
      </c>
      <c r="B277" s="84" t="s">
        <v>934</v>
      </c>
      <c r="C277" s="84" t="s">
        <v>404</v>
      </c>
      <c r="D277" s="115" t="s">
        <v>935</v>
      </c>
      <c r="E277" s="85" t="s">
        <v>616</v>
      </c>
      <c r="F277" s="85">
        <v>46052</v>
      </c>
      <c r="G277" s="85" t="s">
        <v>936</v>
      </c>
      <c r="H277" s="85" t="str">
        <f>TEXT(Table7[[#This Row],[EXPIRY DATE]],"YYY")</f>
        <v>2026</v>
      </c>
      <c r="I277" s="84" t="s">
        <v>602</v>
      </c>
      <c r="J277" s="69"/>
    </row>
    <row r="278" spans="1:10" x14ac:dyDescent="0.3">
      <c r="A278" s="84">
        <v>277</v>
      </c>
      <c r="B278" s="84" t="s">
        <v>934</v>
      </c>
      <c r="C278" s="84" t="s">
        <v>404</v>
      </c>
      <c r="D278" s="115" t="s">
        <v>937</v>
      </c>
      <c r="E278" s="85" t="s">
        <v>616</v>
      </c>
      <c r="F278" s="85">
        <v>46084</v>
      </c>
      <c r="G278" s="85" t="s">
        <v>606</v>
      </c>
      <c r="H278" s="85" t="str">
        <f>TEXT(Table7[[#This Row],[EXPIRY DATE]],"YYY")</f>
        <v>2026</v>
      </c>
      <c r="I278" s="84" t="s">
        <v>621</v>
      </c>
      <c r="J278" s="69"/>
    </row>
    <row r="279" spans="1:10" x14ac:dyDescent="0.3">
      <c r="A279" s="84">
        <v>278</v>
      </c>
      <c r="B279" s="84" t="s">
        <v>934</v>
      </c>
      <c r="C279" s="84" t="s">
        <v>404</v>
      </c>
      <c r="D279" s="115" t="s">
        <v>938</v>
      </c>
      <c r="E279" s="85" t="s">
        <v>616</v>
      </c>
      <c r="F279" s="85">
        <v>46084</v>
      </c>
      <c r="G279" s="85" t="s">
        <v>606</v>
      </c>
      <c r="H279" s="85" t="str">
        <f>TEXT(Table7[[#This Row],[EXPIRY DATE]],"YYY")</f>
        <v>2026</v>
      </c>
      <c r="I279" s="84" t="s">
        <v>621</v>
      </c>
      <c r="J279" s="69"/>
    </row>
    <row r="280" spans="1:10" x14ac:dyDescent="0.3">
      <c r="A280" s="84">
        <v>279</v>
      </c>
      <c r="B280" s="84" t="s">
        <v>929</v>
      </c>
      <c r="C280" s="84" t="s">
        <v>404</v>
      </c>
      <c r="D280" s="115" t="s">
        <v>930</v>
      </c>
      <c r="E280" s="85" t="s">
        <v>931</v>
      </c>
      <c r="F280" s="85">
        <v>46112</v>
      </c>
      <c r="G280" s="85" t="str">
        <f>TEXT(Table7[[#This Row],[EXPIRY DATE]],"MMM")</f>
        <v>Mar</v>
      </c>
      <c r="H280" s="85" t="str">
        <f>TEXT(Table7[[#This Row],[EXPIRY DATE]],"YYY")</f>
        <v>2026</v>
      </c>
      <c r="I280" s="84" t="s">
        <v>602</v>
      </c>
      <c r="J280" s="69"/>
    </row>
    <row r="281" spans="1:10" x14ac:dyDescent="0.3">
      <c r="A281" s="84">
        <v>280</v>
      </c>
      <c r="B281" s="84" t="s">
        <v>929</v>
      </c>
      <c r="C281" s="84" t="s">
        <v>404</v>
      </c>
      <c r="D281" s="115" t="s">
        <v>930</v>
      </c>
      <c r="E281" s="85" t="s">
        <v>931</v>
      </c>
      <c r="F281" s="85">
        <v>46112</v>
      </c>
      <c r="G281" s="85" t="str">
        <f>TEXT(Table7[[#This Row],[EXPIRY DATE]],"MMM")</f>
        <v>Mar</v>
      </c>
      <c r="H281" s="85" t="str">
        <f>TEXT(Table7[[#This Row],[EXPIRY DATE]],"YYY")</f>
        <v>2026</v>
      </c>
      <c r="I281" s="84" t="s">
        <v>607</v>
      </c>
      <c r="J281" s="69"/>
    </row>
    <row r="282" spans="1:10" x14ac:dyDescent="0.3">
      <c r="A282" s="84">
        <v>281</v>
      </c>
      <c r="B282" s="84" t="s">
        <v>310</v>
      </c>
      <c r="C282" s="84" t="s">
        <v>404</v>
      </c>
      <c r="D282" s="115" t="s">
        <v>939</v>
      </c>
      <c r="E282" s="85" t="s">
        <v>717</v>
      </c>
      <c r="F282" s="85">
        <v>46112</v>
      </c>
      <c r="G282" s="85" t="str">
        <f>TEXT(Table7[[#This Row],[EXPIRY DATE]],"MMM")</f>
        <v>Mar</v>
      </c>
      <c r="H282" s="85" t="str">
        <f>TEXT(Table7[[#This Row],[EXPIRY DATE]],"YYY")</f>
        <v>2026</v>
      </c>
      <c r="I282" s="84" t="s">
        <v>602</v>
      </c>
      <c r="J282" s="69"/>
    </row>
    <row r="283" spans="1:10" x14ac:dyDescent="0.3">
      <c r="A283" s="84">
        <v>282</v>
      </c>
      <c r="B283" s="84" t="s">
        <v>940</v>
      </c>
      <c r="C283" s="84" t="s">
        <v>404</v>
      </c>
      <c r="D283" s="115" t="s">
        <v>941</v>
      </c>
      <c r="E283" s="85" t="s">
        <v>605</v>
      </c>
      <c r="F283" s="85">
        <v>46112</v>
      </c>
      <c r="G283" s="85" t="s">
        <v>606</v>
      </c>
      <c r="H283" s="85" t="str">
        <f>TEXT(Table7[[#This Row],[EXPIRY DATE]],"YYY")</f>
        <v>2026</v>
      </c>
      <c r="I283" s="84" t="s">
        <v>607</v>
      </c>
      <c r="J283" s="69"/>
    </row>
    <row r="284" spans="1:10" x14ac:dyDescent="0.3">
      <c r="A284" s="84">
        <v>283</v>
      </c>
      <c r="B284" s="84" t="s">
        <v>920</v>
      </c>
      <c r="C284" s="84" t="s">
        <v>404</v>
      </c>
      <c r="D284" s="115" t="s">
        <v>921</v>
      </c>
      <c r="E284" s="85" t="s">
        <v>922</v>
      </c>
      <c r="F284" s="85">
        <v>46112</v>
      </c>
      <c r="G284" s="85" t="str">
        <f>TEXT(Table7[[#This Row],[EXPIRY DATE]],"MMM")</f>
        <v>Mar</v>
      </c>
      <c r="H284" s="85" t="str">
        <f>TEXT(Table7[[#This Row],[EXPIRY DATE]],"YYY")</f>
        <v>2026</v>
      </c>
      <c r="I284" s="84" t="s">
        <v>602</v>
      </c>
      <c r="J284" s="69"/>
    </row>
    <row r="285" spans="1:10" x14ac:dyDescent="0.3">
      <c r="A285" s="84">
        <v>284</v>
      </c>
      <c r="B285" s="84" t="s">
        <v>942</v>
      </c>
      <c r="C285" s="84" t="s">
        <v>404</v>
      </c>
      <c r="D285" s="115" t="s">
        <v>943</v>
      </c>
      <c r="E285" s="85" t="s">
        <v>598</v>
      </c>
      <c r="F285" s="85">
        <v>46112</v>
      </c>
      <c r="G285" s="85" t="str">
        <f>TEXT(Table7[[#This Row],[EXPIRY DATE]],"MMM")</f>
        <v>Mar</v>
      </c>
      <c r="H285" s="85" t="str">
        <f>TEXT(Table7[[#This Row],[EXPIRY DATE]],"YYY")</f>
        <v>2026</v>
      </c>
      <c r="I285" s="84" t="s">
        <v>607</v>
      </c>
      <c r="J285" s="69"/>
    </row>
    <row r="286" spans="1:10" x14ac:dyDescent="0.3">
      <c r="A286" s="84">
        <v>285</v>
      </c>
      <c r="B286" s="84" t="s">
        <v>932</v>
      </c>
      <c r="C286" s="84" t="s">
        <v>404</v>
      </c>
      <c r="D286" s="115" t="s">
        <v>933</v>
      </c>
      <c r="E286" s="85" t="s">
        <v>717</v>
      </c>
      <c r="F286" s="85">
        <v>46132</v>
      </c>
      <c r="G286" s="85" t="str">
        <f>TEXT(Table7[[#This Row],[EXPIRY DATE]],"MMM")</f>
        <v>Apr</v>
      </c>
      <c r="H286" s="85" t="str">
        <f>TEXT(Table7[[#This Row],[EXPIRY DATE]],"YYY")</f>
        <v>2026</v>
      </c>
      <c r="I286" s="84" t="s">
        <v>621</v>
      </c>
      <c r="J286" s="69"/>
    </row>
    <row r="287" spans="1:10" x14ac:dyDescent="0.3">
      <c r="A287" s="84">
        <v>286</v>
      </c>
      <c r="B287" s="84" t="s">
        <v>310</v>
      </c>
      <c r="C287" s="84" t="s">
        <v>404</v>
      </c>
      <c r="D287" s="115" t="s">
        <v>939</v>
      </c>
      <c r="E287" s="85" t="s">
        <v>717</v>
      </c>
      <c r="F287" s="85">
        <v>46234</v>
      </c>
      <c r="G287" s="85" t="s">
        <v>944</v>
      </c>
      <c r="H287" s="85" t="str">
        <f>TEXT(Table7[[#This Row],[EXPIRY DATE]],"YYY")</f>
        <v>2026</v>
      </c>
      <c r="I287" s="84" t="s">
        <v>592</v>
      </c>
      <c r="J287" s="69"/>
    </row>
    <row r="288" spans="1:10" x14ac:dyDescent="0.3">
      <c r="A288" s="84">
        <v>287</v>
      </c>
      <c r="B288" s="84" t="s">
        <v>945</v>
      </c>
      <c r="C288" s="84" t="s">
        <v>404</v>
      </c>
      <c r="D288" s="115" t="s">
        <v>946</v>
      </c>
      <c r="E288" s="85" t="s">
        <v>601</v>
      </c>
      <c r="F288" s="85">
        <v>46234</v>
      </c>
      <c r="G288" s="85" t="s">
        <v>944</v>
      </c>
      <c r="H288" s="85" t="str">
        <f>TEXT(Table7[[#This Row],[EXPIRY DATE]],"YYY")</f>
        <v>2026</v>
      </c>
      <c r="I288" s="84" t="s">
        <v>592</v>
      </c>
      <c r="J288" s="69"/>
    </row>
    <row r="289" spans="1:10" x14ac:dyDescent="0.3">
      <c r="A289" s="84">
        <v>288</v>
      </c>
      <c r="B289" s="84" t="s">
        <v>923</v>
      </c>
      <c r="C289" s="84" t="s">
        <v>404</v>
      </c>
      <c r="D289" s="115" t="s">
        <v>924</v>
      </c>
      <c r="E289" s="85" t="s">
        <v>925</v>
      </c>
      <c r="F289" s="85">
        <v>46234</v>
      </c>
      <c r="G289" s="85" t="s">
        <v>944</v>
      </c>
      <c r="H289" s="85" t="str">
        <f>TEXT(Table7[[#This Row],[EXPIRY DATE]],"YYY")</f>
        <v>2026</v>
      </c>
      <c r="I289" s="84" t="s">
        <v>592</v>
      </c>
      <c r="J289" s="69"/>
    </row>
    <row r="290" spans="1:10" x14ac:dyDescent="0.3">
      <c r="A290" s="84">
        <v>289</v>
      </c>
      <c r="B290" s="84" t="s">
        <v>947</v>
      </c>
      <c r="C290" s="84" t="s">
        <v>404</v>
      </c>
      <c r="D290" s="115" t="s">
        <v>948</v>
      </c>
      <c r="E290" s="85" t="s">
        <v>949</v>
      </c>
      <c r="F290" s="85">
        <v>46234</v>
      </c>
      <c r="G290" s="85" t="s">
        <v>944</v>
      </c>
      <c r="H290" s="85" t="str">
        <f>TEXT(Table7[[#This Row],[EXPIRY DATE]],"YYY")</f>
        <v>2026</v>
      </c>
      <c r="I290" s="84" t="s">
        <v>592</v>
      </c>
      <c r="J290" s="69"/>
    </row>
    <row r="291" spans="1:10" x14ac:dyDescent="0.3">
      <c r="A291" s="84">
        <v>290</v>
      </c>
      <c r="B291" s="84" t="s">
        <v>945</v>
      </c>
      <c r="C291" s="84" t="s">
        <v>404</v>
      </c>
      <c r="D291" s="115" t="s">
        <v>946</v>
      </c>
      <c r="E291" s="85" t="s">
        <v>601</v>
      </c>
      <c r="F291" s="85">
        <v>46251</v>
      </c>
      <c r="G291" s="85" t="s">
        <v>897</v>
      </c>
      <c r="H291" s="85" t="str">
        <f>TEXT(Table7[[#This Row],[EXPIRY DATE]],"YYY")</f>
        <v>2026</v>
      </c>
      <c r="I291" s="84" t="s">
        <v>602</v>
      </c>
      <c r="J291" s="69"/>
    </row>
    <row r="292" spans="1:10" x14ac:dyDescent="0.3">
      <c r="A292" s="84">
        <v>291</v>
      </c>
      <c r="B292" s="84" t="s">
        <v>950</v>
      </c>
      <c r="C292" s="84" t="s">
        <v>404</v>
      </c>
      <c r="D292" s="115" t="s">
        <v>951</v>
      </c>
      <c r="E292" s="85" t="s">
        <v>610</v>
      </c>
      <c r="F292" s="85">
        <v>46387</v>
      </c>
      <c r="G292" s="85" t="str">
        <f>TEXT(Table7[[#This Row],[EXPIRY DATE]],"MMM")</f>
        <v>Dec</v>
      </c>
      <c r="H292" s="85" t="str">
        <f>TEXT(Table7[[#This Row],[EXPIRY DATE]],"YYY")</f>
        <v>2026</v>
      </c>
      <c r="I292" s="84" t="s">
        <v>602</v>
      </c>
      <c r="J292" s="69"/>
    </row>
    <row r="293" spans="1:10" x14ac:dyDescent="0.3">
      <c r="A293" s="84">
        <v>292</v>
      </c>
      <c r="B293" s="84" t="s">
        <v>950</v>
      </c>
      <c r="C293" s="84" t="s">
        <v>404</v>
      </c>
      <c r="D293" s="115" t="s">
        <v>951</v>
      </c>
      <c r="E293" s="85" t="s">
        <v>610</v>
      </c>
      <c r="F293" s="85">
        <v>46387</v>
      </c>
      <c r="G293" s="85" t="str">
        <f>TEXT(Table7[[#This Row],[EXPIRY DATE]],"MMM")</f>
        <v>Dec</v>
      </c>
      <c r="H293" s="85" t="str">
        <f>TEXT(Table7[[#This Row],[EXPIRY DATE]],"YYY")</f>
        <v>2026</v>
      </c>
      <c r="I293" s="84" t="s">
        <v>607</v>
      </c>
      <c r="J293" s="69"/>
    </row>
    <row r="294" spans="1:10" x14ac:dyDescent="0.3">
      <c r="A294" s="84">
        <v>293</v>
      </c>
      <c r="B294" s="84" t="s">
        <v>952</v>
      </c>
      <c r="C294" s="84" t="s">
        <v>404</v>
      </c>
      <c r="D294" s="115" t="s">
        <v>953</v>
      </c>
      <c r="E294" s="85" t="s">
        <v>610</v>
      </c>
      <c r="F294" s="85">
        <v>46387</v>
      </c>
      <c r="G294" s="85" t="str">
        <f>TEXT(Table7[[#This Row],[EXPIRY DATE]],"MMM")</f>
        <v>Dec</v>
      </c>
      <c r="H294" s="85" t="str">
        <f>TEXT(Table7[[#This Row],[EXPIRY DATE]],"YYY")</f>
        <v>2026</v>
      </c>
      <c r="I294" s="84" t="s">
        <v>602</v>
      </c>
      <c r="J294" s="69"/>
    </row>
    <row r="295" spans="1:10" x14ac:dyDescent="0.3">
      <c r="A295" s="84">
        <v>294</v>
      </c>
      <c r="B295" s="84" t="s">
        <v>952</v>
      </c>
      <c r="C295" s="84" t="s">
        <v>404</v>
      </c>
      <c r="D295" s="115" t="s">
        <v>953</v>
      </c>
      <c r="E295" s="85" t="s">
        <v>610</v>
      </c>
      <c r="F295" s="85">
        <v>46387</v>
      </c>
      <c r="G295" s="85" t="str">
        <f>TEXT(Table7[[#This Row],[EXPIRY DATE]],"MMM")</f>
        <v>Dec</v>
      </c>
      <c r="H295" s="85" t="str">
        <f>TEXT(Table7[[#This Row],[EXPIRY DATE]],"YYY")</f>
        <v>2026</v>
      </c>
      <c r="I295" s="84" t="s">
        <v>607</v>
      </c>
      <c r="J295" s="69"/>
    </row>
    <row r="296" spans="1:10" x14ac:dyDescent="0.3">
      <c r="A296" s="84">
        <v>295</v>
      </c>
      <c r="B296" s="84" t="s">
        <v>923</v>
      </c>
      <c r="C296" s="84" t="s">
        <v>404</v>
      </c>
      <c r="D296" s="115" t="s">
        <v>924</v>
      </c>
      <c r="E296" s="85" t="s">
        <v>925</v>
      </c>
      <c r="F296" s="85">
        <v>46477</v>
      </c>
      <c r="G296" s="85" t="s">
        <v>606</v>
      </c>
      <c r="H296" s="85" t="str">
        <f>TEXT(Table7[[#This Row],[EXPIRY DATE]],"YYY")</f>
        <v>2027</v>
      </c>
      <c r="I296" s="84" t="s">
        <v>607</v>
      </c>
      <c r="J296" s="69"/>
    </row>
    <row r="297" spans="1:10" x14ac:dyDescent="0.3">
      <c r="A297" s="84">
        <v>296</v>
      </c>
      <c r="B297" s="84" t="s">
        <v>942</v>
      </c>
      <c r="C297" s="84" t="s">
        <v>404</v>
      </c>
      <c r="D297" s="115" t="s">
        <v>943</v>
      </c>
      <c r="E297" s="85" t="s">
        <v>742</v>
      </c>
      <c r="F297" s="85">
        <v>46752</v>
      </c>
      <c r="G297" s="85" t="str">
        <f>TEXT(Table7[[#This Row],[EXPIRY DATE]],"MMM")</f>
        <v>Dec</v>
      </c>
      <c r="H297" s="85" t="str">
        <f>TEXT(Table7[[#This Row],[EXPIRY DATE]],"YYY")</f>
        <v>2027</v>
      </c>
      <c r="I297" s="84" t="s">
        <v>602</v>
      </c>
      <c r="J297" s="69"/>
    </row>
    <row r="298" spans="1:10" x14ac:dyDescent="0.3">
      <c r="A298" s="84">
        <v>297</v>
      </c>
      <c r="B298" s="84" t="s">
        <v>940</v>
      </c>
      <c r="C298" s="84" t="s">
        <v>404</v>
      </c>
      <c r="D298" s="115" t="s">
        <v>941</v>
      </c>
      <c r="E298" s="85" t="s">
        <v>605</v>
      </c>
      <c r="F298" s="85">
        <v>47483</v>
      </c>
      <c r="G298" s="85" t="str">
        <f>TEXT(Table7[[#This Row],[EXPIRY DATE]],"MMM")</f>
        <v>Dec</v>
      </c>
      <c r="H298" s="85" t="str">
        <f>TEXT(Table7[[#This Row],[EXPIRY DATE]],"YYY")</f>
        <v>2029</v>
      </c>
      <c r="I298" s="84" t="s">
        <v>602</v>
      </c>
      <c r="J298" s="69"/>
    </row>
    <row r="299" spans="1:10" x14ac:dyDescent="0.3">
      <c r="A299" s="84">
        <v>298</v>
      </c>
      <c r="B299" s="84" t="s">
        <v>954</v>
      </c>
      <c r="C299" s="84" t="s">
        <v>404</v>
      </c>
      <c r="D299" s="115" t="s">
        <v>955</v>
      </c>
      <c r="E299" s="85" t="s">
        <v>956</v>
      </c>
      <c r="F299" s="84" t="s">
        <v>629</v>
      </c>
      <c r="G299" s="85" t="s">
        <v>629</v>
      </c>
      <c r="H299" s="85" t="str">
        <f>TEXT(Table7[[#This Row],[EXPIRY DATE]],"YYY")</f>
        <v>LIFETIME</v>
      </c>
      <c r="I299" s="84" t="s">
        <v>602</v>
      </c>
      <c r="J299" s="69"/>
    </row>
    <row r="300" spans="1:10" ht="20.399999999999999" x14ac:dyDescent="0.3">
      <c r="A300" s="84">
        <v>299</v>
      </c>
      <c r="B300" s="84" t="s">
        <v>957</v>
      </c>
      <c r="C300" s="84" t="s">
        <v>404</v>
      </c>
      <c r="D300" s="115" t="s">
        <v>958</v>
      </c>
      <c r="E300" s="85" t="s">
        <v>613</v>
      </c>
      <c r="F300" s="85" t="s">
        <v>629</v>
      </c>
      <c r="G300" s="85" t="str">
        <f>TEXT(Table7[[#This Row],[EXPIRY DATE]],"MMM")</f>
        <v>LIFETIME</v>
      </c>
      <c r="H300" s="85" t="str">
        <f>TEXT(Table7[[#This Row],[EXPIRY DATE]],"YYY")</f>
        <v>LIFETIME</v>
      </c>
      <c r="I300" s="84" t="s">
        <v>602</v>
      </c>
      <c r="J300" s="69"/>
    </row>
    <row r="301" spans="1:10" ht="20.399999999999999" x14ac:dyDescent="0.3">
      <c r="A301" s="84">
        <v>300</v>
      </c>
      <c r="B301" s="84" t="s">
        <v>959</v>
      </c>
      <c r="C301" s="84" t="s">
        <v>396</v>
      </c>
      <c r="D301" s="115" t="s">
        <v>960</v>
      </c>
      <c r="E301" s="85" t="s">
        <v>961</v>
      </c>
      <c r="F301" s="85">
        <v>46022</v>
      </c>
      <c r="G301" s="85" t="s">
        <v>625</v>
      </c>
      <c r="H301" s="85" t="str">
        <f>TEXT(Table7[[#This Row],[EXPIRY DATE]],"YYY")</f>
        <v>2025</v>
      </c>
      <c r="I301" s="84" t="s">
        <v>607</v>
      </c>
      <c r="J301" s="69"/>
    </row>
    <row r="302" spans="1:10" x14ac:dyDescent="0.3">
      <c r="A302" s="84">
        <v>301</v>
      </c>
      <c r="B302" s="84" t="s">
        <v>962</v>
      </c>
      <c r="C302" s="84" t="s">
        <v>396</v>
      </c>
      <c r="D302" s="115" t="s">
        <v>963</v>
      </c>
      <c r="E302" s="85" t="s">
        <v>964</v>
      </c>
      <c r="F302" s="85">
        <v>46022</v>
      </c>
      <c r="G302" s="85" t="str">
        <f>TEXT(Table7[[#This Row],[EXPIRY DATE]],"MMM")</f>
        <v>Dec</v>
      </c>
      <c r="H302" s="85" t="str">
        <f>TEXT(Table7[[#This Row],[EXPIRY DATE]],"YYY")</f>
        <v>2025</v>
      </c>
      <c r="I302" s="84" t="s">
        <v>602</v>
      </c>
      <c r="J302" s="69"/>
    </row>
    <row r="303" spans="1:10" x14ac:dyDescent="0.3">
      <c r="A303" s="84">
        <v>302</v>
      </c>
      <c r="B303" s="80" t="s">
        <v>965</v>
      </c>
      <c r="C303" s="84" t="s">
        <v>396</v>
      </c>
      <c r="D303" s="122" t="s">
        <v>966</v>
      </c>
      <c r="E303" s="85" t="s">
        <v>610</v>
      </c>
      <c r="F303" s="85">
        <v>46022</v>
      </c>
      <c r="G303" s="85" t="s">
        <v>625</v>
      </c>
      <c r="H303" s="85" t="str">
        <f>TEXT(Table7[[#This Row],[EXPIRY DATE]],"YYY")</f>
        <v>2025</v>
      </c>
      <c r="I303" s="84" t="s">
        <v>602</v>
      </c>
      <c r="J303" s="69"/>
    </row>
    <row r="304" spans="1:10" x14ac:dyDescent="0.3">
      <c r="A304" s="84">
        <v>303</v>
      </c>
      <c r="B304" s="80" t="s">
        <v>967</v>
      </c>
      <c r="C304" s="84" t="s">
        <v>396</v>
      </c>
      <c r="D304" s="122" t="s">
        <v>968</v>
      </c>
      <c r="E304" s="85" t="s">
        <v>610</v>
      </c>
      <c r="F304" s="85">
        <v>46022</v>
      </c>
      <c r="G304" s="85" t="s">
        <v>625</v>
      </c>
      <c r="H304" s="85" t="str">
        <f>TEXT(Table7[[#This Row],[EXPIRY DATE]],"YYY")</f>
        <v>2025</v>
      </c>
      <c r="I304" s="84" t="s">
        <v>602</v>
      </c>
      <c r="J304" s="69"/>
    </row>
    <row r="305" spans="1:10" ht="20.399999999999999" x14ac:dyDescent="0.3">
      <c r="A305" s="84">
        <v>304</v>
      </c>
      <c r="B305" s="80" t="s">
        <v>969</v>
      </c>
      <c r="C305" s="84" t="s">
        <v>396</v>
      </c>
      <c r="D305" s="122" t="s">
        <v>970</v>
      </c>
      <c r="E305" s="85" t="s">
        <v>610</v>
      </c>
      <c r="F305" s="85">
        <v>46022</v>
      </c>
      <c r="G305" s="85" t="s">
        <v>625</v>
      </c>
      <c r="H305" s="85" t="str">
        <f>TEXT(Table7[[#This Row],[EXPIRY DATE]],"YYY")</f>
        <v>2025</v>
      </c>
      <c r="I305" s="84" t="s">
        <v>602</v>
      </c>
      <c r="J305" s="69"/>
    </row>
    <row r="306" spans="1:10" x14ac:dyDescent="0.3">
      <c r="A306" s="84">
        <v>305</v>
      </c>
      <c r="B306" s="80" t="s">
        <v>971</v>
      </c>
      <c r="C306" s="84" t="s">
        <v>396</v>
      </c>
      <c r="D306" s="122" t="s">
        <v>972</v>
      </c>
      <c r="E306" s="85" t="s">
        <v>610</v>
      </c>
      <c r="F306" s="85">
        <v>46022</v>
      </c>
      <c r="G306" s="85" t="s">
        <v>625</v>
      </c>
      <c r="H306" s="85" t="str">
        <f>TEXT(Table7[[#This Row],[EXPIRY DATE]],"YYY")</f>
        <v>2025</v>
      </c>
      <c r="I306" s="84" t="s">
        <v>602</v>
      </c>
      <c r="J306" s="69"/>
    </row>
    <row r="307" spans="1:10" x14ac:dyDescent="0.3">
      <c r="A307" s="84">
        <v>306</v>
      </c>
      <c r="B307" s="80" t="s">
        <v>973</v>
      </c>
      <c r="C307" s="84" t="s">
        <v>396</v>
      </c>
      <c r="D307" s="122" t="s">
        <v>974</v>
      </c>
      <c r="E307" s="85" t="s">
        <v>610</v>
      </c>
      <c r="F307" s="85">
        <v>46022</v>
      </c>
      <c r="G307" s="85" t="s">
        <v>625</v>
      </c>
      <c r="H307" s="85" t="str">
        <f>TEXT(Table7[[#This Row],[EXPIRY DATE]],"YYY")</f>
        <v>2025</v>
      </c>
      <c r="I307" s="84" t="s">
        <v>602</v>
      </c>
      <c r="J307" s="69"/>
    </row>
    <row r="308" spans="1:10" x14ac:dyDescent="0.3">
      <c r="A308" s="84">
        <v>307</v>
      </c>
      <c r="B308" s="80" t="s">
        <v>975</v>
      </c>
      <c r="C308" s="84" t="s">
        <v>396</v>
      </c>
      <c r="D308" s="122" t="s">
        <v>976</v>
      </c>
      <c r="E308" s="85" t="s">
        <v>610</v>
      </c>
      <c r="F308" s="85">
        <v>46022</v>
      </c>
      <c r="G308" s="85" t="s">
        <v>625</v>
      </c>
      <c r="H308" s="85" t="str">
        <f>TEXT(Table7[[#This Row],[EXPIRY DATE]],"YYY")</f>
        <v>2025</v>
      </c>
      <c r="I308" s="84" t="s">
        <v>602</v>
      </c>
      <c r="J308" s="69"/>
    </row>
    <row r="309" spans="1:10" x14ac:dyDescent="0.3">
      <c r="A309" s="84">
        <v>308</v>
      </c>
      <c r="B309" s="84" t="s">
        <v>977</v>
      </c>
      <c r="C309" s="84" t="s">
        <v>396</v>
      </c>
      <c r="D309" s="115" t="s">
        <v>978</v>
      </c>
      <c r="E309" s="85" t="s">
        <v>601</v>
      </c>
      <c r="F309" s="85">
        <v>46105</v>
      </c>
      <c r="G309" s="85" t="s">
        <v>606</v>
      </c>
      <c r="H309" s="85" t="str">
        <f>TEXT(Table7[[#This Row],[EXPIRY DATE]],"YYY")</f>
        <v>2026</v>
      </c>
      <c r="I309" s="84" t="s">
        <v>979</v>
      </c>
      <c r="J309" s="69"/>
    </row>
    <row r="310" spans="1:10" x14ac:dyDescent="0.3">
      <c r="A310" s="84">
        <v>309</v>
      </c>
      <c r="B310" s="84" t="s">
        <v>980</v>
      </c>
      <c r="C310" s="84" t="s">
        <v>396</v>
      </c>
      <c r="D310" s="115" t="s">
        <v>981</v>
      </c>
      <c r="E310" s="85" t="s">
        <v>601</v>
      </c>
      <c r="F310" s="85">
        <v>46105</v>
      </c>
      <c r="G310" s="85" t="s">
        <v>606</v>
      </c>
      <c r="H310" s="85" t="str">
        <f>TEXT(Table7[[#This Row],[EXPIRY DATE]],"YYY")</f>
        <v>2026</v>
      </c>
      <c r="I310" s="84" t="s">
        <v>979</v>
      </c>
      <c r="J310" s="69"/>
    </row>
    <row r="311" spans="1:10" x14ac:dyDescent="0.3">
      <c r="A311" s="84">
        <v>310</v>
      </c>
      <c r="B311" s="84" t="s">
        <v>982</v>
      </c>
      <c r="C311" s="84" t="s">
        <v>396</v>
      </c>
      <c r="D311" s="115" t="s">
        <v>983</v>
      </c>
      <c r="E311" s="85" t="s">
        <v>601</v>
      </c>
      <c r="F311" s="85">
        <v>46105</v>
      </c>
      <c r="G311" s="85" t="s">
        <v>606</v>
      </c>
      <c r="H311" s="85" t="str">
        <f>TEXT(Table7[[#This Row],[EXPIRY DATE]],"YYY")</f>
        <v>2026</v>
      </c>
      <c r="I311" s="84" t="s">
        <v>979</v>
      </c>
      <c r="J311" s="69"/>
    </row>
    <row r="312" spans="1:10" x14ac:dyDescent="0.3">
      <c r="A312" s="84">
        <v>311</v>
      </c>
      <c r="B312" s="84" t="s">
        <v>984</v>
      </c>
      <c r="C312" s="84" t="s">
        <v>396</v>
      </c>
      <c r="D312" s="115" t="s">
        <v>985</v>
      </c>
      <c r="E312" s="85" t="s">
        <v>601</v>
      </c>
      <c r="F312" s="85">
        <v>46105</v>
      </c>
      <c r="G312" s="85" t="s">
        <v>606</v>
      </c>
      <c r="H312" s="85" t="str">
        <f>TEXT(Table7[[#This Row],[EXPIRY DATE]],"YYY")</f>
        <v>2026</v>
      </c>
      <c r="I312" s="84" t="s">
        <v>979</v>
      </c>
      <c r="J312" s="69"/>
    </row>
    <row r="313" spans="1:10" ht="20.399999999999999" x14ac:dyDescent="0.3">
      <c r="A313" s="84">
        <v>312</v>
      </c>
      <c r="B313" s="84" t="s">
        <v>986</v>
      </c>
      <c r="C313" s="84" t="s">
        <v>396</v>
      </c>
      <c r="D313" s="115" t="s">
        <v>987</v>
      </c>
      <c r="E313" s="85" t="s">
        <v>601</v>
      </c>
      <c r="F313" s="85">
        <v>46105</v>
      </c>
      <c r="G313" s="85" t="s">
        <v>606</v>
      </c>
      <c r="H313" s="85" t="str">
        <f>TEXT(Table7[[#This Row],[EXPIRY DATE]],"YYY")</f>
        <v>2026</v>
      </c>
      <c r="I313" s="84" t="s">
        <v>979</v>
      </c>
      <c r="J313" s="69"/>
    </row>
    <row r="314" spans="1:10" x14ac:dyDescent="0.3">
      <c r="A314" s="84">
        <v>313</v>
      </c>
      <c r="B314" s="84" t="s">
        <v>988</v>
      </c>
      <c r="C314" s="84" t="s">
        <v>396</v>
      </c>
      <c r="D314" s="115" t="s">
        <v>989</v>
      </c>
      <c r="E314" s="85" t="s">
        <v>601</v>
      </c>
      <c r="F314" s="85">
        <v>46105</v>
      </c>
      <c r="G314" s="85" t="s">
        <v>606</v>
      </c>
      <c r="H314" s="85" t="str">
        <f>TEXT(Table7[[#This Row],[EXPIRY DATE]],"YYY")</f>
        <v>2026</v>
      </c>
      <c r="I314" s="84" t="s">
        <v>979</v>
      </c>
      <c r="J314" s="69"/>
    </row>
    <row r="315" spans="1:10" x14ac:dyDescent="0.3">
      <c r="A315" s="84">
        <v>314</v>
      </c>
      <c r="B315" s="84" t="s">
        <v>990</v>
      </c>
      <c r="C315" s="84" t="s">
        <v>396</v>
      </c>
      <c r="D315" s="115" t="s">
        <v>991</v>
      </c>
      <c r="E315" s="85" t="s">
        <v>601</v>
      </c>
      <c r="F315" s="85">
        <v>46105</v>
      </c>
      <c r="G315" s="85" t="s">
        <v>606</v>
      </c>
      <c r="H315" s="85" t="str">
        <f>TEXT(Table7[[#This Row],[EXPIRY DATE]],"YYY")</f>
        <v>2026</v>
      </c>
      <c r="I315" s="84" t="s">
        <v>979</v>
      </c>
      <c r="J315" s="69"/>
    </row>
    <row r="316" spans="1:10" x14ac:dyDescent="0.3">
      <c r="A316" s="84">
        <v>315</v>
      </c>
      <c r="B316" s="84" t="s">
        <v>992</v>
      </c>
      <c r="C316" s="84" t="s">
        <v>396</v>
      </c>
      <c r="D316" s="115" t="s">
        <v>993</v>
      </c>
      <c r="E316" s="85" t="s">
        <v>601</v>
      </c>
      <c r="F316" s="85">
        <v>46105</v>
      </c>
      <c r="G316" s="85" t="s">
        <v>606</v>
      </c>
      <c r="H316" s="85" t="str">
        <f>TEXT(Table7[[#This Row],[EXPIRY DATE]],"YYY")</f>
        <v>2026</v>
      </c>
      <c r="I316" s="84" t="s">
        <v>979</v>
      </c>
      <c r="J316" s="69"/>
    </row>
    <row r="317" spans="1:10" ht="20.399999999999999" x14ac:dyDescent="0.3">
      <c r="A317" s="84">
        <v>316</v>
      </c>
      <c r="B317" s="84" t="s">
        <v>959</v>
      </c>
      <c r="C317" s="84" t="s">
        <v>396</v>
      </c>
      <c r="D317" s="115" t="s">
        <v>960</v>
      </c>
      <c r="E317" s="85" t="s">
        <v>961</v>
      </c>
      <c r="F317" s="85">
        <v>46112</v>
      </c>
      <c r="G317" s="85" t="s">
        <v>606</v>
      </c>
      <c r="H317" s="85" t="str">
        <f>TEXT(Table7[[#This Row],[EXPIRY DATE]],"YYY")</f>
        <v>2026</v>
      </c>
      <c r="I317" s="84" t="s">
        <v>602</v>
      </c>
      <c r="J317" s="69"/>
    </row>
    <row r="318" spans="1:10" x14ac:dyDescent="0.3">
      <c r="A318" s="84">
        <v>317</v>
      </c>
      <c r="B318" s="84" t="s">
        <v>994</v>
      </c>
      <c r="C318" s="84" t="s">
        <v>396</v>
      </c>
      <c r="D318" s="115" t="s">
        <v>995</v>
      </c>
      <c r="E318" s="85" t="s">
        <v>605</v>
      </c>
      <c r="F318" s="85">
        <v>46112</v>
      </c>
      <c r="G318" s="85" t="str">
        <f>TEXT(Table7[[#This Row],[EXPIRY DATE]],"MMM")</f>
        <v>Mar</v>
      </c>
      <c r="H318" s="85" t="str">
        <f>TEXT(Table7[[#This Row],[EXPIRY DATE]],"YYY")</f>
        <v>2026</v>
      </c>
      <c r="I318" s="84" t="s">
        <v>607</v>
      </c>
      <c r="J318" s="69"/>
    </row>
    <row r="319" spans="1:10" ht="20.399999999999999" x14ac:dyDescent="0.3">
      <c r="A319" s="84">
        <v>318</v>
      </c>
      <c r="B319" s="84" t="s">
        <v>959</v>
      </c>
      <c r="C319" s="84" t="s">
        <v>396</v>
      </c>
      <c r="D319" s="115" t="s">
        <v>960</v>
      </c>
      <c r="E319" s="85" t="s">
        <v>961</v>
      </c>
      <c r="F319" s="85">
        <v>46119</v>
      </c>
      <c r="G319" s="85" t="s">
        <v>611</v>
      </c>
      <c r="H319" s="85" t="str">
        <f>TEXT(Table7[[#This Row],[EXPIRY DATE]],"YYY")</f>
        <v>2026</v>
      </c>
      <c r="I319" s="84" t="s">
        <v>916</v>
      </c>
      <c r="J319" s="69"/>
    </row>
    <row r="320" spans="1:10" x14ac:dyDescent="0.3">
      <c r="A320" s="84">
        <v>319</v>
      </c>
      <c r="B320" s="84" t="s">
        <v>996</v>
      </c>
      <c r="C320" s="84" t="s">
        <v>396</v>
      </c>
      <c r="D320" s="115" t="s">
        <v>997</v>
      </c>
      <c r="E320" s="85" t="s">
        <v>601</v>
      </c>
      <c r="F320" s="85">
        <v>46122</v>
      </c>
      <c r="G320" s="85" t="s">
        <v>611</v>
      </c>
      <c r="H320" s="85" t="str">
        <f>TEXT(Table7[[#This Row],[EXPIRY DATE]],"YYY")</f>
        <v>2026</v>
      </c>
      <c r="I320" s="84" t="s">
        <v>979</v>
      </c>
      <c r="J320" s="69"/>
    </row>
    <row r="321" spans="1:10" x14ac:dyDescent="0.3">
      <c r="A321" s="84">
        <v>320</v>
      </c>
      <c r="B321" s="84" t="s">
        <v>998</v>
      </c>
      <c r="C321" s="84" t="s">
        <v>396</v>
      </c>
      <c r="D321" s="115" t="s">
        <v>999</v>
      </c>
      <c r="E321" s="85" t="s">
        <v>601</v>
      </c>
      <c r="F321" s="85">
        <v>46122</v>
      </c>
      <c r="G321" s="85" t="s">
        <v>611</v>
      </c>
      <c r="H321" s="85" t="str">
        <f>TEXT(Table7[[#This Row],[EXPIRY DATE]],"YYY")</f>
        <v>2026</v>
      </c>
      <c r="I321" s="84" t="s">
        <v>979</v>
      </c>
      <c r="J321" s="69"/>
    </row>
    <row r="322" spans="1:10" x14ac:dyDescent="0.3">
      <c r="A322" s="84">
        <v>321</v>
      </c>
      <c r="B322" s="84" t="s">
        <v>1000</v>
      </c>
      <c r="C322" s="84" t="s">
        <v>396</v>
      </c>
      <c r="D322" s="123" t="s">
        <v>1001</v>
      </c>
      <c r="E322" s="85" t="s">
        <v>601</v>
      </c>
      <c r="F322" s="85">
        <v>46122</v>
      </c>
      <c r="G322" s="85" t="s">
        <v>611</v>
      </c>
      <c r="H322" s="85" t="str">
        <f>TEXT(Table7[[#This Row],[EXPIRY DATE]],"YYY")</f>
        <v>2026</v>
      </c>
      <c r="I322" s="84" t="s">
        <v>979</v>
      </c>
      <c r="J322" s="69"/>
    </row>
    <row r="323" spans="1:10" x14ac:dyDescent="0.3">
      <c r="A323" s="84">
        <v>322</v>
      </c>
      <c r="B323" s="84" t="s">
        <v>1002</v>
      </c>
      <c r="C323" s="84" t="s">
        <v>396</v>
      </c>
      <c r="D323" s="115" t="s">
        <v>1003</v>
      </c>
      <c r="E323" s="85" t="s">
        <v>601</v>
      </c>
      <c r="F323" s="85">
        <v>46122</v>
      </c>
      <c r="G323" s="85" t="s">
        <v>611</v>
      </c>
      <c r="H323" s="85" t="str">
        <f>TEXT(Table7[[#This Row],[EXPIRY DATE]],"YYY")</f>
        <v>2026</v>
      </c>
      <c r="I323" s="84" t="s">
        <v>979</v>
      </c>
      <c r="J323" s="69"/>
    </row>
    <row r="324" spans="1:10" x14ac:dyDescent="0.3">
      <c r="A324" s="84">
        <v>323</v>
      </c>
      <c r="B324" s="84" t="s">
        <v>1004</v>
      </c>
      <c r="C324" s="84" t="s">
        <v>396</v>
      </c>
      <c r="D324" s="115" t="s">
        <v>1005</v>
      </c>
      <c r="E324" s="85" t="s">
        <v>601</v>
      </c>
      <c r="F324" s="85">
        <v>46122</v>
      </c>
      <c r="G324" s="85" t="s">
        <v>611</v>
      </c>
      <c r="H324" s="85" t="str">
        <f>TEXT(Table7[[#This Row],[EXPIRY DATE]],"YYY")</f>
        <v>2026</v>
      </c>
      <c r="I324" s="84" t="s">
        <v>979</v>
      </c>
      <c r="J324" s="69"/>
    </row>
    <row r="325" spans="1:10" x14ac:dyDescent="0.3">
      <c r="A325" s="84">
        <v>324</v>
      </c>
      <c r="B325" s="84" t="s">
        <v>1006</v>
      </c>
      <c r="C325" s="84" t="s">
        <v>396</v>
      </c>
      <c r="D325" s="115" t="s">
        <v>1007</v>
      </c>
      <c r="E325" s="85" t="s">
        <v>601</v>
      </c>
      <c r="F325" s="85">
        <v>46122</v>
      </c>
      <c r="G325" s="85" t="s">
        <v>611</v>
      </c>
      <c r="H325" s="85" t="str">
        <f>TEXT(Table7[[#This Row],[EXPIRY DATE]],"YYY")</f>
        <v>2026</v>
      </c>
      <c r="I325" s="84" t="s">
        <v>979</v>
      </c>
      <c r="J325" s="69"/>
    </row>
    <row r="326" spans="1:10" x14ac:dyDescent="0.3">
      <c r="A326" s="84">
        <v>325</v>
      </c>
      <c r="B326" s="84" t="s">
        <v>1008</v>
      </c>
      <c r="C326" s="84" t="s">
        <v>396</v>
      </c>
      <c r="D326" s="115" t="s">
        <v>1009</v>
      </c>
      <c r="E326" s="85" t="s">
        <v>601</v>
      </c>
      <c r="F326" s="85">
        <v>46122</v>
      </c>
      <c r="G326" s="85" t="s">
        <v>611</v>
      </c>
      <c r="H326" s="85" t="str">
        <f>TEXT(Table7[[#This Row],[EXPIRY DATE]],"YYY")</f>
        <v>2026</v>
      </c>
      <c r="I326" s="84" t="s">
        <v>979</v>
      </c>
      <c r="J326" s="69"/>
    </row>
    <row r="327" spans="1:10" x14ac:dyDescent="0.3">
      <c r="A327" s="84">
        <v>326</v>
      </c>
      <c r="B327" s="84" t="s">
        <v>1010</v>
      </c>
      <c r="C327" s="84" t="s">
        <v>396</v>
      </c>
      <c r="D327" s="115" t="s">
        <v>1011</v>
      </c>
      <c r="E327" s="85" t="s">
        <v>601</v>
      </c>
      <c r="F327" s="85">
        <v>46122</v>
      </c>
      <c r="G327" s="85" t="s">
        <v>611</v>
      </c>
      <c r="H327" s="85" t="str">
        <f>TEXT(Table7[[#This Row],[EXPIRY DATE]],"YYY")</f>
        <v>2026</v>
      </c>
      <c r="I327" s="84" t="s">
        <v>979</v>
      </c>
      <c r="J327" s="69"/>
    </row>
    <row r="328" spans="1:10" x14ac:dyDescent="0.3">
      <c r="A328" s="84">
        <v>327</v>
      </c>
      <c r="B328" s="84" t="s">
        <v>1012</v>
      </c>
      <c r="C328" s="84" t="s">
        <v>396</v>
      </c>
      <c r="D328" s="115" t="s">
        <v>1013</v>
      </c>
      <c r="E328" s="85" t="s">
        <v>1014</v>
      </c>
      <c r="F328" s="85">
        <v>46282</v>
      </c>
      <c r="G328" s="85" t="s">
        <v>591</v>
      </c>
      <c r="H328" s="85" t="str">
        <f>TEXT(Table7[[#This Row],[EXPIRY DATE]],"YYY")</f>
        <v>2026</v>
      </c>
      <c r="I328" s="84" t="s">
        <v>602</v>
      </c>
      <c r="J328" s="69"/>
    </row>
    <row r="329" spans="1:10" x14ac:dyDescent="0.3">
      <c r="A329" s="84">
        <v>328</v>
      </c>
      <c r="B329" s="84" t="s">
        <v>1015</v>
      </c>
      <c r="C329" s="84" t="s">
        <v>396</v>
      </c>
      <c r="D329" s="115" t="s">
        <v>1016</v>
      </c>
      <c r="E329" s="85"/>
      <c r="F329" s="85">
        <v>46640</v>
      </c>
      <c r="G329" s="85" t="str">
        <f>TEXT(Table7[[#This Row],[EXPIRY DATE]],"MMM")</f>
        <v>Sep</v>
      </c>
      <c r="H329" s="85" t="str">
        <f>TEXT(Table7[[#This Row],[EXPIRY DATE]],"YYY")</f>
        <v>2027</v>
      </c>
      <c r="I329" s="84" t="s">
        <v>791</v>
      </c>
      <c r="J329" s="69"/>
    </row>
    <row r="330" spans="1:10" x14ac:dyDescent="0.3">
      <c r="A330" s="84">
        <v>329</v>
      </c>
      <c r="B330" s="84" t="s">
        <v>994</v>
      </c>
      <c r="C330" s="84" t="s">
        <v>396</v>
      </c>
      <c r="D330" s="115" t="s">
        <v>1017</v>
      </c>
      <c r="E330" s="85"/>
      <c r="F330" s="85">
        <v>46671</v>
      </c>
      <c r="G330" s="85" t="str">
        <f>TEXT(Table7[[#This Row],[EXPIRY DATE]],"MMM")</f>
        <v>Oct</v>
      </c>
      <c r="H330" s="85" t="str">
        <f>TEXT(Table7[[#This Row],[EXPIRY DATE]],"YYY")</f>
        <v>2027</v>
      </c>
      <c r="I330" s="84" t="s">
        <v>791</v>
      </c>
      <c r="J330" s="69"/>
    </row>
    <row r="331" spans="1:10" x14ac:dyDescent="0.3">
      <c r="A331" s="84">
        <v>330</v>
      </c>
      <c r="B331" s="84" t="s">
        <v>1018</v>
      </c>
      <c r="C331" s="84" t="s">
        <v>396</v>
      </c>
      <c r="D331" s="115" t="s">
        <v>1019</v>
      </c>
      <c r="E331" s="85"/>
      <c r="F331" s="85">
        <v>46675</v>
      </c>
      <c r="G331" s="85" t="str">
        <f>TEXT(Table7[[#This Row],[EXPIRY DATE]],"MMM")</f>
        <v>Oct</v>
      </c>
      <c r="H331" s="85" t="str">
        <f>TEXT(Table7[[#This Row],[EXPIRY DATE]],"YYY")</f>
        <v>2027</v>
      </c>
      <c r="I331" s="84" t="s">
        <v>791</v>
      </c>
      <c r="J331" s="69"/>
    </row>
    <row r="332" spans="1:10" x14ac:dyDescent="0.3">
      <c r="A332" s="84">
        <v>331</v>
      </c>
      <c r="B332" s="84" t="s">
        <v>1020</v>
      </c>
      <c r="C332" s="84" t="s">
        <v>396</v>
      </c>
      <c r="D332" s="115" t="s">
        <v>1021</v>
      </c>
      <c r="E332" s="85" t="s">
        <v>1022</v>
      </c>
      <c r="F332" s="85">
        <v>46716</v>
      </c>
      <c r="G332" s="85" t="str">
        <f>TEXT(Table7[[#This Row],[EXPIRY DATE]],"MMM")</f>
        <v>Nov</v>
      </c>
      <c r="H332" s="85" t="str">
        <f>TEXT(Table7[[#This Row],[EXPIRY DATE]],"YYY")</f>
        <v>2027</v>
      </c>
      <c r="I332" s="84" t="s">
        <v>791</v>
      </c>
      <c r="J332" s="69"/>
    </row>
    <row r="333" spans="1:10" x14ac:dyDescent="0.3">
      <c r="A333" s="84">
        <v>332</v>
      </c>
      <c r="B333" s="84" t="s">
        <v>1023</v>
      </c>
      <c r="C333" s="84" t="s">
        <v>396</v>
      </c>
      <c r="D333" s="115" t="s">
        <v>1024</v>
      </c>
      <c r="E333" s="85"/>
      <c r="F333" s="85">
        <v>46723</v>
      </c>
      <c r="G333" s="85" t="str">
        <f>TEXT(Table7[[#This Row],[EXPIRY DATE]],"MMM")</f>
        <v>Dec</v>
      </c>
      <c r="H333" s="85" t="str">
        <f>TEXT(Table7[[#This Row],[EXPIRY DATE]],"YYY")</f>
        <v>2027</v>
      </c>
      <c r="I333" s="84" t="s">
        <v>791</v>
      </c>
      <c r="J333" s="69"/>
    </row>
    <row r="334" spans="1:10" x14ac:dyDescent="0.3">
      <c r="A334" s="84">
        <v>333</v>
      </c>
      <c r="B334" s="84" t="s">
        <v>1025</v>
      </c>
      <c r="C334" s="84" t="s">
        <v>396</v>
      </c>
      <c r="D334" s="115" t="s">
        <v>1026</v>
      </c>
      <c r="E334" s="85" t="s">
        <v>1027</v>
      </c>
      <c r="F334" s="85">
        <v>46728</v>
      </c>
      <c r="G334" s="85" t="s">
        <v>625</v>
      </c>
      <c r="H334" s="85" t="str">
        <f>TEXT(Table7[[#This Row],[EXPIRY DATE]],"YYY")</f>
        <v>2027</v>
      </c>
      <c r="I334" s="84" t="s">
        <v>791</v>
      </c>
      <c r="J334" s="69"/>
    </row>
    <row r="335" spans="1:10" x14ac:dyDescent="0.3">
      <c r="A335" s="84">
        <v>334</v>
      </c>
      <c r="B335" s="84" t="s">
        <v>1012</v>
      </c>
      <c r="C335" s="84" t="s">
        <v>396</v>
      </c>
      <c r="D335" s="115" t="s">
        <v>1013</v>
      </c>
      <c r="E335" s="85" t="s">
        <v>1014</v>
      </c>
      <c r="F335" s="85">
        <v>47241</v>
      </c>
      <c r="G335" s="85" t="s">
        <v>838</v>
      </c>
      <c r="H335" s="85" t="str">
        <f>TEXT(Table7[[#This Row],[EXPIRY DATE]],"YYY")</f>
        <v>2029</v>
      </c>
      <c r="I335" s="84" t="s">
        <v>791</v>
      </c>
      <c r="J335" s="69"/>
    </row>
    <row r="336" spans="1:10" x14ac:dyDescent="0.3">
      <c r="A336" s="84">
        <v>335</v>
      </c>
      <c r="B336" s="84" t="s">
        <v>994</v>
      </c>
      <c r="C336" s="84" t="s">
        <v>396</v>
      </c>
      <c r="D336" s="115" t="s">
        <v>1028</v>
      </c>
      <c r="E336" s="85"/>
      <c r="F336" s="85">
        <v>47483</v>
      </c>
      <c r="G336" s="85" t="str">
        <f>TEXT(Table7[[#This Row],[EXPIRY DATE]],"MMM")</f>
        <v>Dec</v>
      </c>
      <c r="H336" s="85" t="str">
        <f>TEXT(Table7[[#This Row],[EXPIRY DATE]],"YYY")</f>
        <v>2029</v>
      </c>
      <c r="I336" s="84" t="s">
        <v>602</v>
      </c>
      <c r="J336" s="69"/>
    </row>
    <row r="337" spans="1:10" x14ac:dyDescent="0.3">
      <c r="A337" s="84">
        <v>336</v>
      </c>
      <c r="B337" s="84" t="s">
        <v>1025</v>
      </c>
      <c r="C337" s="84" t="s">
        <v>396</v>
      </c>
      <c r="D337" s="115" t="s">
        <v>1026</v>
      </c>
      <c r="E337" s="85" t="s">
        <v>1027</v>
      </c>
      <c r="F337" s="84" t="s">
        <v>629</v>
      </c>
      <c r="G337" s="85" t="s">
        <v>629</v>
      </c>
      <c r="H337" s="85" t="str">
        <f>TEXT(Table7[[#This Row],[EXPIRY DATE]],"YYY")</f>
        <v>LIFETIME</v>
      </c>
      <c r="I337" s="84" t="s">
        <v>602</v>
      </c>
      <c r="J337" s="69"/>
    </row>
    <row r="338" spans="1:10" x14ac:dyDescent="0.3">
      <c r="A338" s="84">
        <v>337</v>
      </c>
      <c r="B338" s="84" t="s">
        <v>1029</v>
      </c>
      <c r="C338" s="84" t="s">
        <v>396</v>
      </c>
      <c r="D338" s="115" t="s">
        <v>1030</v>
      </c>
      <c r="E338" s="85" t="s">
        <v>1031</v>
      </c>
      <c r="F338" s="84" t="s">
        <v>629</v>
      </c>
      <c r="G338" s="85" t="s">
        <v>629</v>
      </c>
      <c r="H338" s="85" t="str">
        <f>TEXT(Table7[[#This Row],[EXPIRY DATE]],"YYY")</f>
        <v>LIFETIME</v>
      </c>
      <c r="I338" s="84" t="s">
        <v>602</v>
      </c>
      <c r="J338" s="69"/>
    </row>
    <row r="339" spans="1:10" x14ac:dyDescent="0.3">
      <c r="A339" s="84">
        <v>338</v>
      </c>
      <c r="B339" s="80" t="s">
        <v>1032</v>
      </c>
      <c r="C339" s="84" t="s">
        <v>396</v>
      </c>
      <c r="D339" s="122" t="s">
        <v>1032</v>
      </c>
      <c r="E339" s="85" t="s">
        <v>692</v>
      </c>
      <c r="F339" s="84" t="s">
        <v>629</v>
      </c>
      <c r="G339" s="84" t="s">
        <v>629</v>
      </c>
      <c r="H339" s="85" t="str">
        <f>TEXT(Table7[[#This Row],[EXPIRY DATE]],"YYY")</f>
        <v>LIFETIME</v>
      </c>
      <c r="I339" s="84" t="s">
        <v>602</v>
      </c>
      <c r="J339" s="69"/>
    </row>
    <row r="340" spans="1:10" x14ac:dyDescent="0.3">
      <c r="A340" s="84">
        <v>339</v>
      </c>
      <c r="B340" s="84" t="s">
        <v>1033</v>
      </c>
      <c r="C340" s="84" t="s">
        <v>396</v>
      </c>
      <c r="D340" s="115" t="s">
        <v>1034</v>
      </c>
      <c r="E340" s="85" t="s">
        <v>1031</v>
      </c>
      <c r="F340" s="84" t="s">
        <v>629</v>
      </c>
      <c r="G340" s="85" t="s">
        <v>629</v>
      </c>
      <c r="H340" s="85" t="str">
        <f>TEXT(Table7[[#This Row],[EXPIRY DATE]],"YYY")</f>
        <v>LIFETIME</v>
      </c>
      <c r="I340" s="84" t="s">
        <v>602</v>
      </c>
      <c r="J340" s="69"/>
    </row>
    <row r="341" spans="1:10" x14ac:dyDescent="0.3">
      <c r="A341" s="84">
        <v>340</v>
      </c>
      <c r="B341" s="84" t="s">
        <v>1015</v>
      </c>
      <c r="C341" s="84" t="s">
        <v>396</v>
      </c>
      <c r="D341" s="115" t="s">
        <v>1016</v>
      </c>
      <c r="E341" s="85" t="s">
        <v>802</v>
      </c>
      <c r="F341" s="85" t="s">
        <v>629</v>
      </c>
      <c r="G341" s="85" t="str">
        <f>TEXT(Table7[[#This Row],[EXPIRY DATE]],"MMM")</f>
        <v>LIFETIME</v>
      </c>
      <c r="H341" s="85" t="str">
        <f>TEXT(Table7[[#This Row],[EXPIRY DATE]],"YYY")</f>
        <v>LIFETIME</v>
      </c>
      <c r="I341" s="84" t="s">
        <v>602</v>
      </c>
      <c r="J341" s="69"/>
    </row>
    <row r="342" spans="1:10" x14ac:dyDescent="0.3">
      <c r="A342" s="84">
        <v>341</v>
      </c>
      <c r="B342" s="80" t="s">
        <v>1035</v>
      </c>
      <c r="C342" s="84" t="s">
        <v>396</v>
      </c>
      <c r="D342" s="122" t="s">
        <v>1035</v>
      </c>
      <c r="E342" s="85" t="s">
        <v>692</v>
      </c>
      <c r="F342" s="84" t="s">
        <v>629</v>
      </c>
      <c r="G342" s="84" t="s">
        <v>629</v>
      </c>
      <c r="H342" s="85" t="str">
        <f>TEXT(Table7[[#This Row],[EXPIRY DATE]],"YYY")</f>
        <v>LIFETIME</v>
      </c>
      <c r="I342" s="84" t="s">
        <v>602</v>
      </c>
      <c r="J342" s="69"/>
    </row>
    <row r="343" spans="1:10" x14ac:dyDescent="0.3">
      <c r="A343" s="84">
        <v>342</v>
      </c>
      <c r="B343" s="80" t="s">
        <v>1036</v>
      </c>
      <c r="C343" s="84" t="s">
        <v>396</v>
      </c>
      <c r="D343" s="122" t="s">
        <v>1036</v>
      </c>
      <c r="E343" s="85" t="s">
        <v>692</v>
      </c>
      <c r="F343" s="84" t="s">
        <v>629</v>
      </c>
      <c r="G343" s="84" t="s">
        <v>629</v>
      </c>
      <c r="H343" s="85" t="str">
        <f>TEXT(Table7[[#This Row],[EXPIRY DATE]],"YYY")</f>
        <v>LIFETIME</v>
      </c>
      <c r="I343" s="84" t="s">
        <v>602</v>
      </c>
      <c r="J343" s="69"/>
    </row>
    <row r="344" spans="1:10" x14ac:dyDescent="0.3">
      <c r="A344" s="84">
        <v>343</v>
      </c>
      <c r="B344" s="80" t="s">
        <v>1037</v>
      </c>
      <c r="C344" s="84" t="s">
        <v>396</v>
      </c>
      <c r="D344" s="122" t="s">
        <v>1037</v>
      </c>
      <c r="E344" s="85" t="s">
        <v>692</v>
      </c>
      <c r="F344" s="84" t="s">
        <v>629</v>
      </c>
      <c r="G344" s="84" t="s">
        <v>629</v>
      </c>
      <c r="H344" s="85" t="str">
        <f>TEXT(Table7[[#This Row],[EXPIRY DATE]],"YYY")</f>
        <v>LIFETIME</v>
      </c>
      <c r="I344" s="84" t="s">
        <v>602</v>
      </c>
      <c r="J344" s="69"/>
    </row>
    <row r="345" spans="1:10" x14ac:dyDescent="0.3">
      <c r="A345" s="84">
        <v>344</v>
      </c>
      <c r="B345" s="84" t="s">
        <v>1038</v>
      </c>
      <c r="C345" s="84" t="s">
        <v>396</v>
      </c>
      <c r="D345" s="115" t="s">
        <v>1039</v>
      </c>
      <c r="E345" s="85" t="s">
        <v>1027</v>
      </c>
      <c r="F345" s="84" t="s">
        <v>629</v>
      </c>
      <c r="G345" s="85" t="s">
        <v>629</v>
      </c>
      <c r="H345" s="85" t="str">
        <f>TEXT(Table7[[#This Row],[EXPIRY DATE]],"YYY")</f>
        <v>LIFETIME</v>
      </c>
      <c r="I345" s="84" t="s">
        <v>602</v>
      </c>
      <c r="J345" s="69"/>
    </row>
    <row r="346" spans="1:10" ht="20.399999999999999" x14ac:dyDescent="0.3">
      <c r="A346" s="84">
        <v>345</v>
      </c>
      <c r="B346" s="84" t="s">
        <v>1040</v>
      </c>
      <c r="C346" s="84" t="s">
        <v>396</v>
      </c>
      <c r="D346" s="115" t="s">
        <v>1041</v>
      </c>
      <c r="E346" s="85" t="s">
        <v>1031</v>
      </c>
      <c r="F346" s="84" t="s">
        <v>629</v>
      </c>
      <c r="G346" s="85" t="s">
        <v>629</v>
      </c>
      <c r="H346" s="85" t="str">
        <f>TEXT(Table7[[#This Row],[EXPIRY DATE]],"YYY")</f>
        <v>LIFETIME</v>
      </c>
      <c r="I346" s="84" t="s">
        <v>602</v>
      </c>
      <c r="J346" s="69"/>
    </row>
    <row r="347" spans="1:10" x14ac:dyDescent="0.3">
      <c r="A347" s="84">
        <v>346</v>
      </c>
      <c r="B347" s="80" t="s">
        <v>1042</v>
      </c>
      <c r="C347" s="84" t="s">
        <v>396</v>
      </c>
      <c r="D347" s="122" t="s">
        <v>1042</v>
      </c>
      <c r="E347" s="85" t="s">
        <v>692</v>
      </c>
      <c r="F347" s="84" t="s">
        <v>629</v>
      </c>
      <c r="G347" s="84" t="s">
        <v>629</v>
      </c>
      <c r="H347" s="85" t="str">
        <f>TEXT(Table7[[#This Row],[EXPIRY DATE]],"YYY")</f>
        <v>LIFETIME</v>
      </c>
      <c r="I347" s="84" t="s">
        <v>602</v>
      </c>
      <c r="J347" s="69"/>
    </row>
    <row r="348" spans="1:10" x14ac:dyDescent="0.3">
      <c r="A348" s="84">
        <v>347</v>
      </c>
      <c r="B348" s="80" t="s">
        <v>1043</v>
      </c>
      <c r="C348" s="84" t="s">
        <v>396</v>
      </c>
      <c r="D348" s="122" t="s">
        <v>1043</v>
      </c>
      <c r="E348" s="85" t="s">
        <v>692</v>
      </c>
      <c r="F348" s="84" t="s">
        <v>629</v>
      </c>
      <c r="G348" s="84" t="s">
        <v>629</v>
      </c>
      <c r="H348" s="85" t="str">
        <f>TEXT(Table7[[#This Row],[EXPIRY DATE]],"YYY")</f>
        <v>LIFETIME</v>
      </c>
      <c r="I348" s="84" t="s">
        <v>602</v>
      </c>
      <c r="J348" s="69"/>
    </row>
    <row r="349" spans="1:10" x14ac:dyDescent="0.3">
      <c r="A349" s="84">
        <v>348</v>
      </c>
      <c r="B349" s="84" t="s">
        <v>1044</v>
      </c>
      <c r="C349" s="84" t="s">
        <v>396</v>
      </c>
      <c r="D349" s="115" t="s">
        <v>1045</v>
      </c>
      <c r="E349" s="85" t="s">
        <v>1046</v>
      </c>
      <c r="F349" s="84" t="s">
        <v>629</v>
      </c>
      <c r="G349" s="85" t="s">
        <v>629</v>
      </c>
      <c r="H349" s="85" t="str">
        <f>TEXT(Table7[[#This Row],[EXPIRY DATE]],"YYY")</f>
        <v>LIFETIME</v>
      </c>
      <c r="I349" s="84" t="s">
        <v>602</v>
      </c>
      <c r="J349" s="69"/>
    </row>
    <row r="350" spans="1:10" x14ac:dyDescent="0.3">
      <c r="A350" s="84">
        <v>349</v>
      </c>
      <c r="B350" s="84" t="s">
        <v>1018</v>
      </c>
      <c r="C350" s="84" t="s">
        <v>396</v>
      </c>
      <c r="D350" s="115" t="s">
        <v>1019</v>
      </c>
      <c r="E350" s="85" t="s">
        <v>1047</v>
      </c>
      <c r="F350" s="85" t="s">
        <v>629</v>
      </c>
      <c r="G350" s="85" t="str">
        <f>TEXT(Table7[[#This Row],[EXPIRY DATE]],"MMM")</f>
        <v>LIFETIME</v>
      </c>
      <c r="H350" s="85" t="str">
        <f>TEXT(Table7[[#This Row],[EXPIRY DATE]],"YYY")</f>
        <v>LIFETIME</v>
      </c>
      <c r="I350" s="84" t="s">
        <v>602</v>
      </c>
      <c r="J350" s="69"/>
    </row>
    <row r="351" spans="1:10" x14ac:dyDescent="0.3">
      <c r="A351" s="84">
        <v>350</v>
      </c>
      <c r="B351" s="80" t="s">
        <v>1048</v>
      </c>
      <c r="C351" s="84" t="s">
        <v>396</v>
      </c>
      <c r="D351" s="122" t="s">
        <v>1048</v>
      </c>
      <c r="E351" s="85" t="s">
        <v>692</v>
      </c>
      <c r="F351" s="84" t="s">
        <v>629</v>
      </c>
      <c r="G351" s="84" t="s">
        <v>629</v>
      </c>
      <c r="H351" s="85" t="str">
        <f>TEXT(Table7[[#This Row],[EXPIRY DATE]],"YYY")</f>
        <v>LIFETIME</v>
      </c>
      <c r="I351" s="84" t="s">
        <v>602</v>
      </c>
      <c r="J351" s="69"/>
    </row>
    <row r="352" spans="1:10" x14ac:dyDescent="0.3">
      <c r="A352" s="84">
        <v>351</v>
      </c>
      <c r="B352" s="84" t="s">
        <v>1049</v>
      </c>
      <c r="C352" s="84" t="s">
        <v>396</v>
      </c>
      <c r="D352" s="115" t="s">
        <v>1050</v>
      </c>
      <c r="E352" s="85" t="s">
        <v>1046</v>
      </c>
      <c r="F352" s="84" t="s">
        <v>629</v>
      </c>
      <c r="G352" s="85" t="s">
        <v>629</v>
      </c>
      <c r="H352" s="85" t="str">
        <f>TEXT(Table7[[#This Row],[EXPIRY DATE]],"YYY")</f>
        <v>LIFETIME</v>
      </c>
      <c r="I352" s="84" t="s">
        <v>602</v>
      </c>
      <c r="J352" s="69"/>
    </row>
    <row r="353" spans="1:10" x14ac:dyDescent="0.3">
      <c r="A353" s="84">
        <v>352</v>
      </c>
      <c r="B353" s="84" t="s">
        <v>1051</v>
      </c>
      <c r="C353" s="84" t="s">
        <v>396</v>
      </c>
      <c r="D353" s="115" t="s">
        <v>1052</v>
      </c>
      <c r="E353" s="85" t="s">
        <v>1031</v>
      </c>
      <c r="F353" s="84" t="s">
        <v>629</v>
      </c>
      <c r="G353" s="85" t="s">
        <v>629</v>
      </c>
      <c r="H353" s="85" t="str">
        <f>TEXT(Table7[[#This Row],[EXPIRY DATE]],"YYY")</f>
        <v>LIFETIME</v>
      </c>
      <c r="I353" s="84" t="s">
        <v>602</v>
      </c>
      <c r="J353" s="69"/>
    </row>
    <row r="354" spans="1:10" ht="20.399999999999999" x14ac:dyDescent="0.3">
      <c r="A354" s="84">
        <v>353</v>
      </c>
      <c r="B354" s="84" t="s">
        <v>1053</v>
      </c>
      <c r="C354" s="84" t="s">
        <v>396</v>
      </c>
      <c r="D354" s="115" t="s">
        <v>1054</v>
      </c>
      <c r="E354" s="85" t="s">
        <v>1031</v>
      </c>
      <c r="F354" s="84" t="s">
        <v>629</v>
      </c>
      <c r="G354" s="85" t="s">
        <v>625</v>
      </c>
      <c r="H354" s="85" t="str">
        <f>TEXT(Table7[[#This Row],[EXPIRY DATE]],"YYY")</f>
        <v>LIFETIME</v>
      </c>
      <c r="I354" s="84" t="s">
        <v>602</v>
      </c>
      <c r="J354" s="69"/>
    </row>
    <row r="355" spans="1:10" x14ac:dyDescent="0.3">
      <c r="A355" s="84">
        <v>354</v>
      </c>
      <c r="B355" s="84" t="s">
        <v>1020</v>
      </c>
      <c r="C355" s="84" t="s">
        <v>396</v>
      </c>
      <c r="D355" s="115" t="s">
        <v>1021</v>
      </c>
      <c r="E355" s="85" t="s">
        <v>1022</v>
      </c>
      <c r="F355" s="85" t="s">
        <v>629</v>
      </c>
      <c r="G355" s="85" t="str">
        <f>TEXT(Table7[[#This Row],[EXPIRY DATE]],"MMM")</f>
        <v>LIFETIME</v>
      </c>
      <c r="H355" s="85" t="str">
        <f>TEXT(Table7[[#This Row],[EXPIRY DATE]],"YYY")</f>
        <v>LIFETIME</v>
      </c>
      <c r="I355" s="84" t="s">
        <v>602</v>
      </c>
      <c r="J355" s="69"/>
    </row>
    <row r="356" spans="1:10" x14ac:dyDescent="0.3">
      <c r="A356" s="84">
        <v>355</v>
      </c>
      <c r="B356" s="80" t="s">
        <v>1055</v>
      </c>
      <c r="C356" s="84" t="s">
        <v>396</v>
      </c>
      <c r="D356" s="122" t="s">
        <v>1055</v>
      </c>
      <c r="E356" s="85" t="s">
        <v>692</v>
      </c>
      <c r="F356" s="84" t="s">
        <v>629</v>
      </c>
      <c r="G356" s="84" t="s">
        <v>629</v>
      </c>
      <c r="H356" s="85" t="str">
        <f>TEXT(Table7[[#This Row],[EXPIRY DATE]],"YYY")</f>
        <v>LIFETIME</v>
      </c>
      <c r="I356" s="84" t="s">
        <v>602</v>
      </c>
      <c r="J356" s="69"/>
    </row>
    <row r="357" spans="1:10" x14ac:dyDescent="0.3">
      <c r="A357" s="84">
        <v>356</v>
      </c>
      <c r="B357" s="80" t="s">
        <v>1056</v>
      </c>
      <c r="C357" s="84" t="s">
        <v>396</v>
      </c>
      <c r="D357" s="122" t="s">
        <v>1056</v>
      </c>
      <c r="E357" s="85" t="s">
        <v>692</v>
      </c>
      <c r="F357" s="84" t="s">
        <v>629</v>
      </c>
      <c r="G357" s="84" t="s">
        <v>629</v>
      </c>
      <c r="H357" s="85" t="str">
        <f>TEXT(Table7[[#This Row],[EXPIRY DATE]],"YYY")</f>
        <v>LIFETIME</v>
      </c>
      <c r="I357" s="84" t="s">
        <v>602</v>
      </c>
      <c r="J357" s="69"/>
    </row>
    <row r="358" spans="1:10" x14ac:dyDescent="0.3">
      <c r="A358" s="84">
        <v>357</v>
      </c>
      <c r="B358" s="80" t="s">
        <v>1057</v>
      </c>
      <c r="C358" s="84" t="s">
        <v>396</v>
      </c>
      <c r="D358" s="122" t="s">
        <v>1057</v>
      </c>
      <c r="E358" s="85" t="s">
        <v>692</v>
      </c>
      <c r="F358" s="84" t="s">
        <v>629</v>
      </c>
      <c r="G358" s="84" t="s">
        <v>629</v>
      </c>
      <c r="H358" s="85" t="str">
        <f>TEXT(Table7[[#This Row],[EXPIRY DATE]],"YYY")</f>
        <v>LIFETIME</v>
      </c>
      <c r="I358" s="84" t="s">
        <v>602</v>
      </c>
      <c r="J358" s="69"/>
    </row>
    <row r="359" spans="1:10" x14ac:dyDescent="0.3">
      <c r="A359" s="84">
        <v>358</v>
      </c>
      <c r="B359" s="84" t="s">
        <v>1058</v>
      </c>
      <c r="C359" s="84" t="s">
        <v>396</v>
      </c>
      <c r="D359" s="115" t="s">
        <v>1059</v>
      </c>
      <c r="E359" s="85" t="s">
        <v>1046</v>
      </c>
      <c r="F359" s="84" t="s">
        <v>629</v>
      </c>
      <c r="G359" s="85" t="s">
        <v>629</v>
      </c>
      <c r="H359" s="85" t="str">
        <f>TEXT(Table7[[#This Row],[EXPIRY DATE]],"YYY")</f>
        <v>LIFETIME</v>
      </c>
      <c r="I359" s="84" t="s">
        <v>602</v>
      </c>
      <c r="J359" s="69"/>
    </row>
    <row r="360" spans="1:10" x14ac:dyDescent="0.3">
      <c r="A360" s="84">
        <v>359</v>
      </c>
      <c r="B360" s="84" t="s">
        <v>1060</v>
      </c>
      <c r="C360" s="84" t="s">
        <v>396</v>
      </c>
      <c r="D360" s="115" t="s">
        <v>1061</v>
      </c>
      <c r="E360" s="85" t="s">
        <v>633</v>
      </c>
      <c r="F360" s="84" t="s">
        <v>629</v>
      </c>
      <c r="G360" s="84" t="s">
        <v>629</v>
      </c>
      <c r="H360" s="84" t="s">
        <v>629</v>
      </c>
      <c r="I360" s="84" t="s">
        <v>602</v>
      </c>
      <c r="J360" s="69"/>
    </row>
    <row r="361" spans="1:10" x14ac:dyDescent="0.3">
      <c r="A361" s="84">
        <v>360</v>
      </c>
      <c r="B361" s="84" t="s">
        <v>1062</v>
      </c>
      <c r="C361" s="84" t="s">
        <v>396</v>
      </c>
      <c r="D361" s="115" t="s">
        <v>1063</v>
      </c>
      <c r="E361" s="85" t="s">
        <v>633</v>
      </c>
      <c r="F361" s="84" t="s">
        <v>629</v>
      </c>
      <c r="G361" s="84" t="s">
        <v>629</v>
      </c>
      <c r="H361" s="84" t="s">
        <v>629</v>
      </c>
      <c r="I361" s="84" t="s">
        <v>602</v>
      </c>
      <c r="J361" s="69"/>
    </row>
    <row r="362" spans="1:10" x14ac:dyDescent="0.3">
      <c r="A362" s="84">
        <v>361</v>
      </c>
      <c r="B362" s="84" t="s">
        <v>1064</v>
      </c>
      <c r="C362" s="84" t="s">
        <v>396</v>
      </c>
      <c r="D362" s="115" t="s">
        <v>1065</v>
      </c>
      <c r="E362" s="85" t="s">
        <v>633</v>
      </c>
      <c r="F362" s="84" t="s">
        <v>629</v>
      </c>
      <c r="G362" s="84" t="s">
        <v>629</v>
      </c>
      <c r="H362" s="84" t="s">
        <v>629</v>
      </c>
      <c r="I362" s="84" t="s">
        <v>602</v>
      </c>
      <c r="J362" s="69"/>
    </row>
    <row r="363" spans="1:10" x14ac:dyDescent="0.3">
      <c r="A363" s="84">
        <v>362</v>
      </c>
      <c r="B363" s="84" t="s">
        <v>1066</v>
      </c>
      <c r="C363" s="84" t="s">
        <v>396</v>
      </c>
      <c r="D363" s="115" t="s">
        <v>1067</v>
      </c>
      <c r="E363" s="85" t="s">
        <v>633</v>
      </c>
      <c r="F363" s="84" t="s">
        <v>629</v>
      </c>
      <c r="G363" s="84" t="s">
        <v>629</v>
      </c>
      <c r="H363" s="84" t="s">
        <v>629</v>
      </c>
      <c r="I363" s="84" t="s">
        <v>602</v>
      </c>
      <c r="J363" s="69"/>
    </row>
    <row r="364" spans="1:10" x14ac:dyDescent="0.3">
      <c r="A364" s="84">
        <v>363</v>
      </c>
      <c r="B364" s="84" t="s">
        <v>1068</v>
      </c>
      <c r="C364" s="84" t="s">
        <v>396</v>
      </c>
      <c r="D364" s="115" t="s">
        <v>1067</v>
      </c>
      <c r="E364" s="85" t="s">
        <v>633</v>
      </c>
      <c r="F364" s="84" t="s">
        <v>629</v>
      </c>
      <c r="G364" s="84" t="s">
        <v>629</v>
      </c>
      <c r="H364" s="84" t="s">
        <v>629</v>
      </c>
      <c r="I364" s="84" t="s">
        <v>602</v>
      </c>
      <c r="J364" s="69"/>
    </row>
    <row r="365" spans="1:10" x14ac:dyDescent="0.3">
      <c r="A365" s="84">
        <v>364</v>
      </c>
      <c r="B365" s="84" t="s">
        <v>1069</v>
      </c>
      <c r="C365" s="84" t="s">
        <v>396</v>
      </c>
      <c r="D365" s="115" t="s">
        <v>1070</v>
      </c>
      <c r="E365" s="85" t="s">
        <v>633</v>
      </c>
      <c r="F365" s="84" t="s">
        <v>629</v>
      </c>
      <c r="G365" s="85" t="s">
        <v>629</v>
      </c>
      <c r="H365" s="85" t="str">
        <f>TEXT(Table7[[#This Row],[EXPIRY DATE]],"YYY")</f>
        <v>LIFETIME</v>
      </c>
      <c r="I365" s="84" t="s">
        <v>602</v>
      </c>
      <c r="J365" s="69"/>
    </row>
    <row r="366" spans="1:10" x14ac:dyDescent="0.3">
      <c r="A366" s="84">
        <v>365</v>
      </c>
      <c r="B366" s="84" t="s">
        <v>1071</v>
      </c>
      <c r="C366" s="84" t="s">
        <v>545</v>
      </c>
      <c r="D366" s="115" t="s">
        <v>1072</v>
      </c>
      <c r="E366" s="85" t="s">
        <v>737</v>
      </c>
      <c r="F366" s="85">
        <v>46112</v>
      </c>
      <c r="G366" s="85" t="s">
        <v>606</v>
      </c>
      <c r="H366" s="85" t="str">
        <f>TEXT(Table7[[#This Row],[EXPIRY DATE]],"YYY")</f>
        <v>2026</v>
      </c>
      <c r="I366" s="84" t="s">
        <v>607</v>
      </c>
      <c r="J366" s="69"/>
    </row>
    <row r="367" spans="1:10" x14ac:dyDescent="0.3">
      <c r="A367" s="84">
        <v>366</v>
      </c>
      <c r="B367" s="84" t="s">
        <v>1073</v>
      </c>
      <c r="C367" s="84" t="s">
        <v>235</v>
      </c>
      <c r="D367" s="115" t="s">
        <v>1074</v>
      </c>
      <c r="E367" s="85" t="s">
        <v>737</v>
      </c>
      <c r="F367" s="85">
        <v>47798</v>
      </c>
      <c r="G367" s="85" t="s">
        <v>842</v>
      </c>
      <c r="H367" s="85" t="str">
        <f>TEXT(Table7[[#This Row],[EXPIRY DATE]],"YYY")</f>
        <v>2030</v>
      </c>
      <c r="I367" s="84" t="s">
        <v>791</v>
      </c>
      <c r="J367" s="69"/>
    </row>
    <row r="368" spans="1:10" x14ac:dyDescent="0.3">
      <c r="A368" s="84">
        <v>367</v>
      </c>
      <c r="B368" s="84" t="s">
        <v>1075</v>
      </c>
      <c r="C368" s="84" t="s">
        <v>235</v>
      </c>
      <c r="D368" s="115" t="s">
        <v>1076</v>
      </c>
      <c r="E368" s="85" t="s">
        <v>616</v>
      </c>
      <c r="F368" s="85">
        <v>47833</v>
      </c>
      <c r="G368" s="85" t="s">
        <v>625</v>
      </c>
      <c r="H368" s="85" t="str">
        <f>TEXT(Table7[[#This Row],[EXPIRY DATE]],"YYY")</f>
        <v>2030</v>
      </c>
      <c r="I368" s="84" t="s">
        <v>791</v>
      </c>
      <c r="J368" s="69"/>
    </row>
    <row r="369" spans="1:10" x14ac:dyDescent="0.3">
      <c r="A369" s="84">
        <v>368</v>
      </c>
      <c r="B369" s="84" t="s">
        <v>1077</v>
      </c>
      <c r="C369" s="84" t="s">
        <v>1078</v>
      </c>
      <c r="D369" s="115" t="s">
        <v>1079</v>
      </c>
      <c r="E369" s="85" t="s">
        <v>601</v>
      </c>
      <c r="F369" s="85"/>
      <c r="G369" s="85" t="s">
        <v>629</v>
      </c>
      <c r="H369" s="85" t="s">
        <v>629</v>
      </c>
      <c r="I369" s="84" t="s">
        <v>916</v>
      </c>
      <c r="J369" s="69"/>
    </row>
    <row r="370" spans="1:10" x14ac:dyDescent="0.3">
      <c r="A370" s="84">
        <v>369</v>
      </c>
      <c r="B370" s="84" t="s">
        <v>1080</v>
      </c>
      <c r="C370" s="84" t="s">
        <v>1078</v>
      </c>
      <c r="D370" s="115" t="s">
        <v>1081</v>
      </c>
      <c r="E370" s="85" t="s">
        <v>692</v>
      </c>
      <c r="F370" s="85">
        <v>45747</v>
      </c>
      <c r="G370" s="85" t="str">
        <f>TEXT(Table7[[#This Row],[EXPIRY DATE]],"MMM")</f>
        <v>Mar</v>
      </c>
      <c r="H370" s="85" t="str">
        <f>TEXT(Table7[[#This Row],[EXPIRY DATE]],"YYY")</f>
        <v>2025</v>
      </c>
      <c r="I370" s="84" t="s">
        <v>1082</v>
      </c>
      <c r="J370" s="69"/>
    </row>
    <row r="371" spans="1:10" x14ac:dyDescent="0.3">
      <c r="A371" s="84">
        <v>370</v>
      </c>
      <c r="B371" s="84" t="s">
        <v>1083</v>
      </c>
      <c r="C371" s="84" t="s">
        <v>1078</v>
      </c>
      <c r="D371" s="115" t="s">
        <v>1084</v>
      </c>
      <c r="E371" s="85" t="s">
        <v>692</v>
      </c>
      <c r="F371" s="85">
        <v>45747</v>
      </c>
      <c r="G371" s="85" t="str">
        <f>TEXT(Table7[[#This Row],[EXPIRY DATE]],"MMM")</f>
        <v>Mar</v>
      </c>
      <c r="H371" s="85" t="str">
        <f>TEXT(Table7[[#This Row],[EXPIRY DATE]],"YYY")</f>
        <v>2025</v>
      </c>
      <c r="I371" s="84" t="s">
        <v>1082</v>
      </c>
      <c r="J371" s="69"/>
    </row>
    <row r="372" spans="1:10" x14ac:dyDescent="0.3">
      <c r="A372" s="84">
        <v>371</v>
      </c>
      <c r="B372" s="84" t="s">
        <v>1085</v>
      </c>
      <c r="C372" s="84" t="s">
        <v>1078</v>
      </c>
      <c r="D372" s="115" t="s">
        <v>1086</v>
      </c>
      <c r="E372" s="85" t="s">
        <v>601</v>
      </c>
      <c r="F372" s="85">
        <v>45925</v>
      </c>
      <c r="G372" s="85" t="str">
        <f>TEXT(Table7[[#This Row],[EXPIRY DATE]],"MMM")</f>
        <v>Sep</v>
      </c>
      <c r="H372" s="85" t="str">
        <f>TEXT(Table7[[#This Row],[EXPIRY DATE]],"YYY")</f>
        <v>2025</v>
      </c>
      <c r="I372" s="84" t="s">
        <v>839</v>
      </c>
      <c r="J372" s="69"/>
    </row>
    <row r="373" spans="1:10" x14ac:dyDescent="0.3">
      <c r="A373" s="84">
        <v>372</v>
      </c>
      <c r="B373" s="84" t="s">
        <v>1087</v>
      </c>
      <c r="C373" s="84" t="s">
        <v>1078</v>
      </c>
      <c r="D373" s="115" t="s">
        <v>1088</v>
      </c>
      <c r="E373" s="85" t="s">
        <v>601</v>
      </c>
      <c r="F373" s="85">
        <v>45925</v>
      </c>
      <c r="G373" s="85" t="str">
        <f>TEXT(Table7[[#This Row],[EXPIRY DATE]],"MMM")</f>
        <v>Sep</v>
      </c>
      <c r="H373" s="85" t="str">
        <f>TEXT(Table7[[#This Row],[EXPIRY DATE]],"YYY")</f>
        <v>2025</v>
      </c>
      <c r="I373" s="84" t="s">
        <v>839</v>
      </c>
      <c r="J373" s="69"/>
    </row>
    <row r="374" spans="1:10" x14ac:dyDescent="0.3">
      <c r="A374" s="84">
        <v>373</v>
      </c>
      <c r="B374" s="84" t="s">
        <v>1089</v>
      </c>
      <c r="C374" s="84" t="s">
        <v>1078</v>
      </c>
      <c r="D374" s="115" t="s">
        <v>1088</v>
      </c>
      <c r="E374" s="85" t="s">
        <v>601</v>
      </c>
      <c r="F374" s="85">
        <v>45925</v>
      </c>
      <c r="G374" s="85" t="str">
        <f>TEXT(Table7[[#This Row],[EXPIRY DATE]],"MMM")</f>
        <v>Sep</v>
      </c>
      <c r="H374" s="85" t="str">
        <f>TEXT(Table7[[#This Row],[EXPIRY DATE]],"YYY")</f>
        <v>2025</v>
      </c>
      <c r="I374" s="84" t="s">
        <v>916</v>
      </c>
      <c r="J374" s="69"/>
    </row>
    <row r="375" spans="1:10" x14ac:dyDescent="0.3">
      <c r="A375" s="84">
        <v>374</v>
      </c>
      <c r="B375" s="84" t="s">
        <v>1090</v>
      </c>
      <c r="C375" s="84" t="s">
        <v>1078</v>
      </c>
      <c r="D375" s="115" t="s">
        <v>1091</v>
      </c>
      <c r="E375" s="85" t="s">
        <v>601</v>
      </c>
      <c r="F375" s="85">
        <v>45925</v>
      </c>
      <c r="G375" s="85" t="s">
        <v>591</v>
      </c>
      <c r="H375" s="85" t="str">
        <f>TEXT(Table7[[#This Row],[EXPIRY DATE]],"YYY")</f>
        <v>2025</v>
      </c>
      <c r="I375" s="84" t="s">
        <v>839</v>
      </c>
      <c r="J375" s="69"/>
    </row>
    <row r="376" spans="1:10" x14ac:dyDescent="0.3">
      <c r="A376" s="84">
        <v>375</v>
      </c>
      <c r="B376" s="84" t="s">
        <v>1090</v>
      </c>
      <c r="C376" s="84" t="s">
        <v>1078</v>
      </c>
      <c r="D376" s="115" t="s">
        <v>1091</v>
      </c>
      <c r="E376" s="85" t="s">
        <v>601</v>
      </c>
      <c r="F376" s="85">
        <v>45925</v>
      </c>
      <c r="G376" s="85" t="s">
        <v>591</v>
      </c>
      <c r="H376" s="85" t="str">
        <f>TEXT(Table7[[#This Row],[EXPIRY DATE]],"YYY")</f>
        <v>2025</v>
      </c>
      <c r="I376" s="84" t="s">
        <v>916</v>
      </c>
      <c r="J376" s="69"/>
    </row>
    <row r="377" spans="1:10" x14ac:dyDescent="0.3">
      <c r="A377" s="84">
        <v>376</v>
      </c>
      <c r="B377" s="84" t="s">
        <v>1092</v>
      </c>
      <c r="C377" s="84" t="s">
        <v>1078</v>
      </c>
      <c r="D377" s="115" t="s">
        <v>1093</v>
      </c>
      <c r="E377" s="85" t="s">
        <v>601</v>
      </c>
      <c r="F377" s="85">
        <v>45925</v>
      </c>
      <c r="G377" s="85" t="str">
        <f>TEXT(Table7[[#This Row],[EXPIRY DATE]],"MMM")</f>
        <v>Sep</v>
      </c>
      <c r="H377" s="85" t="str">
        <f>TEXT(Table7[[#This Row],[EXPIRY DATE]],"YYY")</f>
        <v>2025</v>
      </c>
      <c r="I377" s="84" t="s">
        <v>839</v>
      </c>
      <c r="J377" s="69"/>
    </row>
    <row r="378" spans="1:10" x14ac:dyDescent="0.3">
      <c r="A378" s="84">
        <v>377</v>
      </c>
      <c r="B378" s="84" t="s">
        <v>1085</v>
      </c>
      <c r="C378" s="84" t="s">
        <v>1078</v>
      </c>
      <c r="D378" s="115" t="s">
        <v>1086</v>
      </c>
      <c r="E378" s="85" t="s">
        <v>601</v>
      </c>
      <c r="F378" s="85">
        <v>45927</v>
      </c>
      <c r="G378" s="85" t="str">
        <f>TEXT(Table7[[#This Row],[EXPIRY DATE]],"MMM")</f>
        <v>Sep</v>
      </c>
      <c r="H378" s="85" t="str">
        <f>TEXT(Table7[[#This Row],[EXPIRY DATE]],"YYY")</f>
        <v>2025</v>
      </c>
      <c r="I378" s="84" t="s">
        <v>916</v>
      </c>
      <c r="J378" s="69"/>
    </row>
    <row r="379" spans="1:10" x14ac:dyDescent="0.3">
      <c r="A379" s="84">
        <v>378</v>
      </c>
      <c r="B379" s="84" t="s">
        <v>1092</v>
      </c>
      <c r="C379" s="84" t="s">
        <v>1078</v>
      </c>
      <c r="D379" s="115" t="s">
        <v>1093</v>
      </c>
      <c r="E379" s="85" t="s">
        <v>601</v>
      </c>
      <c r="F379" s="85">
        <v>45927</v>
      </c>
      <c r="G379" s="85" t="str">
        <f>TEXT(Table7[[#This Row],[EXPIRY DATE]],"MMM")</f>
        <v>Sep</v>
      </c>
      <c r="H379" s="85" t="str">
        <f>TEXT(Table7[[#This Row],[EXPIRY DATE]],"YYY")</f>
        <v>2025</v>
      </c>
      <c r="I379" s="84" t="s">
        <v>916</v>
      </c>
      <c r="J379" s="69"/>
    </row>
    <row r="380" spans="1:10" x14ac:dyDescent="0.3">
      <c r="A380" s="84">
        <v>379</v>
      </c>
      <c r="B380" s="84" t="s">
        <v>1094</v>
      </c>
      <c r="C380" s="84" t="s">
        <v>1078</v>
      </c>
      <c r="D380" s="115" t="s">
        <v>1095</v>
      </c>
      <c r="E380" s="85" t="s">
        <v>1096</v>
      </c>
      <c r="F380" s="85">
        <v>46022</v>
      </c>
      <c r="G380" s="85" t="str">
        <f>TEXT(Table7[[#This Row],[EXPIRY DATE]],"MMM")</f>
        <v>Dec</v>
      </c>
      <c r="H380" s="85" t="str">
        <f>TEXT(Table7[[#This Row],[EXPIRY DATE]],"YYY")</f>
        <v>2025</v>
      </c>
      <c r="I380" s="84" t="s">
        <v>916</v>
      </c>
      <c r="J380" s="69"/>
    </row>
    <row r="381" spans="1:10" x14ac:dyDescent="0.3">
      <c r="A381" s="84">
        <v>380</v>
      </c>
      <c r="B381" s="84" t="s">
        <v>1097</v>
      </c>
      <c r="C381" s="84" t="s">
        <v>1078</v>
      </c>
      <c r="D381" s="115" t="s">
        <v>1098</v>
      </c>
      <c r="E381" s="85" t="s">
        <v>737</v>
      </c>
      <c r="F381" s="85">
        <v>46022</v>
      </c>
      <c r="G381" s="85" t="str">
        <f>TEXT(Table7[[#This Row],[EXPIRY DATE]],"MMM")</f>
        <v>Dec</v>
      </c>
      <c r="H381" s="85" t="str">
        <f>TEXT(Table7[[#This Row],[EXPIRY DATE]],"YYY")</f>
        <v>2025</v>
      </c>
      <c r="I381" s="84" t="s">
        <v>607</v>
      </c>
      <c r="J381" s="69"/>
    </row>
    <row r="382" spans="1:10" x14ac:dyDescent="0.3">
      <c r="A382" s="84">
        <v>381</v>
      </c>
      <c r="B382" s="84" t="s">
        <v>1097</v>
      </c>
      <c r="C382" s="84" t="s">
        <v>1078</v>
      </c>
      <c r="D382" s="115" t="s">
        <v>1098</v>
      </c>
      <c r="E382" s="85" t="s">
        <v>737</v>
      </c>
      <c r="F382" s="85">
        <v>46022</v>
      </c>
      <c r="G382" s="85" t="str">
        <f>TEXT(Table7[[#This Row],[EXPIRY DATE]],"MMM")</f>
        <v>Dec</v>
      </c>
      <c r="H382" s="85" t="str">
        <f>TEXT(Table7[[#This Row],[EXPIRY DATE]],"YYY")</f>
        <v>2025</v>
      </c>
      <c r="I382" s="84" t="s">
        <v>1099</v>
      </c>
      <c r="J382" s="69"/>
    </row>
    <row r="383" spans="1:10" x14ac:dyDescent="0.3">
      <c r="A383" s="84">
        <v>382</v>
      </c>
      <c r="B383" s="84" t="s">
        <v>1100</v>
      </c>
      <c r="C383" s="84" t="s">
        <v>1078</v>
      </c>
      <c r="D383" s="115" t="s">
        <v>1101</v>
      </c>
      <c r="E383" s="85" t="s">
        <v>737</v>
      </c>
      <c r="F383" s="85">
        <v>46022</v>
      </c>
      <c r="G383" s="85" t="str">
        <f>TEXT(Table7[[#This Row],[EXPIRY DATE]],"MMM")</f>
        <v>Dec</v>
      </c>
      <c r="H383" s="85" t="str">
        <f>TEXT(Table7[[#This Row],[EXPIRY DATE]],"YYY")</f>
        <v>2025</v>
      </c>
      <c r="I383" s="84" t="s">
        <v>607</v>
      </c>
      <c r="J383" s="69"/>
    </row>
    <row r="384" spans="1:10" x14ac:dyDescent="0.3">
      <c r="A384" s="84">
        <v>383</v>
      </c>
      <c r="B384" s="84" t="s">
        <v>1100</v>
      </c>
      <c r="C384" s="84" t="s">
        <v>1078</v>
      </c>
      <c r="D384" s="115" t="s">
        <v>1101</v>
      </c>
      <c r="E384" s="85" t="s">
        <v>737</v>
      </c>
      <c r="F384" s="85">
        <v>46022</v>
      </c>
      <c r="G384" s="85" t="str">
        <f>TEXT(Table7[[#This Row],[EXPIRY DATE]],"MMM")</f>
        <v>Dec</v>
      </c>
      <c r="H384" s="85" t="str">
        <f>TEXT(Table7[[#This Row],[EXPIRY DATE]],"YYY")</f>
        <v>2025</v>
      </c>
      <c r="I384" s="84" t="s">
        <v>1099</v>
      </c>
      <c r="J384" s="69"/>
    </row>
    <row r="385" spans="1:10" x14ac:dyDescent="0.3">
      <c r="A385" s="84">
        <v>384</v>
      </c>
      <c r="B385" s="84" t="s">
        <v>1102</v>
      </c>
      <c r="C385" s="84" t="s">
        <v>1078</v>
      </c>
      <c r="D385" s="115" t="s">
        <v>1103</v>
      </c>
      <c r="E385" s="85" t="s">
        <v>1014</v>
      </c>
      <c r="F385" s="85">
        <v>46022</v>
      </c>
      <c r="G385" s="85" t="s">
        <v>625</v>
      </c>
      <c r="H385" s="85" t="str">
        <f>TEXT(Table7[[#This Row],[EXPIRY DATE]],"YYY")</f>
        <v>2025</v>
      </c>
      <c r="I385" s="84" t="s">
        <v>916</v>
      </c>
      <c r="J385" s="69"/>
    </row>
    <row r="386" spans="1:10" x14ac:dyDescent="0.3">
      <c r="A386" s="84">
        <v>385</v>
      </c>
      <c r="B386" s="84" t="s">
        <v>1077</v>
      </c>
      <c r="C386" s="84" t="s">
        <v>1078</v>
      </c>
      <c r="D386" s="115" t="s">
        <v>1104</v>
      </c>
      <c r="E386" s="85" t="s">
        <v>601</v>
      </c>
      <c r="F386" s="85">
        <v>46022</v>
      </c>
      <c r="G386" s="85" t="str">
        <f>TEXT(Table7[[#This Row],[EXPIRY DATE]],"MMM")</f>
        <v>Dec</v>
      </c>
      <c r="H386" s="85" t="str">
        <f>TEXT(Table7[[#This Row],[EXPIRY DATE]],"YYY")</f>
        <v>2025</v>
      </c>
      <c r="I386" s="84" t="s">
        <v>839</v>
      </c>
      <c r="J386" s="69"/>
    </row>
    <row r="387" spans="1:10" x14ac:dyDescent="0.3">
      <c r="A387" s="84">
        <v>386</v>
      </c>
      <c r="B387" s="84" t="s">
        <v>1073</v>
      </c>
      <c r="C387" s="84" t="s">
        <v>1078</v>
      </c>
      <c r="D387" s="115" t="s">
        <v>1074</v>
      </c>
      <c r="E387" s="85" t="s">
        <v>737</v>
      </c>
      <c r="F387" s="85">
        <v>46022</v>
      </c>
      <c r="G387" s="85" t="s">
        <v>625</v>
      </c>
      <c r="H387" s="85" t="str">
        <f>TEXT(Table7[[#This Row],[EXPIRY DATE]],"YYY")</f>
        <v>2025</v>
      </c>
      <c r="I387" s="84" t="s">
        <v>607</v>
      </c>
      <c r="J387" s="69"/>
    </row>
    <row r="388" spans="1:10" x14ac:dyDescent="0.3">
      <c r="A388" s="84">
        <v>387</v>
      </c>
      <c r="B388" s="84" t="s">
        <v>1105</v>
      </c>
      <c r="C388" s="84" t="s">
        <v>1078</v>
      </c>
      <c r="D388" s="115" t="s">
        <v>1106</v>
      </c>
      <c r="E388" s="85" t="s">
        <v>616</v>
      </c>
      <c r="F388" s="85">
        <v>46067</v>
      </c>
      <c r="G388" s="85" t="str">
        <f>TEXT(Table7[[#This Row],[EXPIRY DATE]],"MMM")</f>
        <v>Feb</v>
      </c>
      <c r="H388" s="85" t="str">
        <f>TEXT(Table7[[#This Row],[EXPIRY DATE]],"YYY")</f>
        <v>2026</v>
      </c>
      <c r="I388" s="85" t="s">
        <v>791</v>
      </c>
      <c r="J388" s="69"/>
    </row>
    <row r="389" spans="1:10" x14ac:dyDescent="0.3">
      <c r="A389" s="84">
        <v>388</v>
      </c>
      <c r="B389" s="84" t="s">
        <v>1107</v>
      </c>
      <c r="C389" s="84" t="s">
        <v>1078</v>
      </c>
      <c r="D389" s="115" t="s">
        <v>1108</v>
      </c>
      <c r="E389" s="85" t="s">
        <v>616</v>
      </c>
      <c r="F389" s="85">
        <v>46107</v>
      </c>
      <c r="G389" s="85" t="s">
        <v>606</v>
      </c>
      <c r="H389" s="85" t="str">
        <f>TEXT(Table7[[#This Row],[EXPIRY DATE]],"YYY")</f>
        <v>2026</v>
      </c>
      <c r="I389" s="84" t="s">
        <v>1109</v>
      </c>
      <c r="J389" s="69"/>
    </row>
    <row r="390" spans="1:10" x14ac:dyDescent="0.3">
      <c r="A390" s="84">
        <v>389</v>
      </c>
      <c r="B390" s="84" t="s">
        <v>1090</v>
      </c>
      <c r="C390" s="84" t="s">
        <v>1078</v>
      </c>
      <c r="D390" s="115" t="s">
        <v>1091</v>
      </c>
      <c r="E390" s="85" t="s">
        <v>601</v>
      </c>
      <c r="F390" s="85">
        <v>46112</v>
      </c>
      <c r="G390" s="85" t="s">
        <v>606</v>
      </c>
      <c r="H390" s="85" t="str">
        <f>TEXT(Table7[[#This Row],[EXPIRY DATE]],"YYY")</f>
        <v>2026</v>
      </c>
      <c r="I390" s="84" t="s">
        <v>621</v>
      </c>
      <c r="J390" s="69"/>
    </row>
    <row r="391" spans="1:10" x14ac:dyDescent="0.3">
      <c r="A391" s="84">
        <v>390</v>
      </c>
      <c r="B391" s="84" t="s">
        <v>1110</v>
      </c>
      <c r="C391" s="84" t="s">
        <v>1078</v>
      </c>
      <c r="D391" s="115" t="s">
        <v>1111</v>
      </c>
      <c r="E391" s="85" t="s">
        <v>601</v>
      </c>
      <c r="F391" s="85">
        <v>46112</v>
      </c>
      <c r="G391" s="85" t="s">
        <v>606</v>
      </c>
      <c r="H391" s="85" t="str">
        <f>TEXT(Table7[[#This Row],[EXPIRY DATE]],"YYY")</f>
        <v>2026</v>
      </c>
      <c r="I391" s="84" t="s">
        <v>621</v>
      </c>
      <c r="J391" s="69"/>
    </row>
    <row r="392" spans="1:10" x14ac:dyDescent="0.3">
      <c r="A392" s="84">
        <v>391</v>
      </c>
      <c r="B392" s="84" t="s">
        <v>1112</v>
      </c>
      <c r="C392" s="84" t="s">
        <v>1078</v>
      </c>
      <c r="D392" s="115" t="s">
        <v>1113</v>
      </c>
      <c r="E392" s="85" t="s">
        <v>616</v>
      </c>
      <c r="F392" s="85">
        <v>46220</v>
      </c>
      <c r="G392" s="85" t="s">
        <v>944</v>
      </c>
      <c r="H392" s="85" t="str">
        <f>TEXT(Table7[[#This Row],[EXPIRY DATE]],"YYY")</f>
        <v>2026</v>
      </c>
      <c r="I392" s="84" t="s">
        <v>839</v>
      </c>
      <c r="J392" s="69"/>
    </row>
    <row r="393" spans="1:10" x14ac:dyDescent="0.3">
      <c r="A393" s="84">
        <v>392</v>
      </c>
      <c r="B393" s="84" t="s">
        <v>1114</v>
      </c>
      <c r="C393" s="84" t="s">
        <v>1078</v>
      </c>
      <c r="D393" s="115" t="s">
        <v>1115</v>
      </c>
      <c r="E393" s="85" t="s">
        <v>717</v>
      </c>
      <c r="F393" s="85">
        <v>46242</v>
      </c>
      <c r="G393" s="85" t="str">
        <f>TEXT(Table7[[#This Row],[EXPIRY DATE]],"MMM")</f>
        <v>Aug</v>
      </c>
      <c r="H393" s="85" t="str">
        <f>TEXT(Table7[[#This Row],[EXPIRY DATE]],"YYY")</f>
        <v>2026</v>
      </c>
      <c r="I393" s="85" t="s">
        <v>791</v>
      </c>
      <c r="J393" s="69"/>
    </row>
    <row r="394" spans="1:10" x14ac:dyDescent="0.3">
      <c r="A394" s="84">
        <v>393</v>
      </c>
      <c r="B394" s="84" t="s">
        <v>1116</v>
      </c>
      <c r="C394" s="84" t="s">
        <v>1078</v>
      </c>
      <c r="D394" s="115" t="s">
        <v>1117</v>
      </c>
      <c r="E394" s="85" t="s">
        <v>717</v>
      </c>
      <c r="F394" s="85">
        <v>46248</v>
      </c>
      <c r="G394" s="85" t="str">
        <f>TEXT(Table7[[#This Row],[EXPIRY DATE]],"MMM")</f>
        <v>Aug</v>
      </c>
      <c r="H394" s="85" t="str">
        <f>TEXT(Table7[[#This Row],[EXPIRY DATE]],"YYY")</f>
        <v>2026</v>
      </c>
      <c r="I394" s="85" t="s">
        <v>791</v>
      </c>
      <c r="J394" s="69"/>
    </row>
    <row r="395" spans="1:10" x14ac:dyDescent="0.3">
      <c r="A395" s="84">
        <v>394</v>
      </c>
      <c r="B395" s="84" t="s">
        <v>1114</v>
      </c>
      <c r="C395" s="84" t="s">
        <v>1078</v>
      </c>
      <c r="D395" s="115" t="s">
        <v>1115</v>
      </c>
      <c r="E395" s="85" t="s">
        <v>717</v>
      </c>
      <c r="F395" s="85">
        <v>46272</v>
      </c>
      <c r="G395" s="85" t="str">
        <f>TEXT(Table7[[#This Row],[EXPIRY DATE]],"MMM")</f>
        <v>Sep</v>
      </c>
      <c r="H395" s="85" t="str">
        <f>TEXT(Table7[[#This Row],[EXPIRY DATE]],"YYY")</f>
        <v>2026</v>
      </c>
      <c r="I395" s="84" t="s">
        <v>839</v>
      </c>
      <c r="J395" s="69"/>
    </row>
    <row r="396" spans="1:10" x14ac:dyDescent="0.3">
      <c r="A396" s="84">
        <v>395</v>
      </c>
      <c r="B396" s="84" t="s">
        <v>1077</v>
      </c>
      <c r="C396" s="84" t="s">
        <v>1078</v>
      </c>
      <c r="D396" s="115" t="s">
        <v>1079</v>
      </c>
      <c r="E396" s="85" t="s">
        <v>601</v>
      </c>
      <c r="F396" s="85">
        <v>46279</v>
      </c>
      <c r="G396" s="85" t="str">
        <f>TEXT(Table7[[#This Row],[EXPIRY DATE]],"MMM")</f>
        <v>Sep</v>
      </c>
      <c r="H396" s="85" t="str">
        <f>TEXT(Table7[[#This Row],[EXPIRY DATE]],"YYY")</f>
        <v>2026</v>
      </c>
      <c r="I396" s="85" t="s">
        <v>791</v>
      </c>
      <c r="J396" s="69"/>
    </row>
    <row r="397" spans="1:10" x14ac:dyDescent="0.3">
      <c r="A397" s="84">
        <v>396</v>
      </c>
      <c r="B397" s="84" t="s">
        <v>1092</v>
      </c>
      <c r="C397" s="84" t="s">
        <v>1078</v>
      </c>
      <c r="D397" s="115" t="s">
        <v>1093</v>
      </c>
      <c r="E397" s="85" t="s">
        <v>601</v>
      </c>
      <c r="F397" s="85">
        <v>46280</v>
      </c>
      <c r="G397" s="85" t="str">
        <f>TEXT(Table7[[#This Row],[EXPIRY DATE]],"MMM")</f>
        <v>Sep</v>
      </c>
      <c r="H397" s="85" t="str">
        <f>TEXT(Table7[[#This Row],[EXPIRY DATE]],"YYY")</f>
        <v>2026</v>
      </c>
      <c r="I397" s="85" t="s">
        <v>791</v>
      </c>
      <c r="J397" s="69"/>
    </row>
    <row r="398" spans="1:10" x14ac:dyDescent="0.3">
      <c r="A398" s="84">
        <v>397</v>
      </c>
      <c r="B398" s="84" t="s">
        <v>1118</v>
      </c>
      <c r="C398" s="84" t="s">
        <v>1078</v>
      </c>
      <c r="D398" s="115" t="s">
        <v>1119</v>
      </c>
      <c r="E398" s="85" t="s">
        <v>601</v>
      </c>
      <c r="F398" s="85">
        <v>46285</v>
      </c>
      <c r="G398" s="85" t="str">
        <f>TEXT(Table7[[#This Row],[EXPIRY DATE]],"MMM")</f>
        <v>Sep</v>
      </c>
      <c r="H398" s="85" t="str">
        <f>TEXT(Table7[[#This Row],[EXPIRY DATE]],"YYY")</f>
        <v>2026</v>
      </c>
      <c r="I398" s="85" t="s">
        <v>791</v>
      </c>
      <c r="J398" s="69"/>
    </row>
    <row r="399" spans="1:10" x14ac:dyDescent="0.3">
      <c r="A399" s="84">
        <v>398</v>
      </c>
      <c r="B399" s="84" t="s">
        <v>1085</v>
      </c>
      <c r="C399" s="84" t="s">
        <v>1078</v>
      </c>
      <c r="D399" s="115" t="s">
        <v>1086</v>
      </c>
      <c r="E399" s="85" t="s">
        <v>601</v>
      </c>
      <c r="F399" s="85">
        <v>46286</v>
      </c>
      <c r="G399" s="85" t="str">
        <f>TEXT(Table7[[#This Row],[EXPIRY DATE]],"MMM")</f>
        <v>Sep</v>
      </c>
      <c r="H399" s="85" t="str">
        <f>TEXT(Table7[[#This Row],[EXPIRY DATE]],"YYY")</f>
        <v>2026</v>
      </c>
      <c r="I399" s="85" t="s">
        <v>791</v>
      </c>
      <c r="J399" s="69"/>
    </row>
    <row r="400" spans="1:10" x14ac:dyDescent="0.3">
      <c r="A400" s="84">
        <v>399</v>
      </c>
      <c r="B400" s="84" t="s">
        <v>1116</v>
      </c>
      <c r="C400" s="84" t="s">
        <v>1078</v>
      </c>
      <c r="D400" s="115" t="s">
        <v>1117</v>
      </c>
      <c r="E400" s="85" t="s">
        <v>616</v>
      </c>
      <c r="F400" s="85">
        <v>46292</v>
      </c>
      <c r="G400" s="85" t="str">
        <f>TEXT(Table7[[#This Row],[EXPIRY DATE]],"MMM")</f>
        <v>Sep</v>
      </c>
      <c r="H400" s="85" t="str">
        <f>TEXT(Table7[[#This Row],[EXPIRY DATE]],"YYY")</f>
        <v>2026</v>
      </c>
      <c r="I400" s="84" t="s">
        <v>839</v>
      </c>
      <c r="J400" s="69"/>
    </row>
    <row r="401" spans="1:10" x14ac:dyDescent="0.3">
      <c r="A401" s="84">
        <v>400</v>
      </c>
      <c r="B401" s="84" t="s">
        <v>1087</v>
      </c>
      <c r="C401" s="84" t="s">
        <v>1078</v>
      </c>
      <c r="D401" s="115" t="s">
        <v>1088</v>
      </c>
      <c r="E401" s="85" t="s">
        <v>601</v>
      </c>
      <c r="F401" s="85">
        <v>46306</v>
      </c>
      <c r="G401" s="85" t="str">
        <f>TEXT(Table7[[#This Row],[EXPIRY DATE]],"MMM")</f>
        <v>Oct</v>
      </c>
      <c r="H401" s="85" t="str">
        <f>TEXT(Table7[[#This Row],[EXPIRY DATE]],"YYY")</f>
        <v>2026</v>
      </c>
      <c r="I401" s="85" t="s">
        <v>791</v>
      </c>
      <c r="J401" s="69"/>
    </row>
    <row r="402" spans="1:10" x14ac:dyDescent="0.3">
      <c r="A402" s="84">
        <v>401</v>
      </c>
      <c r="B402" s="84" t="s">
        <v>1120</v>
      </c>
      <c r="C402" s="84" t="s">
        <v>1078</v>
      </c>
      <c r="D402" s="115" t="s">
        <v>1121</v>
      </c>
      <c r="E402" s="85" t="s">
        <v>616</v>
      </c>
      <c r="F402" s="85">
        <v>46361</v>
      </c>
      <c r="G402" s="85" t="str">
        <f>TEXT(Table7[[#This Row],[EXPIRY DATE]],"MMM")</f>
        <v>Dec</v>
      </c>
      <c r="H402" s="85" t="str">
        <f>TEXT(Table7[[#This Row],[EXPIRY DATE]],"YYY")</f>
        <v>2026</v>
      </c>
      <c r="I402" s="84" t="s">
        <v>839</v>
      </c>
      <c r="J402" s="69"/>
    </row>
    <row r="403" spans="1:10" x14ac:dyDescent="0.3">
      <c r="A403" s="84">
        <v>402</v>
      </c>
      <c r="B403" s="84" t="s">
        <v>1105</v>
      </c>
      <c r="C403" s="84" t="s">
        <v>1078</v>
      </c>
      <c r="D403" s="115" t="s">
        <v>1106</v>
      </c>
      <c r="E403" s="85" t="s">
        <v>616</v>
      </c>
      <c r="F403" s="85">
        <v>46378</v>
      </c>
      <c r="G403" s="85" t="str">
        <f>TEXT(Table7[[#This Row],[EXPIRY DATE]],"MMM")</f>
        <v>Dec</v>
      </c>
      <c r="H403" s="85" t="str">
        <f>TEXT(Table7[[#This Row],[EXPIRY DATE]],"YYY")</f>
        <v>2026</v>
      </c>
      <c r="I403" s="84" t="s">
        <v>839</v>
      </c>
      <c r="J403" s="69"/>
    </row>
    <row r="404" spans="1:10" x14ac:dyDescent="0.3">
      <c r="A404" s="84">
        <v>403</v>
      </c>
      <c r="B404" s="84" t="s">
        <v>1097</v>
      </c>
      <c r="C404" s="84" t="s">
        <v>1078</v>
      </c>
      <c r="D404" s="115" t="s">
        <v>1098</v>
      </c>
      <c r="E404" s="85" t="s">
        <v>790</v>
      </c>
      <c r="F404" s="85">
        <v>46425</v>
      </c>
      <c r="G404" s="85" t="str">
        <f>TEXT(Table7[[#This Row],[EXPIRY DATE]],"MMM")</f>
        <v>Feb</v>
      </c>
      <c r="H404" s="85" t="str">
        <f>TEXT(Table7[[#This Row],[EXPIRY DATE]],"YYY")</f>
        <v>2027</v>
      </c>
      <c r="I404" s="85" t="s">
        <v>791</v>
      </c>
      <c r="J404" s="69"/>
    </row>
    <row r="405" spans="1:10" x14ac:dyDescent="0.3">
      <c r="A405" s="84">
        <v>404</v>
      </c>
      <c r="B405" s="84" t="s">
        <v>1102</v>
      </c>
      <c r="C405" s="84" t="s">
        <v>1078</v>
      </c>
      <c r="D405" s="115" t="s">
        <v>1103</v>
      </c>
      <c r="E405" s="85" t="s">
        <v>1014</v>
      </c>
      <c r="F405" s="85">
        <v>46503</v>
      </c>
      <c r="G405" s="85" t="s">
        <v>625</v>
      </c>
      <c r="H405" s="85" t="str">
        <f>TEXT(Table7[[#This Row],[EXPIRY DATE]],"YYY")</f>
        <v>2027</v>
      </c>
      <c r="I405" s="84" t="s">
        <v>791</v>
      </c>
      <c r="J405" s="69"/>
    </row>
    <row r="406" spans="1:10" x14ac:dyDescent="0.3">
      <c r="A406" s="84">
        <v>405</v>
      </c>
      <c r="B406" s="84" t="s">
        <v>1110</v>
      </c>
      <c r="C406" s="84" t="s">
        <v>1078</v>
      </c>
      <c r="D406" s="115" t="s">
        <v>1111</v>
      </c>
      <c r="E406" s="85" t="s">
        <v>601</v>
      </c>
      <c r="F406" s="85">
        <v>46535</v>
      </c>
      <c r="G406" s="85" t="s">
        <v>838</v>
      </c>
      <c r="H406" s="85" t="str">
        <f>TEXT(Table7[[#This Row],[EXPIRY DATE]],"YYY")</f>
        <v>2027</v>
      </c>
      <c r="I406" s="84" t="s">
        <v>791</v>
      </c>
      <c r="J406" s="69"/>
    </row>
    <row r="407" spans="1:10" x14ac:dyDescent="0.3">
      <c r="A407" s="84">
        <v>406</v>
      </c>
      <c r="B407" s="84" t="s">
        <v>1122</v>
      </c>
      <c r="C407" s="84" t="s">
        <v>1078</v>
      </c>
      <c r="D407" s="115" t="s">
        <v>1123</v>
      </c>
      <c r="E407" s="85" t="s">
        <v>601</v>
      </c>
      <c r="F407" s="85">
        <v>46538</v>
      </c>
      <c r="G407" s="85" t="s">
        <v>838</v>
      </c>
      <c r="H407" s="85" t="str">
        <f>TEXT(Table7[[#This Row],[EXPIRY DATE]],"YYY")</f>
        <v>2027</v>
      </c>
      <c r="I407" s="84" t="s">
        <v>791</v>
      </c>
      <c r="J407" s="69"/>
    </row>
    <row r="408" spans="1:10" x14ac:dyDescent="0.3">
      <c r="A408" s="84">
        <v>407</v>
      </c>
      <c r="B408" s="84" t="s">
        <v>1124</v>
      </c>
      <c r="C408" s="84" t="s">
        <v>1078</v>
      </c>
      <c r="D408" s="115" t="s">
        <v>1125</v>
      </c>
      <c r="E408" s="85" t="s">
        <v>1126</v>
      </c>
      <c r="F408" s="85">
        <v>46589</v>
      </c>
      <c r="G408" s="85" t="str">
        <f>TEXT(Table7[[#This Row],[EXPIRY DATE]],"MMM")</f>
        <v>Jul</v>
      </c>
      <c r="H408" s="85" t="str">
        <f>TEXT(Table7[[#This Row],[EXPIRY DATE]],"YYY")</f>
        <v>2027</v>
      </c>
      <c r="I408" s="85" t="s">
        <v>791</v>
      </c>
      <c r="J408" s="69"/>
    </row>
    <row r="409" spans="1:10" x14ac:dyDescent="0.3">
      <c r="A409" s="84">
        <v>408</v>
      </c>
      <c r="B409" s="84" t="s">
        <v>1112</v>
      </c>
      <c r="C409" s="84" t="s">
        <v>1078</v>
      </c>
      <c r="D409" s="115" t="s">
        <v>1113</v>
      </c>
      <c r="E409" s="85" t="s">
        <v>616</v>
      </c>
      <c r="F409" s="85">
        <v>46589</v>
      </c>
      <c r="G409" s="85" t="s">
        <v>619</v>
      </c>
      <c r="H409" s="85" t="str">
        <f>TEXT(Table7[[#This Row],[EXPIRY DATE]],"YYY")</f>
        <v>2027</v>
      </c>
      <c r="I409" s="84" t="s">
        <v>791</v>
      </c>
      <c r="J409" s="69"/>
    </row>
    <row r="410" spans="1:10" x14ac:dyDescent="0.3">
      <c r="A410" s="84">
        <v>409</v>
      </c>
      <c r="B410" s="84" t="s">
        <v>1090</v>
      </c>
      <c r="C410" s="84" t="s">
        <v>1078</v>
      </c>
      <c r="D410" s="115" t="s">
        <v>1091</v>
      </c>
      <c r="E410" s="85" t="s">
        <v>601</v>
      </c>
      <c r="F410" s="85">
        <v>46672</v>
      </c>
      <c r="G410" s="85" t="s">
        <v>901</v>
      </c>
      <c r="H410" s="85" t="str">
        <f>TEXT(Table7[[#This Row],[EXPIRY DATE]],"YYY")</f>
        <v>2027</v>
      </c>
      <c r="I410" s="84" t="s">
        <v>791</v>
      </c>
      <c r="J410" s="69"/>
    </row>
    <row r="411" spans="1:10" x14ac:dyDescent="0.3">
      <c r="A411" s="84">
        <v>410</v>
      </c>
      <c r="B411" s="84" t="s">
        <v>1094</v>
      </c>
      <c r="C411" s="84" t="s">
        <v>1078</v>
      </c>
      <c r="D411" s="115" t="s">
        <v>1095</v>
      </c>
      <c r="E411" s="85" t="s">
        <v>1096</v>
      </c>
      <c r="F411" s="85">
        <v>46728</v>
      </c>
      <c r="G411" s="85" t="str">
        <f>TEXT(Table7[[#This Row],[EXPIRY DATE]],"MMM")</f>
        <v>Dec</v>
      </c>
      <c r="H411" s="85" t="str">
        <f>TEXT(Table7[[#This Row],[EXPIRY DATE]],"YYY")</f>
        <v>2027</v>
      </c>
      <c r="I411" s="85" t="s">
        <v>791</v>
      </c>
      <c r="J411" s="69"/>
    </row>
    <row r="412" spans="1:10" x14ac:dyDescent="0.3">
      <c r="A412" s="84">
        <v>411</v>
      </c>
      <c r="B412" s="84" t="s">
        <v>1120</v>
      </c>
      <c r="C412" s="84" t="s">
        <v>1078</v>
      </c>
      <c r="D412" s="115" t="s">
        <v>1127</v>
      </c>
      <c r="E412" s="85" t="s">
        <v>1126</v>
      </c>
      <c r="F412" s="85">
        <v>47310</v>
      </c>
      <c r="G412" s="85" t="str">
        <f>TEXT(Table7[[#This Row],[EXPIRY DATE]],"MMM")</f>
        <v>Jul</v>
      </c>
      <c r="H412" s="85" t="str">
        <f>TEXT(Table7[[#This Row],[EXPIRY DATE]],"YYY")</f>
        <v>2029</v>
      </c>
      <c r="I412" s="85" t="s">
        <v>791</v>
      </c>
      <c r="J412" s="69"/>
    </row>
    <row r="413" spans="1:10" ht="20.399999999999999" x14ac:dyDescent="0.3">
      <c r="A413" s="84">
        <v>412</v>
      </c>
      <c r="B413" s="84" t="s">
        <v>1128</v>
      </c>
      <c r="C413" s="84" t="s">
        <v>1078</v>
      </c>
      <c r="D413" s="115" t="s">
        <v>1129</v>
      </c>
      <c r="E413" s="85" t="s">
        <v>616</v>
      </c>
      <c r="F413" s="85">
        <v>47399</v>
      </c>
      <c r="G413" s="85" t="s">
        <v>901</v>
      </c>
      <c r="H413" s="85" t="str">
        <f>TEXT(Table7[[#This Row],[EXPIRY DATE]],"YYY")</f>
        <v>2029</v>
      </c>
      <c r="I413" s="84" t="s">
        <v>791</v>
      </c>
      <c r="J413" s="69"/>
    </row>
    <row r="414" spans="1:10" x14ac:dyDescent="0.3">
      <c r="A414" s="84">
        <v>413</v>
      </c>
      <c r="B414" s="84" t="s">
        <v>1100</v>
      </c>
      <c r="C414" s="84" t="s">
        <v>1078</v>
      </c>
      <c r="D414" s="115" t="s">
        <v>1101</v>
      </c>
      <c r="E414" s="85" t="s">
        <v>737</v>
      </c>
      <c r="F414" s="85">
        <v>47438</v>
      </c>
      <c r="G414" s="85" t="str">
        <f>TEXT(Table7[[#This Row],[EXPIRY DATE]],"MMM")</f>
        <v>Nov</v>
      </c>
      <c r="H414" s="85" t="str">
        <f>TEXT(Table7[[#This Row],[EXPIRY DATE]],"YYY")</f>
        <v>2029</v>
      </c>
      <c r="I414" s="85" t="s">
        <v>791</v>
      </c>
      <c r="J414" s="69"/>
    </row>
    <row r="415" spans="1:10" x14ac:dyDescent="0.3">
      <c r="A415" s="84">
        <v>414</v>
      </c>
      <c r="B415" s="84" t="s">
        <v>1130</v>
      </c>
      <c r="C415" s="84" t="s">
        <v>1078</v>
      </c>
      <c r="D415" s="115" t="s">
        <v>1131</v>
      </c>
      <c r="E415" s="85" t="s">
        <v>616</v>
      </c>
      <c r="F415" s="85">
        <v>47455</v>
      </c>
      <c r="G415" s="85" t="s">
        <v>625</v>
      </c>
      <c r="H415" s="85" t="str">
        <f>TEXT(Table7[[#This Row],[EXPIRY DATE]],"YYY")</f>
        <v>2029</v>
      </c>
      <c r="I415" s="84" t="s">
        <v>791</v>
      </c>
      <c r="J415" s="69"/>
    </row>
    <row r="416" spans="1:10" x14ac:dyDescent="0.3">
      <c r="A416" s="84">
        <v>415</v>
      </c>
      <c r="B416" s="84" t="s">
        <v>1132</v>
      </c>
      <c r="C416" s="84" t="s">
        <v>1078</v>
      </c>
      <c r="D416" s="115" t="s">
        <v>1133</v>
      </c>
      <c r="E416" s="85" t="s">
        <v>616</v>
      </c>
      <c r="F416" s="85">
        <v>47460</v>
      </c>
      <c r="G416" s="85" t="s">
        <v>625</v>
      </c>
      <c r="H416" s="85" t="str">
        <f>TEXT(Table7[[#This Row],[EXPIRY DATE]],"YYY")</f>
        <v>2029</v>
      </c>
      <c r="I416" s="84" t="s">
        <v>791</v>
      </c>
      <c r="J416" s="69"/>
    </row>
    <row r="417" spans="1:10" x14ac:dyDescent="0.3">
      <c r="A417" s="84">
        <v>416</v>
      </c>
      <c r="B417" s="84" t="s">
        <v>1107</v>
      </c>
      <c r="C417" s="84" t="s">
        <v>1078</v>
      </c>
      <c r="D417" s="115" t="s">
        <v>1108</v>
      </c>
      <c r="E417" s="85" t="s">
        <v>616</v>
      </c>
      <c r="F417" s="85">
        <v>47558</v>
      </c>
      <c r="G417" s="85" t="s">
        <v>606</v>
      </c>
      <c r="H417" s="85" t="str">
        <f>TEXT(Table7[[#This Row],[EXPIRY DATE]],"YYY")</f>
        <v>2030</v>
      </c>
      <c r="I417" s="84" t="s">
        <v>791</v>
      </c>
      <c r="J417" s="69"/>
    </row>
    <row r="418" spans="1:10" x14ac:dyDescent="0.3">
      <c r="A418" s="84">
        <v>417</v>
      </c>
      <c r="B418" s="84" t="s">
        <v>1134</v>
      </c>
      <c r="C418" s="84" t="s">
        <v>1078</v>
      </c>
      <c r="D418" s="115" t="s">
        <v>1135</v>
      </c>
      <c r="E418" s="85" t="s">
        <v>616</v>
      </c>
      <c r="F418" s="85">
        <v>47784</v>
      </c>
      <c r="G418" s="85" t="s">
        <v>901</v>
      </c>
      <c r="H418" s="85" t="str">
        <f>TEXT(Table7[[#This Row],[EXPIRY DATE]],"YYY")</f>
        <v>2030</v>
      </c>
      <c r="I418" s="84" t="s">
        <v>791</v>
      </c>
      <c r="J418" s="69"/>
    </row>
    <row r="419" spans="1:10" x14ac:dyDescent="0.3">
      <c r="A419" s="84">
        <v>418</v>
      </c>
      <c r="B419" s="84" t="s">
        <v>1085</v>
      </c>
      <c r="C419" s="84" t="s">
        <v>1078</v>
      </c>
      <c r="D419" s="115" t="s">
        <v>1086</v>
      </c>
      <c r="E419" s="85" t="s">
        <v>601</v>
      </c>
      <c r="F419" s="85" t="s">
        <v>629</v>
      </c>
      <c r="G419" s="85" t="str">
        <f>TEXT(Table7[[#This Row],[EXPIRY DATE]],"MMM")</f>
        <v>LIFETIME</v>
      </c>
      <c r="H419" s="85" t="str">
        <f>TEXT(Table7[[#This Row],[EXPIRY DATE]],"YYY")</f>
        <v>LIFETIME</v>
      </c>
      <c r="I419" s="84" t="s">
        <v>602</v>
      </c>
      <c r="J419" s="69"/>
    </row>
    <row r="420" spans="1:10" x14ac:dyDescent="0.3">
      <c r="A420" s="84">
        <v>419</v>
      </c>
      <c r="B420" s="84" t="s">
        <v>1085</v>
      </c>
      <c r="C420" s="102" t="s">
        <v>1078</v>
      </c>
      <c r="D420" s="115" t="s">
        <v>1136</v>
      </c>
      <c r="E420" s="103" t="s">
        <v>692</v>
      </c>
      <c r="F420" s="103" t="s">
        <v>817</v>
      </c>
      <c r="G420" s="103" t="str">
        <f>TEXT(Table7[[#This Row],[EXPIRY DATE]],"MMM")</f>
        <v>DORMANT</v>
      </c>
      <c r="H420" s="103" t="str">
        <f>TEXT(Table7[[#This Row],[EXPIRY DATE]],"YYY")</f>
        <v>DORMANT</v>
      </c>
      <c r="I420" s="102" t="s">
        <v>916</v>
      </c>
      <c r="J420" s="77"/>
    </row>
    <row r="421" spans="1:10" x14ac:dyDescent="0.3">
      <c r="A421" s="84">
        <v>420</v>
      </c>
      <c r="B421" s="84" t="s">
        <v>1107</v>
      </c>
      <c r="C421" s="84" t="s">
        <v>1078</v>
      </c>
      <c r="D421" s="115" t="s">
        <v>1108</v>
      </c>
      <c r="E421" s="85" t="s">
        <v>616</v>
      </c>
      <c r="F421" s="84" t="s">
        <v>629</v>
      </c>
      <c r="G421" s="85" t="s">
        <v>629</v>
      </c>
      <c r="H421" s="85" t="str">
        <f>TEXT(Table7[[#This Row],[EXPIRY DATE]],"YYY")</f>
        <v>LIFETIME</v>
      </c>
      <c r="I421" s="84" t="s">
        <v>916</v>
      </c>
      <c r="J421" s="69"/>
    </row>
    <row r="422" spans="1:10" x14ac:dyDescent="0.3">
      <c r="A422" s="84">
        <v>421</v>
      </c>
      <c r="B422" s="84" t="s">
        <v>1122</v>
      </c>
      <c r="C422" s="84" t="s">
        <v>1078</v>
      </c>
      <c r="D422" s="115" t="s">
        <v>1123</v>
      </c>
      <c r="E422" s="85" t="s">
        <v>601</v>
      </c>
      <c r="F422" s="84" t="s">
        <v>1137</v>
      </c>
      <c r="G422" s="85" t="s">
        <v>897</v>
      </c>
      <c r="H422" s="85" t="str">
        <f>TEXT(Table7[[#This Row],[EXPIRY DATE]],"YYY")</f>
        <v>DONE BY BHPL</v>
      </c>
      <c r="I422" s="84" t="s">
        <v>607</v>
      </c>
      <c r="J422" s="69"/>
    </row>
    <row r="423" spans="1:10" x14ac:dyDescent="0.3">
      <c r="A423" s="84">
        <v>422</v>
      </c>
      <c r="B423" s="84" t="s">
        <v>1122</v>
      </c>
      <c r="C423" s="84" t="s">
        <v>1078</v>
      </c>
      <c r="D423" s="115" t="s">
        <v>1123</v>
      </c>
      <c r="E423" s="85" t="s">
        <v>601</v>
      </c>
      <c r="F423" s="85" t="s">
        <v>1138</v>
      </c>
      <c r="G423" s="85" t="s">
        <v>606</v>
      </c>
      <c r="H423" s="85" t="str">
        <f>TEXT(Table7[[#This Row],[EXPIRY DATE]],"YYY")</f>
        <v xml:space="preserve">DONE BY BHPL </v>
      </c>
      <c r="I423" s="84" t="s">
        <v>839</v>
      </c>
      <c r="J423" s="69"/>
    </row>
    <row r="424" spans="1:10" x14ac:dyDescent="0.3">
      <c r="A424" s="84">
        <v>423</v>
      </c>
      <c r="B424" s="84" t="s">
        <v>1122</v>
      </c>
      <c r="C424" s="84" t="s">
        <v>1078</v>
      </c>
      <c r="D424" s="115" t="s">
        <v>1123</v>
      </c>
      <c r="E424" s="85" t="s">
        <v>601</v>
      </c>
      <c r="F424" s="85" t="s">
        <v>1138</v>
      </c>
      <c r="G424" s="85" t="s">
        <v>1139</v>
      </c>
      <c r="H424" s="85" t="str">
        <f>TEXT(Table7[[#This Row],[EXPIRY DATE]],"YYY")</f>
        <v xml:space="preserve">DONE BY BHPL </v>
      </c>
      <c r="I424" s="84" t="s">
        <v>916</v>
      </c>
      <c r="J424" s="69"/>
    </row>
    <row r="425" spans="1:10" x14ac:dyDescent="0.3">
      <c r="A425" s="84">
        <v>424</v>
      </c>
      <c r="B425" s="84" t="s">
        <v>1122</v>
      </c>
      <c r="C425" s="84" t="s">
        <v>1078</v>
      </c>
      <c r="D425" s="115" t="s">
        <v>1123</v>
      </c>
      <c r="E425" s="85" t="s">
        <v>601</v>
      </c>
      <c r="F425" s="85" t="s">
        <v>1138</v>
      </c>
      <c r="G425" s="85" t="s">
        <v>606</v>
      </c>
      <c r="H425" s="85" t="str">
        <f>TEXT(Table7[[#This Row],[EXPIRY DATE]],"YYY")</f>
        <v xml:space="preserve">DONE BY BHPL </v>
      </c>
      <c r="I425" s="84" t="s">
        <v>621</v>
      </c>
      <c r="J425" s="69"/>
    </row>
    <row r="426" spans="1:10" x14ac:dyDescent="0.3">
      <c r="A426" s="84">
        <v>425</v>
      </c>
      <c r="B426" s="84" t="s">
        <v>1120</v>
      </c>
      <c r="C426" s="84" t="s">
        <v>1078</v>
      </c>
      <c r="D426" s="115" t="s">
        <v>1127</v>
      </c>
      <c r="E426" s="85" t="s">
        <v>1126</v>
      </c>
      <c r="F426" s="85" t="s">
        <v>629</v>
      </c>
      <c r="G426" s="85" t="str">
        <f>TEXT(Table7[[#This Row],[EXPIRY DATE]],"MMM")</f>
        <v>LIFETIME</v>
      </c>
      <c r="H426" s="85" t="str">
        <f>TEXT(Table7[[#This Row],[EXPIRY DATE]],"YYY")</f>
        <v>LIFETIME</v>
      </c>
      <c r="I426" s="84" t="s">
        <v>602</v>
      </c>
      <c r="J426" s="69"/>
    </row>
    <row r="427" spans="1:10" x14ac:dyDescent="0.3">
      <c r="A427" s="84">
        <v>426</v>
      </c>
      <c r="B427" s="84" t="s">
        <v>1120</v>
      </c>
      <c r="C427" s="84" t="s">
        <v>1078</v>
      </c>
      <c r="D427" s="115" t="s">
        <v>1127</v>
      </c>
      <c r="E427" s="85" t="s">
        <v>1126</v>
      </c>
      <c r="F427" s="85" t="s">
        <v>629</v>
      </c>
      <c r="G427" s="85" t="str">
        <f>TEXT(Table7[[#This Row],[EXPIRY DATE]],"MMM")</f>
        <v>LIFETIME</v>
      </c>
      <c r="H427" s="85" t="str">
        <f>TEXT(Table7[[#This Row],[EXPIRY DATE]],"YYY")</f>
        <v>LIFETIME</v>
      </c>
      <c r="I427" s="84" t="s">
        <v>916</v>
      </c>
      <c r="J427" s="69"/>
    </row>
    <row r="428" spans="1:10" x14ac:dyDescent="0.3">
      <c r="A428" s="84">
        <v>427</v>
      </c>
      <c r="B428" s="84" t="s">
        <v>1087</v>
      </c>
      <c r="C428" s="84" t="s">
        <v>1078</v>
      </c>
      <c r="D428" s="115" t="s">
        <v>1088</v>
      </c>
      <c r="E428" s="85" t="s">
        <v>601</v>
      </c>
      <c r="F428" s="85" t="s">
        <v>629</v>
      </c>
      <c r="G428" s="85" t="str">
        <f>TEXT(Table7[[#This Row],[EXPIRY DATE]],"MMM")</f>
        <v>LIFETIME</v>
      </c>
      <c r="H428" s="85" t="str">
        <f>TEXT(Table7[[#This Row],[EXPIRY DATE]],"YYY")</f>
        <v>LIFETIME</v>
      </c>
      <c r="I428" s="84" t="s">
        <v>602</v>
      </c>
      <c r="J428" s="69"/>
    </row>
    <row r="429" spans="1:10" x14ac:dyDescent="0.3">
      <c r="A429" s="84">
        <v>428</v>
      </c>
      <c r="B429" s="84" t="s">
        <v>1105</v>
      </c>
      <c r="C429" s="84" t="s">
        <v>1078</v>
      </c>
      <c r="D429" s="115" t="s">
        <v>1140</v>
      </c>
      <c r="E429" s="85" t="s">
        <v>616</v>
      </c>
      <c r="F429" s="85" t="s">
        <v>629</v>
      </c>
      <c r="G429" s="85" t="str">
        <f>TEXT(Table7[[#This Row],[EXPIRY DATE]],"MMM")</f>
        <v>LIFETIME</v>
      </c>
      <c r="H429" s="85" t="str">
        <f>TEXT(Table7[[#This Row],[EXPIRY DATE]],"YYY")</f>
        <v>LIFETIME</v>
      </c>
      <c r="I429" s="84" t="s">
        <v>602</v>
      </c>
      <c r="J429" s="69"/>
    </row>
    <row r="430" spans="1:10" x14ac:dyDescent="0.3">
      <c r="A430" s="84">
        <v>429</v>
      </c>
      <c r="B430" s="84" t="s">
        <v>1105</v>
      </c>
      <c r="C430" s="84" t="s">
        <v>1078</v>
      </c>
      <c r="D430" s="115" t="s">
        <v>1106</v>
      </c>
      <c r="E430" s="85" t="s">
        <v>616</v>
      </c>
      <c r="F430" s="85" t="s">
        <v>629</v>
      </c>
      <c r="G430" s="85" t="str">
        <f>TEXT(Table7[[#This Row],[EXPIRY DATE]],"MMM")</f>
        <v>LIFETIME</v>
      </c>
      <c r="H430" s="85" t="str">
        <f>TEXT(Table7[[#This Row],[EXPIRY DATE]],"YYY")</f>
        <v>LIFETIME</v>
      </c>
      <c r="I430" s="84" t="s">
        <v>916</v>
      </c>
      <c r="J430" s="69"/>
    </row>
    <row r="431" spans="1:10" x14ac:dyDescent="0.3">
      <c r="A431" s="84">
        <v>430</v>
      </c>
      <c r="B431" s="84" t="s">
        <v>1124</v>
      </c>
      <c r="C431" s="84" t="s">
        <v>1078</v>
      </c>
      <c r="D431" s="115" t="s">
        <v>1125</v>
      </c>
      <c r="E431" s="85" t="s">
        <v>1126</v>
      </c>
      <c r="F431" s="85" t="s">
        <v>81</v>
      </c>
      <c r="G431" s="85" t="str">
        <f>TEXT(Table7[[#This Row],[EXPIRY DATE]],"MMM")</f>
        <v>NA</v>
      </c>
      <c r="H431" s="85" t="str">
        <f>TEXT(Table7[[#This Row],[EXPIRY DATE]],"YYY")</f>
        <v>NA</v>
      </c>
      <c r="I431" s="84" t="s">
        <v>602</v>
      </c>
      <c r="J431" s="69"/>
    </row>
    <row r="432" spans="1:10" x14ac:dyDescent="0.3">
      <c r="A432" s="84">
        <v>431</v>
      </c>
      <c r="B432" s="84" t="s">
        <v>1124</v>
      </c>
      <c r="C432" s="84" t="s">
        <v>1078</v>
      </c>
      <c r="D432" s="115" t="s">
        <v>1125</v>
      </c>
      <c r="E432" s="85" t="s">
        <v>1126</v>
      </c>
      <c r="F432" s="85" t="s">
        <v>81</v>
      </c>
      <c r="G432" s="85" t="str">
        <f>TEXT(Table7[[#This Row],[EXPIRY DATE]],"MMM")</f>
        <v>NA</v>
      </c>
      <c r="H432" s="85" t="str">
        <f>TEXT(Table7[[#This Row],[EXPIRY DATE]],"YYY")</f>
        <v>NA</v>
      </c>
      <c r="I432" s="84" t="s">
        <v>621</v>
      </c>
      <c r="J432" s="69"/>
    </row>
    <row r="433" spans="1:10" x14ac:dyDescent="0.3">
      <c r="A433" s="84">
        <v>432</v>
      </c>
      <c r="B433" s="84" t="s">
        <v>1124</v>
      </c>
      <c r="C433" s="102" t="s">
        <v>1078</v>
      </c>
      <c r="D433" s="115" t="s">
        <v>1125</v>
      </c>
      <c r="E433" s="103" t="s">
        <v>1137</v>
      </c>
      <c r="F433" s="103" t="s">
        <v>817</v>
      </c>
      <c r="G433" s="103" t="str">
        <f>TEXT(Table7[[#This Row],[EXPIRY DATE]],"MMM")</f>
        <v>DORMANT</v>
      </c>
      <c r="H433" s="103" t="str">
        <f>TEXT(Table7[[#This Row],[EXPIRY DATE]],"YYY")</f>
        <v>DORMANT</v>
      </c>
      <c r="I433" s="102" t="s">
        <v>839</v>
      </c>
      <c r="J433" s="77"/>
    </row>
    <row r="434" spans="1:10" x14ac:dyDescent="0.3">
      <c r="A434" s="84">
        <v>433</v>
      </c>
      <c r="B434" s="84" t="s">
        <v>1124</v>
      </c>
      <c r="C434" s="84" t="s">
        <v>1078</v>
      </c>
      <c r="D434" s="115" t="s">
        <v>1125</v>
      </c>
      <c r="E434" s="85" t="s">
        <v>1126</v>
      </c>
      <c r="F434" s="85" t="s">
        <v>629</v>
      </c>
      <c r="G434" s="85" t="str">
        <f>TEXT(Table7[[#This Row],[EXPIRY DATE]],"MMM")</f>
        <v>LIFETIME</v>
      </c>
      <c r="H434" s="85" t="str">
        <f>TEXT(Table7[[#This Row],[EXPIRY DATE]],"YYY")</f>
        <v>LIFETIME</v>
      </c>
      <c r="I434" s="84" t="s">
        <v>916</v>
      </c>
      <c r="J434" s="69"/>
    </row>
    <row r="435" spans="1:10" x14ac:dyDescent="0.3">
      <c r="A435" s="84">
        <v>434</v>
      </c>
      <c r="B435" s="84" t="s">
        <v>1141</v>
      </c>
      <c r="C435" s="102" t="s">
        <v>1078</v>
      </c>
      <c r="D435" s="115" t="s">
        <v>1142</v>
      </c>
      <c r="E435" s="103" t="s">
        <v>1137</v>
      </c>
      <c r="F435" s="103" t="s">
        <v>817</v>
      </c>
      <c r="G435" s="103" t="str">
        <f>TEXT(Table7[[#This Row],[EXPIRY DATE]],"MMM")</f>
        <v>DORMANT</v>
      </c>
      <c r="H435" s="103" t="str">
        <f>TEXT(Table7[[#This Row],[EXPIRY DATE]],"YYY")</f>
        <v>DORMANT</v>
      </c>
      <c r="I435" s="102" t="s">
        <v>916</v>
      </c>
      <c r="J435" s="77"/>
    </row>
    <row r="436" spans="1:10" x14ac:dyDescent="0.3">
      <c r="A436" s="84">
        <v>435</v>
      </c>
      <c r="B436" s="84" t="s">
        <v>1097</v>
      </c>
      <c r="C436" s="84" t="s">
        <v>1078</v>
      </c>
      <c r="D436" s="115" t="s">
        <v>1098</v>
      </c>
      <c r="E436" s="85" t="s">
        <v>790</v>
      </c>
      <c r="F436" s="85" t="s">
        <v>629</v>
      </c>
      <c r="G436" s="85" t="str">
        <f>TEXT(Table7[[#This Row],[EXPIRY DATE]],"MMM")</f>
        <v>LIFETIME</v>
      </c>
      <c r="H436" s="85" t="str">
        <f>TEXT(Table7[[#This Row],[EXPIRY DATE]],"YYY")</f>
        <v>LIFETIME</v>
      </c>
      <c r="I436" s="84" t="s">
        <v>602</v>
      </c>
      <c r="J436" s="69"/>
    </row>
    <row r="437" spans="1:10" x14ac:dyDescent="0.3">
      <c r="A437" s="84">
        <v>436</v>
      </c>
      <c r="B437" s="84" t="s">
        <v>1112</v>
      </c>
      <c r="C437" s="84" t="s">
        <v>1078</v>
      </c>
      <c r="D437" s="115" t="s">
        <v>1113</v>
      </c>
      <c r="E437" s="85" t="s">
        <v>616</v>
      </c>
      <c r="F437" s="84" t="s">
        <v>629</v>
      </c>
      <c r="G437" s="85" t="str">
        <f>TEXT(Table7[[#This Row],[EXPIRY DATE]],"YYY")</f>
        <v>LIFETIME</v>
      </c>
      <c r="H437" s="85" t="str">
        <f>TEXT(Table7[[#This Row],[EXPIRY DATE]],"YYY")</f>
        <v>LIFETIME</v>
      </c>
      <c r="I437" s="84" t="s">
        <v>602</v>
      </c>
      <c r="J437" s="69"/>
    </row>
    <row r="438" spans="1:10" x14ac:dyDescent="0.3">
      <c r="A438" s="84">
        <v>437</v>
      </c>
      <c r="B438" s="84" t="s">
        <v>1112</v>
      </c>
      <c r="C438" s="84" t="s">
        <v>1078</v>
      </c>
      <c r="D438" s="115" t="s">
        <v>1113</v>
      </c>
      <c r="E438" s="85" t="s">
        <v>616</v>
      </c>
      <c r="F438" s="84" t="s">
        <v>629</v>
      </c>
      <c r="G438" s="85" t="str">
        <f>TEXT(Table7[[#This Row],[EXPIRY DATE]],"YYY")</f>
        <v>LIFETIME</v>
      </c>
      <c r="H438" s="85" t="str">
        <f>TEXT(Table7[[#This Row],[EXPIRY DATE]],"YYY")</f>
        <v>LIFETIME</v>
      </c>
      <c r="I438" s="84" t="s">
        <v>916</v>
      </c>
      <c r="J438" s="69"/>
    </row>
    <row r="439" spans="1:10" x14ac:dyDescent="0.3">
      <c r="A439" s="84">
        <v>438</v>
      </c>
      <c r="B439" s="84" t="s">
        <v>1080</v>
      </c>
      <c r="C439" s="102" t="s">
        <v>1078</v>
      </c>
      <c r="D439" s="115" t="s">
        <v>1143</v>
      </c>
      <c r="E439" s="103" t="s">
        <v>817</v>
      </c>
      <c r="F439" s="103" t="s">
        <v>817</v>
      </c>
      <c r="G439" s="103" t="str">
        <f>TEXT(Table7[[#This Row],[EXPIRY DATE]],"MMM")</f>
        <v>DORMANT</v>
      </c>
      <c r="H439" s="103" t="str">
        <f>TEXT(Table7[[#This Row],[EXPIRY DATE]],"YYY")</f>
        <v>DORMANT</v>
      </c>
      <c r="I439" s="102" t="s">
        <v>916</v>
      </c>
      <c r="J439" s="77"/>
    </row>
    <row r="440" spans="1:10" x14ac:dyDescent="0.3">
      <c r="A440" s="84">
        <v>439</v>
      </c>
      <c r="B440" s="84" t="s">
        <v>1116</v>
      </c>
      <c r="C440" s="84" t="s">
        <v>1078</v>
      </c>
      <c r="D440" s="115" t="s">
        <v>1117</v>
      </c>
      <c r="E440" s="85" t="s">
        <v>717</v>
      </c>
      <c r="F440" s="85" t="s">
        <v>629</v>
      </c>
      <c r="G440" s="85" t="str">
        <f>TEXT(Table7[[#This Row],[EXPIRY DATE]],"MMM")</f>
        <v>LIFETIME</v>
      </c>
      <c r="H440" s="85" t="str">
        <f>TEXT(Table7[[#This Row],[EXPIRY DATE]],"YYY")</f>
        <v>LIFETIME</v>
      </c>
      <c r="I440" s="84" t="s">
        <v>602</v>
      </c>
      <c r="J440" s="69"/>
    </row>
    <row r="441" spans="1:10" x14ac:dyDescent="0.3">
      <c r="A441" s="84">
        <v>440</v>
      </c>
      <c r="B441" s="84" t="s">
        <v>1116</v>
      </c>
      <c r="C441" s="84" t="s">
        <v>1078</v>
      </c>
      <c r="D441" s="115" t="s">
        <v>1117</v>
      </c>
      <c r="E441" s="85" t="s">
        <v>717</v>
      </c>
      <c r="F441" s="85" t="s">
        <v>629</v>
      </c>
      <c r="G441" s="85" t="str">
        <f>TEXT(Table7[[#This Row],[EXPIRY DATE]],"MMM")</f>
        <v>LIFETIME</v>
      </c>
      <c r="H441" s="85" t="str">
        <f>TEXT(Table7[[#This Row],[EXPIRY DATE]],"YYY")</f>
        <v>LIFETIME</v>
      </c>
      <c r="I441" s="84" t="s">
        <v>916</v>
      </c>
      <c r="J441" s="69"/>
    </row>
    <row r="442" spans="1:10" x14ac:dyDescent="0.3">
      <c r="A442" s="84">
        <v>441</v>
      </c>
      <c r="B442" s="84" t="s">
        <v>1114</v>
      </c>
      <c r="C442" s="84" t="s">
        <v>1078</v>
      </c>
      <c r="D442" s="115" t="s">
        <v>1115</v>
      </c>
      <c r="E442" s="85" t="s">
        <v>717</v>
      </c>
      <c r="F442" s="85" t="s">
        <v>629</v>
      </c>
      <c r="G442" s="85" t="str">
        <f>TEXT(Table7[[#This Row],[EXPIRY DATE]],"MMM")</f>
        <v>LIFETIME</v>
      </c>
      <c r="H442" s="85" t="str">
        <f>TEXT(Table7[[#This Row],[EXPIRY DATE]],"YYY")</f>
        <v>LIFETIME</v>
      </c>
      <c r="I442" s="84" t="s">
        <v>602</v>
      </c>
      <c r="J442" s="69"/>
    </row>
    <row r="443" spans="1:10" x14ac:dyDescent="0.3">
      <c r="A443" s="84">
        <v>442</v>
      </c>
      <c r="B443" s="84" t="s">
        <v>1114</v>
      </c>
      <c r="C443" s="84" t="s">
        <v>1078</v>
      </c>
      <c r="D443" s="115" t="s">
        <v>1115</v>
      </c>
      <c r="E443" s="85" t="s">
        <v>717</v>
      </c>
      <c r="F443" s="85" t="s">
        <v>629</v>
      </c>
      <c r="G443" s="85" t="str">
        <f>TEXT(Table7[[#This Row],[EXPIRY DATE]],"MMM")</f>
        <v>LIFETIME</v>
      </c>
      <c r="H443" s="85" t="str">
        <f>TEXT(Table7[[#This Row],[EXPIRY DATE]],"YYY")</f>
        <v>LIFETIME</v>
      </c>
      <c r="I443" s="84" t="s">
        <v>916</v>
      </c>
      <c r="J443" s="69"/>
    </row>
    <row r="444" spans="1:10" x14ac:dyDescent="0.3">
      <c r="A444" s="84">
        <v>443</v>
      </c>
      <c r="B444" s="84" t="s">
        <v>1144</v>
      </c>
      <c r="C444" s="92" t="s">
        <v>1078</v>
      </c>
      <c r="D444" s="119" t="s">
        <v>1145</v>
      </c>
      <c r="E444" s="93" t="s">
        <v>616</v>
      </c>
      <c r="F444" s="93" t="s">
        <v>766</v>
      </c>
      <c r="G444" s="93" t="str">
        <f>TEXT(Table7[[#This Row],[EXPIRY DATE]],"MMM")</f>
        <v>CLOSED</v>
      </c>
      <c r="H444" s="93" t="str">
        <f>TEXT(Table7[[#This Row],[EXPIRY DATE]],"YYY")</f>
        <v>CLOSED</v>
      </c>
      <c r="I444" s="92" t="s">
        <v>839</v>
      </c>
      <c r="J444" s="75"/>
    </row>
    <row r="445" spans="1:10" x14ac:dyDescent="0.3">
      <c r="A445" s="84">
        <v>444</v>
      </c>
      <c r="B445" s="84" t="s">
        <v>1144</v>
      </c>
      <c r="C445" s="92" t="s">
        <v>1078</v>
      </c>
      <c r="D445" s="119" t="s">
        <v>1146</v>
      </c>
      <c r="E445" s="93" t="s">
        <v>616</v>
      </c>
      <c r="F445" s="93" t="s">
        <v>766</v>
      </c>
      <c r="G445" s="93" t="s">
        <v>629</v>
      </c>
      <c r="H445" s="93" t="str">
        <f>TEXT(Table7[[#This Row],[EXPIRY DATE]],"YYY")</f>
        <v>CLOSED</v>
      </c>
      <c r="I445" s="92" t="s">
        <v>602</v>
      </c>
      <c r="J445" s="75"/>
    </row>
    <row r="446" spans="1:10" x14ac:dyDescent="0.3">
      <c r="A446" s="84">
        <v>445</v>
      </c>
      <c r="B446" s="84" t="s">
        <v>1144</v>
      </c>
      <c r="C446" s="92" t="s">
        <v>1078</v>
      </c>
      <c r="D446" s="119" t="s">
        <v>1146</v>
      </c>
      <c r="E446" s="93" t="s">
        <v>616</v>
      </c>
      <c r="F446" s="93" t="s">
        <v>766</v>
      </c>
      <c r="G446" s="93" t="str">
        <f>TEXT(Table7[[#This Row],[EXPIRY DATE]],"MMM")</f>
        <v>CLOSED</v>
      </c>
      <c r="H446" s="93" t="str">
        <f>TEXT(Table7[[#This Row],[EXPIRY DATE]],"YYY")</f>
        <v>CLOSED</v>
      </c>
      <c r="I446" s="93" t="s">
        <v>791</v>
      </c>
      <c r="J446" s="75"/>
    </row>
    <row r="447" spans="1:10" x14ac:dyDescent="0.3">
      <c r="A447" s="84">
        <v>446</v>
      </c>
      <c r="B447" s="84" t="s">
        <v>1144</v>
      </c>
      <c r="C447" s="92" t="s">
        <v>1078</v>
      </c>
      <c r="D447" s="119" t="s">
        <v>1146</v>
      </c>
      <c r="E447" s="93" t="s">
        <v>616</v>
      </c>
      <c r="F447" s="93" t="s">
        <v>766</v>
      </c>
      <c r="G447" s="93" t="s">
        <v>629</v>
      </c>
      <c r="H447" s="93" t="str">
        <f>TEXT(Table7[[#This Row],[EXPIRY DATE]],"YYY")</f>
        <v>CLOSED</v>
      </c>
      <c r="I447" s="92" t="s">
        <v>916</v>
      </c>
      <c r="J447" s="75"/>
    </row>
    <row r="448" spans="1:10" x14ac:dyDescent="0.3">
      <c r="A448" s="84">
        <v>447</v>
      </c>
      <c r="B448" s="84" t="s">
        <v>1077</v>
      </c>
      <c r="C448" s="84" t="s">
        <v>1078</v>
      </c>
      <c r="D448" s="115" t="s">
        <v>1079</v>
      </c>
      <c r="E448" s="85" t="s">
        <v>601</v>
      </c>
      <c r="F448" s="85" t="s">
        <v>629</v>
      </c>
      <c r="G448" s="85" t="str">
        <f>TEXT(Table7[[#This Row],[EXPIRY DATE]],"MMM")</f>
        <v>LIFETIME</v>
      </c>
      <c r="H448" s="85" t="str">
        <f>TEXT(Table7[[#This Row],[EXPIRY DATE]],"YYY")</f>
        <v>LIFETIME</v>
      </c>
      <c r="I448" s="84" t="s">
        <v>602</v>
      </c>
      <c r="J448" s="69"/>
    </row>
    <row r="449" spans="1:10" x14ac:dyDescent="0.3">
      <c r="A449" s="84">
        <v>448</v>
      </c>
      <c r="B449" s="84" t="s">
        <v>1110</v>
      </c>
      <c r="C449" s="84" t="s">
        <v>1078</v>
      </c>
      <c r="D449" s="115" t="s">
        <v>1111</v>
      </c>
      <c r="E449" s="85" t="s">
        <v>601</v>
      </c>
      <c r="F449" s="85" t="s">
        <v>1137</v>
      </c>
      <c r="G449" s="85" t="s">
        <v>1139</v>
      </c>
      <c r="H449" s="85" t="str">
        <f>TEXT(Table7[[#This Row],[EXPIRY DATE]],"YYY")</f>
        <v>DONE BY BHPL</v>
      </c>
      <c r="I449" s="84" t="s">
        <v>839</v>
      </c>
      <c r="J449" s="69"/>
    </row>
    <row r="450" spans="1:10" x14ac:dyDescent="0.3">
      <c r="A450" s="84">
        <v>449</v>
      </c>
      <c r="B450" s="84" t="s">
        <v>1110</v>
      </c>
      <c r="C450" s="84" t="s">
        <v>1078</v>
      </c>
      <c r="D450" s="115" t="s">
        <v>1111</v>
      </c>
      <c r="E450" s="85" t="s">
        <v>601</v>
      </c>
      <c r="F450" s="84" t="s">
        <v>1137</v>
      </c>
      <c r="G450" s="85" t="str">
        <f>TEXT(Table7[[#This Row],[EXPIRY DATE]],"MMM")</f>
        <v>DONE BY BHPL</v>
      </c>
      <c r="H450" s="85" t="str">
        <f>TEXT(Table7[[#This Row],[EXPIRY DATE]],"YYY")</f>
        <v>DONE BY BHPL</v>
      </c>
      <c r="I450" s="84" t="s">
        <v>916</v>
      </c>
      <c r="J450" s="69"/>
    </row>
    <row r="451" spans="1:10" x14ac:dyDescent="0.3">
      <c r="A451" s="84">
        <v>450</v>
      </c>
      <c r="B451" s="84" t="s">
        <v>1092</v>
      </c>
      <c r="C451" s="84" t="s">
        <v>1078</v>
      </c>
      <c r="D451" s="115" t="s">
        <v>1093</v>
      </c>
      <c r="E451" s="85" t="s">
        <v>601</v>
      </c>
      <c r="F451" s="85" t="s">
        <v>629</v>
      </c>
      <c r="G451" s="85" t="str">
        <f>TEXT(Table7[[#This Row],[EXPIRY DATE]],"MMM")</f>
        <v>LIFETIME</v>
      </c>
      <c r="H451" s="85" t="str">
        <f>TEXT(Table7[[#This Row],[EXPIRY DATE]],"YYY")</f>
        <v>LIFETIME</v>
      </c>
      <c r="I451" s="84" t="s">
        <v>602</v>
      </c>
      <c r="J451" s="69"/>
    </row>
    <row r="452" spans="1:10" x14ac:dyDescent="0.3">
      <c r="A452" s="84">
        <v>451</v>
      </c>
      <c r="B452" s="84" t="s">
        <v>1147</v>
      </c>
      <c r="C452" s="84" t="s">
        <v>345</v>
      </c>
      <c r="D452" s="115" t="s">
        <v>1148</v>
      </c>
      <c r="E452" s="85" t="s">
        <v>1096</v>
      </c>
      <c r="F452" s="85">
        <v>45839</v>
      </c>
      <c r="G452" s="85" t="str">
        <f>TEXT(Table7[[#This Row],[EXPIRY DATE]],"MMM")</f>
        <v>Jul</v>
      </c>
      <c r="H452" s="85" t="str">
        <f>TEXT(Table7[[#This Row],[EXPIRY DATE]],"YYY")</f>
        <v>2025</v>
      </c>
      <c r="I452" s="84" t="s">
        <v>602</v>
      </c>
      <c r="J452" s="69"/>
    </row>
    <row r="453" spans="1:10" x14ac:dyDescent="0.3">
      <c r="A453" s="84">
        <v>452</v>
      </c>
      <c r="B453" s="84" t="s">
        <v>1149</v>
      </c>
      <c r="C453" s="84" t="s">
        <v>345</v>
      </c>
      <c r="D453" s="115" t="s">
        <v>1150</v>
      </c>
      <c r="E453" s="85" t="s">
        <v>601</v>
      </c>
      <c r="F453" s="85">
        <v>45884</v>
      </c>
      <c r="G453" s="85" t="str">
        <f>TEXT(Table7[[#This Row],[EXPIRY DATE]],"MMM")</f>
        <v>Aug</v>
      </c>
      <c r="H453" s="85" t="str">
        <f>TEXT(Table7[[#This Row],[EXPIRY DATE]],"YYY")</f>
        <v>2025</v>
      </c>
      <c r="I453" s="85" t="s">
        <v>791</v>
      </c>
      <c r="J453" s="69"/>
    </row>
    <row r="454" spans="1:10" x14ac:dyDescent="0.3">
      <c r="A454" s="84">
        <v>453</v>
      </c>
      <c r="B454" s="84" t="s">
        <v>1073</v>
      </c>
      <c r="C454" s="84" t="s">
        <v>345</v>
      </c>
      <c r="D454" s="115" t="s">
        <v>1151</v>
      </c>
      <c r="E454" s="85" t="s">
        <v>1152</v>
      </c>
      <c r="F454" s="85">
        <v>45884</v>
      </c>
      <c r="G454" s="85" t="str">
        <f>TEXT(Table7[[#This Row],[EXPIRY DATE]],"MMM")</f>
        <v>Aug</v>
      </c>
      <c r="H454" s="85" t="str">
        <f>TEXT(Table7[[#This Row],[EXPIRY DATE]],"YYY")</f>
        <v>2025</v>
      </c>
      <c r="I454" s="85" t="s">
        <v>791</v>
      </c>
      <c r="J454" s="69"/>
    </row>
    <row r="455" spans="1:10" x14ac:dyDescent="0.3">
      <c r="A455" s="84">
        <v>454</v>
      </c>
      <c r="B455" s="84" t="s">
        <v>1153</v>
      </c>
      <c r="C455" s="84" t="s">
        <v>345</v>
      </c>
      <c r="D455" s="115" t="s">
        <v>1154</v>
      </c>
      <c r="E455" s="85" t="s">
        <v>1014</v>
      </c>
      <c r="F455" s="85">
        <v>45902</v>
      </c>
      <c r="G455" s="85" t="str">
        <f>TEXT(Table7[[#This Row],[EXPIRY DATE]],"MMM")</f>
        <v>Sep</v>
      </c>
      <c r="H455" s="85" t="str">
        <f>TEXT(Table7[[#This Row],[EXPIRY DATE]],"YYY")</f>
        <v>2025</v>
      </c>
      <c r="I455" s="84" t="s">
        <v>602</v>
      </c>
      <c r="J455" s="69"/>
    </row>
    <row r="456" spans="1:10" x14ac:dyDescent="0.3">
      <c r="A456" s="84">
        <v>455</v>
      </c>
      <c r="B456" s="84" t="s">
        <v>1147</v>
      </c>
      <c r="C456" s="84" t="s">
        <v>345</v>
      </c>
      <c r="D456" s="115" t="s">
        <v>1148</v>
      </c>
      <c r="E456" s="85" t="s">
        <v>1096</v>
      </c>
      <c r="F456" s="85">
        <v>45911</v>
      </c>
      <c r="G456" s="85" t="str">
        <f>TEXT(Table7[[#This Row],[EXPIRY DATE]],"MMM")</f>
        <v>Sep</v>
      </c>
      <c r="H456" s="85" t="str">
        <f>TEXT(Table7[[#This Row],[EXPIRY DATE]],"YYY")</f>
        <v>2025</v>
      </c>
      <c r="I456" s="85" t="s">
        <v>791</v>
      </c>
      <c r="J456" s="69"/>
    </row>
    <row r="457" spans="1:10" ht="20.399999999999999" x14ac:dyDescent="0.3">
      <c r="A457" s="84">
        <v>456</v>
      </c>
      <c r="B457" s="84" t="s">
        <v>1155</v>
      </c>
      <c r="C457" s="84" t="s">
        <v>345</v>
      </c>
      <c r="D457" s="115" t="s">
        <v>1156</v>
      </c>
      <c r="E457" s="85" t="s">
        <v>1157</v>
      </c>
      <c r="F457" s="85">
        <v>45921</v>
      </c>
      <c r="G457" s="85" t="str">
        <f>TEXT(Table7[[#This Row],[EXPIRY DATE]],"MMM")</f>
        <v>Sep</v>
      </c>
      <c r="H457" s="85" t="str">
        <f>TEXT(Table7[[#This Row],[EXPIRY DATE]],"YYY")</f>
        <v>2025</v>
      </c>
      <c r="I457" s="84" t="s">
        <v>607</v>
      </c>
      <c r="J457" s="69"/>
    </row>
    <row r="458" spans="1:10" x14ac:dyDescent="0.3">
      <c r="A458" s="84">
        <v>457</v>
      </c>
      <c r="B458" s="84" t="s">
        <v>1158</v>
      </c>
      <c r="C458" s="84" t="s">
        <v>345</v>
      </c>
      <c r="D458" s="115" t="s">
        <v>1159</v>
      </c>
      <c r="E458" s="85" t="s">
        <v>1157</v>
      </c>
      <c r="F458" s="85">
        <v>45921</v>
      </c>
      <c r="G458" s="85" t="str">
        <f>TEXT(Table7[[#This Row],[EXPIRY DATE]],"MMM")</f>
        <v>Sep</v>
      </c>
      <c r="H458" s="85" t="str">
        <f>TEXT(Table7[[#This Row],[EXPIRY DATE]],"YYY")</f>
        <v>2025</v>
      </c>
      <c r="I458" s="84" t="s">
        <v>607</v>
      </c>
      <c r="J458" s="69"/>
    </row>
    <row r="459" spans="1:10" x14ac:dyDescent="0.3">
      <c r="A459" s="84">
        <v>458</v>
      </c>
      <c r="B459" s="84" t="s">
        <v>1160</v>
      </c>
      <c r="C459" s="84" t="s">
        <v>345</v>
      </c>
      <c r="D459" s="115" t="s">
        <v>1161</v>
      </c>
      <c r="E459" s="85" t="s">
        <v>601</v>
      </c>
      <c r="F459" s="85">
        <v>45940</v>
      </c>
      <c r="G459" s="85" t="str">
        <f>TEXT(Table7[[#This Row],[EXPIRY DATE]],"MMM")</f>
        <v>Oct</v>
      </c>
      <c r="H459" s="85" t="str">
        <f>TEXT(Table7[[#This Row],[EXPIRY DATE]],"YYY")</f>
        <v>2025</v>
      </c>
      <c r="I459" s="85" t="s">
        <v>791</v>
      </c>
      <c r="J459" s="69"/>
    </row>
    <row r="460" spans="1:10" ht="20.399999999999999" x14ac:dyDescent="0.3">
      <c r="A460" s="84">
        <v>459</v>
      </c>
      <c r="B460" s="84" t="s">
        <v>1162</v>
      </c>
      <c r="C460" s="84" t="s">
        <v>345</v>
      </c>
      <c r="D460" s="115" t="s">
        <v>1163</v>
      </c>
      <c r="E460" s="85" t="s">
        <v>1164</v>
      </c>
      <c r="F460" s="85">
        <v>45951</v>
      </c>
      <c r="G460" s="85" t="str">
        <f>TEXT(Table7[[#This Row],[EXPIRY DATE]],"MMM")</f>
        <v>Oct</v>
      </c>
      <c r="H460" s="85" t="str">
        <f>TEXT(Table7[[#This Row],[EXPIRY DATE]],"YYY")</f>
        <v>2025</v>
      </c>
      <c r="I460" s="84" t="s">
        <v>602</v>
      </c>
      <c r="J460" s="69"/>
    </row>
    <row r="461" spans="1:10" x14ac:dyDescent="0.3">
      <c r="A461" s="84">
        <v>460</v>
      </c>
      <c r="B461" s="84" t="s">
        <v>1165</v>
      </c>
      <c r="C461" s="84" t="s">
        <v>345</v>
      </c>
      <c r="D461" s="115" t="s">
        <v>1166</v>
      </c>
      <c r="E461" s="85" t="s">
        <v>1164</v>
      </c>
      <c r="F461" s="85">
        <v>45951</v>
      </c>
      <c r="G461" s="85" t="str">
        <f>TEXT(Table7[[#This Row],[EXPIRY DATE]],"MMM")</f>
        <v>Oct</v>
      </c>
      <c r="H461" s="85" t="str">
        <f>TEXT(Table7[[#This Row],[EXPIRY DATE]],"YYY")</f>
        <v>2025</v>
      </c>
      <c r="I461" s="84" t="s">
        <v>602</v>
      </c>
      <c r="J461" s="69"/>
    </row>
    <row r="462" spans="1:10" x14ac:dyDescent="0.3">
      <c r="A462" s="84">
        <v>461</v>
      </c>
      <c r="B462" s="84" t="s">
        <v>1167</v>
      </c>
      <c r="C462" s="84" t="s">
        <v>345</v>
      </c>
      <c r="D462" s="115" t="s">
        <v>1168</v>
      </c>
      <c r="E462" s="85" t="s">
        <v>613</v>
      </c>
      <c r="F462" s="85">
        <v>45952</v>
      </c>
      <c r="G462" s="85" t="str">
        <f>TEXT(Table7[[#This Row],[EXPIRY DATE]],"MMM")</f>
        <v>Oct</v>
      </c>
      <c r="H462" s="85" t="str">
        <f>TEXT(Table7[[#This Row],[EXPIRY DATE]],"YYY")</f>
        <v>2025</v>
      </c>
      <c r="I462" s="85" t="s">
        <v>791</v>
      </c>
      <c r="J462" s="69"/>
    </row>
    <row r="463" spans="1:10" x14ac:dyDescent="0.3">
      <c r="A463" s="84">
        <v>462</v>
      </c>
      <c r="B463" s="84" t="s">
        <v>1169</v>
      </c>
      <c r="C463" s="84" t="s">
        <v>345</v>
      </c>
      <c r="D463" s="115" t="s">
        <v>1154</v>
      </c>
      <c r="E463" s="85" t="s">
        <v>1014</v>
      </c>
      <c r="F463" s="85">
        <v>45952</v>
      </c>
      <c r="G463" s="85" t="str">
        <f>TEXT(Table7[[#This Row],[EXPIRY DATE]],"MMM")</f>
        <v>Oct</v>
      </c>
      <c r="H463" s="85" t="str">
        <f>TEXT(Table7[[#This Row],[EXPIRY DATE]],"YYY")</f>
        <v>2025</v>
      </c>
      <c r="I463" s="85" t="s">
        <v>791</v>
      </c>
      <c r="J463" s="69"/>
    </row>
    <row r="464" spans="1:10" x14ac:dyDescent="0.3">
      <c r="A464" s="84">
        <v>463</v>
      </c>
      <c r="B464" s="84" t="s">
        <v>1170</v>
      </c>
      <c r="C464" s="84" t="s">
        <v>345</v>
      </c>
      <c r="D464" s="115" t="s">
        <v>1171</v>
      </c>
      <c r="E464" s="85" t="s">
        <v>1172</v>
      </c>
      <c r="F464" s="85">
        <v>45961</v>
      </c>
      <c r="G464" s="85" t="str">
        <f>TEXT(Table7[[#This Row],[EXPIRY DATE]],"MMM")</f>
        <v>Oct</v>
      </c>
      <c r="H464" s="85" t="str">
        <f>TEXT(Table7[[#This Row],[EXPIRY DATE]],"YYY")</f>
        <v>2025</v>
      </c>
      <c r="I464" s="85" t="s">
        <v>791</v>
      </c>
      <c r="J464" s="69"/>
    </row>
    <row r="465" spans="1:10" ht="20.399999999999999" x14ac:dyDescent="0.3">
      <c r="A465" s="84">
        <v>464</v>
      </c>
      <c r="B465" s="84" t="s">
        <v>1173</v>
      </c>
      <c r="C465" s="84" t="s">
        <v>345</v>
      </c>
      <c r="D465" s="115" t="s">
        <v>1174</v>
      </c>
      <c r="E465" s="85" t="s">
        <v>1175</v>
      </c>
      <c r="F465" s="85">
        <v>45974</v>
      </c>
      <c r="G465" s="85" t="str">
        <f>TEXT(Table7[[#This Row],[EXPIRY DATE]],"MMM")</f>
        <v>Nov</v>
      </c>
      <c r="H465" s="85" t="str">
        <f>TEXT(Table7[[#This Row],[EXPIRY DATE]],"YYY")</f>
        <v>2025</v>
      </c>
      <c r="I465" s="84" t="s">
        <v>602</v>
      </c>
      <c r="J465" s="69"/>
    </row>
    <row r="466" spans="1:10" ht="20.399999999999999" x14ac:dyDescent="0.3">
      <c r="A466" s="84">
        <v>465</v>
      </c>
      <c r="B466" s="84" t="s">
        <v>1018</v>
      </c>
      <c r="C466" s="84" t="s">
        <v>345</v>
      </c>
      <c r="D466" s="115" t="s">
        <v>1176</v>
      </c>
      <c r="E466" s="85" t="s">
        <v>1047</v>
      </c>
      <c r="F466" s="85">
        <v>45974</v>
      </c>
      <c r="G466" s="85" t="str">
        <f>TEXT(Table7[[#This Row],[EXPIRY DATE]],"MMM")</f>
        <v>Nov</v>
      </c>
      <c r="H466" s="85" t="str">
        <f>TEXT(Table7[[#This Row],[EXPIRY DATE]],"YYY")</f>
        <v>2025</v>
      </c>
      <c r="I466" s="85" t="s">
        <v>791</v>
      </c>
      <c r="J466" s="69"/>
    </row>
    <row r="467" spans="1:10" ht="20.399999999999999" x14ac:dyDescent="0.3">
      <c r="A467" s="84">
        <v>466</v>
      </c>
      <c r="B467" s="84" t="s">
        <v>1018</v>
      </c>
      <c r="C467" s="84" t="s">
        <v>345</v>
      </c>
      <c r="D467" s="115" t="s">
        <v>1176</v>
      </c>
      <c r="E467" s="85" t="s">
        <v>1047</v>
      </c>
      <c r="F467" s="85">
        <v>45974</v>
      </c>
      <c r="G467" s="85" t="str">
        <f>TEXT(Table7[[#This Row],[EXPIRY DATE]],"MMM")</f>
        <v>Nov</v>
      </c>
      <c r="H467" s="85" t="str">
        <f>TEXT(Table7[[#This Row],[EXPIRY DATE]],"YYY")</f>
        <v>2025</v>
      </c>
      <c r="I467" s="84" t="s">
        <v>602</v>
      </c>
      <c r="J467" s="69"/>
    </row>
    <row r="468" spans="1:10" x14ac:dyDescent="0.3">
      <c r="A468" s="84">
        <v>467</v>
      </c>
      <c r="B468" s="84" t="s">
        <v>1177</v>
      </c>
      <c r="C468" s="84" t="s">
        <v>345</v>
      </c>
      <c r="D468" s="115" t="s">
        <v>1178</v>
      </c>
      <c r="E468" s="85" t="s">
        <v>1179</v>
      </c>
      <c r="F468" s="85">
        <v>45980</v>
      </c>
      <c r="G468" s="85" t="str">
        <f>TEXT(Table7[[#This Row],[EXPIRY DATE]],"MMM")</f>
        <v>Nov</v>
      </c>
      <c r="H468" s="85" t="str">
        <f>TEXT(Table7[[#This Row],[EXPIRY DATE]],"YYY")</f>
        <v>2025</v>
      </c>
      <c r="I468" s="84" t="s">
        <v>791</v>
      </c>
      <c r="J468" s="69"/>
    </row>
    <row r="469" spans="1:10" x14ac:dyDescent="0.3">
      <c r="A469" s="84">
        <v>468</v>
      </c>
      <c r="B469" s="84" t="s">
        <v>1180</v>
      </c>
      <c r="C469" s="84" t="s">
        <v>345</v>
      </c>
      <c r="D469" s="115" t="s">
        <v>1181</v>
      </c>
      <c r="E469" s="85" t="s">
        <v>692</v>
      </c>
      <c r="F469" s="85">
        <v>45980</v>
      </c>
      <c r="G469" s="85" t="str">
        <f>TEXT(Table7[[#This Row],[EXPIRY DATE]],"MMM")</f>
        <v>Nov</v>
      </c>
      <c r="H469" s="85" t="str">
        <f>TEXT(Table7[[#This Row],[EXPIRY DATE]],"YYY")</f>
        <v>2025</v>
      </c>
      <c r="I469" s="85" t="s">
        <v>791</v>
      </c>
      <c r="J469" s="69"/>
    </row>
    <row r="470" spans="1:10" x14ac:dyDescent="0.3">
      <c r="A470" s="84">
        <v>469</v>
      </c>
      <c r="B470" s="84" t="s">
        <v>1182</v>
      </c>
      <c r="C470" s="84" t="s">
        <v>345</v>
      </c>
      <c r="D470" s="115" t="s">
        <v>1183</v>
      </c>
      <c r="E470" s="85" t="s">
        <v>717</v>
      </c>
      <c r="F470" s="85">
        <v>45982</v>
      </c>
      <c r="G470" s="85" t="str">
        <f>TEXT(Table7[[#This Row],[EXPIRY DATE]],"MMM")</f>
        <v>Nov</v>
      </c>
      <c r="H470" s="85" t="str">
        <f>TEXT(Table7[[#This Row],[EXPIRY DATE]],"YYY")</f>
        <v>2025</v>
      </c>
      <c r="I470" s="84" t="s">
        <v>602</v>
      </c>
      <c r="J470" s="69"/>
    </row>
    <row r="471" spans="1:10" x14ac:dyDescent="0.3">
      <c r="A471" s="84">
        <v>470</v>
      </c>
      <c r="B471" s="84" t="s">
        <v>1184</v>
      </c>
      <c r="C471" s="84" t="s">
        <v>345</v>
      </c>
      <c r="D471" s="115" t="s">
        <v>1185</v>
      </c>
      <c r="E471" s="85" t="s">
        <v>598</v>
      </c>
      <c r="F471" s="85">
        <v>46010</v>
      </c>
      <c r="G471" s="85" t="str">
        <f>TEXT(Table7[[#This Row],[EXPIRY DATE]],"MMM")</f>
        <v>Dec</v>
      </c>
      <c r="H471" s="85" t="str">
        <f>TEXT(Table7[[#This Row],[EXPIRY DATE]],"YYY")</f>
        <v>2025</v>
      </c>
      <c r="I471" s="85" t="s">
        <v>791</v>
      </c>
      <c r="J471" s="69"/>
    </row>
    <row r="472" spans="1:10" x14ac:dyDescent="0.3">
      <c r="A472" s="84">
        <v>471</v>
      </c>
      <c r="B472" s="84" t="s">
        <v>1186</v>
      </c>
      <c r="C472" s="84" t="s">
        <v>345</v>
      </c>
      <c r="D472" s="115" t="s">
        <v>1187</v>
      </c>
      <c r="E472" s="85" t="s">
        <v>717</v>
      </c>
      <c r="F472" s="85">
        <v>46036</v>
      </c>
      <c r="G472" s="85" t="str">
        <f>TEXT(Table7[[#This Row],[EXPIRY DATE]],"MMM")</f>
        <v>Jan</v>
      </c>
      <c r="H472" s="85" t="str">
        <f>TEXT(Table7[[#This Row],[EXPIRY DATE]],"YYY")</f>
        <v>2026</v>
      </c>
      <c r="I472" s="84" t="s">
        <v>791</v>
      </c>
      <c r="J472" s="69"/>
    </row>
    <row r="473" spans="1:10" x14ac:dyDescent="0.3">
      <c r="A473" s="84">
        <v>472</v>
      </c>
      <c r="B473" s="84" t="s">
        <v>1188</v>
      </c>
      <c r="C473" s="84" t="s">
        <v>345</v>
      </c>
      <c r="D473" s="115" t="s">
        <v>1189</v>
      </c>
      <c r="E473" s="85" t="s">
        <v>601</v>
      </c>
      <c r="F473" s="85">
        <v>46037</v>
      </c>
      <c r="G473" s="85" t="str">
        <f>TEXT(Table7[[#This Row],[EXPIRY DATE]],"MMM")</f>
        <v>Jan</v>
      </c>
      <c r="H473" s="85" t="str">
        <f>TEXT(Table7[[#This Row],[EXPIRY DATE]],"YYY")</f>
        <v>2026</v>
      </c>
      <c r="I473" s="84" t="s">
        <v>791</v>
      </c>
      <c r="J473" s="69"/>
    </row>
    <row r="474" spans="1:10" x14ac:dyDescent="0.3">
      <c r="A474" s="84">
        <v>473</v>
      </c>
      <c r="B474" s="84" t="s">
        <v>620</v>
      </c>
      <c r="C474" s="84" t="s">
        <v>345</v>
      </c>
      <c r="D474" s="115" t="s">
        <v>1183</v>
      </c>
      <c r="E474" s="85" t="s">
        <v>717</v>
      </c>
      <c r="F474" s="85">
        <v>46039</v>
      </c>
      <c r="G474" s="85" t="str">
        <f>TEXT(Table7[[#This Row],[EXPIRY DATE]],"MMM")</f>
        <v>Jan</v>
      </c>
      <c r="H474" s="85" t="str">
        <f>TEXT(Table7[[#This Row],[EXPIRY DATE]],"YYY")</f>
        <v>2026</v>
      </c>
      <c r="I474" s="85" t="s">
        <v>791</v>
      </c>
      <c r="J474" s="69"/>
    </row>
    <row r="475" spans="1:10" x14ac:dyDescent="0.3">
      <c r="A475" s="84">
        <v>474</v>
      </c>
      <c r="B475" s="84" t="s">
        <v>1190</v>
      </c>
      <c r="C475" s="84" t="s">
        <v>345</v>
      </c>
      <c r="D475" s="115" t="s">
        <v>1191</v>
      </c>
      <c r="E475" s="85" t="s">
        <v>640</v>
      </c>
      <c r="F475" s="85">
        <v>46048</v>
      </c>
      <c r="G475" s="85" t="str">
        <f>TEXT(Table7[[#This Row],[EXPIRY DATE]],"MMM")</f>
        <v>Jan</v>
      </c>
      <c r="H475" s="85" t="str">
        <f>TEXT(Table7[[#This Row],[EXPIRY DATE]],"YYY")</f>
        <v>2026</v>
      </c>
      <c r="I475" s="84" t="s">
        <v>791</v>
      </c>
      <c r="J475" s="69"/>
    </row>
    <row r="476" spans="1:10" x14ac:dyDescent="0.3">
      <c r="A476" s="84">
        <v>475</v>
      </c>
      <c r="B476" s="84" t="s">
        <v>1192</v>
      </c>
      <c r="C476" s="104" t="s">
        <v>345</v>
      </c>
      <c r="D476" s="115" t="s">
        <v>1193</v>
      </c>
      <c r="E476" s="105" t="s">
        <v>1194</v>
      </c>
      <c r="F476" s="105">
        <v>46064</v>
      </c>
      <c r="G476" s="105" t="s">
        <v>887</v>
      </c>
      <c r="H476" s="105" t="str">
        <f>TEXT(Table7[[#This Row],[EXPIRY DATE]],"YYY")</f>
        <v>2026</v>
      </c>
      <c r="I476" s="104" t="s">
        <v>791</v>
      </c>
      <c r="J476" s="66"/>
    </row>
    <row r="477" spans="1:10" x14ac:dyDescent="0.3">
      <c r="A477" s="84">
        <v>476</v>
      </c>
      <c r="B477" s="84" t="s">
        <v>1195</v>
      </c>
      <c r="C477" s="84" t="s">
        <v>345</v>
      </c>
      <c r="D477" s="115" t="s">
        <v>1196</v>
      </c>
      <c r="E477" s="85" t="s">
        <v>717</v>
      </c>
      <c r="F477" s="85">
        <v>46072</v>
      </c>
      <c r="G477" s="85" t="str">
        <f>TEXT(Table7[[#This Row],[EXPIRY DATE]],"MMM")</f>
        <v>Feb</v>
      </c>
      <c r="H477" s="85" t="str">
        <f>TEXT(Table7[[#This Row],[EXPIRY DATE]],"YYY")</f>
        <v>2026</v>
      </c>
      <c r="I477" s="85" t="s">
        <v>791</v>
      </c>
      <c r="J477" s="69"/>
    </row>
    <row r="478" spans="1:10" ht="30.6" x14ac:dyDescent="0.3">
      <c r="A478" s="84">
        <v>477</v>
      </c>
      <c r="B478" s="84" t="s">
        <v>1197</v>
      </c>
      <c r="C478" s="84" t="s">
        <v>345</v>
      </c>
      <c r="D478" s="115" t="s">
        <v>1198</v>
      </c>
      <c r="E478" s="85" t="s">
        <v>1014</v>
      </c>
      <c r="F478" s="85">
        <v>46072</v>
      </c>
      <c r="G478" s="85" t="s">
        <v>887</v>
      </c>
      <c r="H478" s="85" t="str">
        <f>TEXT(Table7[[#This Row],[EXPIRY DATE]],"YYY")</f>
        <v>2026</v>
      </c>
      <c r="I478" s="84" t="s">
        <v>791</v>
      </c>
      <c r="J478" s="69"/>
    </row>
    <row r="479" spans="1:10" x14ac:dyDescent="0.3">
      <c r="A479" s="84">
        <v>478</v>
      </c>
      <c r="B479" s="84" t="s">
        <v>1199</v>
      </c>
      <c r="C479" s="84" t="s">
        <v>345</v>
      </c>
      <c r="D479" s="115" t="s">
        <v>1200</v>
      </c>
      <c r="E479" s="85" t="s">
        <v>717</v>
      </c>
      <c r="F479" s="85">
        <v>46074</v>
      </c>
      <c r="G479" s="85" t="str">
        <f>TEXT(Table7[[#This Row],[EXPIRY DATE]],"MMM")</f>
        <v>Feb</v>
      </c>
      <c r="H479" s="85" t="str">
        <f>TEXT(Table7[[#This Row],[EXPIRY DATE]],"YYY")</f>
        <v>2026</v>
      </c>
      <c r="I479" s="85" t="s">
        <v>791</v>
      </c>
      <c r="J479" s="69"/>
    </row>
    <row r="480" spans="1:10" x14ac:dyDescent="0.3">
      <c r="A480" s="84">
        <v>479</v>
      </c>
      <c r="B480" s="84" t="s">
        <v>1201</v>
      </c>
      <c r="C480" s="84" t="s">
        <v>345</v>
      </c>
      <c r="D480" s="115" t="s">
        <v>1202</v>
      </c>
      <c r="E480" s="85" t="s">
        <v>802</v>
      </c>
      <c r="F480" s="85">
        <v>46084</v>
      </c>
      <c r="G480" s="85" t="str">
        <f>TEXT(Table7[[#This Row],[EXPIRY DATE]],"MMM")</f>
        <v>Mar</v>
      </c>
      <c r="H480" s="85" t="str">
        <f>TEXT(Table7[[#This Row],[EXPIRY DATE]],"YYY")</f>
        <v>2026</v>
      </c>
      <c r="I480" s="85" t="s">
        <v>791</v>
      </c>
      <c r="J480" s="69"/>
    </row>
    <row r="481" spans="1:10" x14ac:dyDescent="0.3">
      <c r="A481" s="84">
        <v>480</v>
      </c>
      <c r="B481" s="84" t="s">
        <v>1203</v>
      </c>
      <c r="C481" s="104" t="s">
        <v>345</v>
      </c>
      <c r="D481" s="115" t="s">
        <v>1204</v>
      </c>
      <c r="E481" s="105" t="s">
        <v>1164</v>
      </c>
      <c r="F481" s="105">
        <v>46112</v>
      </c>
      <c r="G481" s="105" t="s">
        <v>606</v>
      </c>
      <c r="H481" s="105" t="str">
        <f>TEXT(Table7[[#This Row],[EXPIRY DATE]],"YYY")</f>
        <v>2026</v>
      </c>
      <c r="I481" s="104" t="s">
        <v>607</v>
      </c>
      <c r="J481" s="66"/>
    </row>
    <row r="482" spans="1:10" x14ac:dyDescent="0.3">
      <c r="A482" s="84">
        <v>481</v>
      </c>
      <c r="B482" s="84" t="s">
        <v>1180</v>
      </c>
      <c r="C482" s="84" t="s">
        <v>345</v>
      </c>
      <c r="D482" s="115" t="s">
        <v>1181</v>
      </c>
      <c r="E482" s="85" t="s">
        <v>692</v>
      </c>
      <c r="F482" s="85">
        <v>46112</v>
      </c>
      <c r="G482" s="85" t="str">
        <f>TEXT(Table7[[#This Row],[EXPIRY DATE]],"MMM")</f>
        <v>Mar</v>
      </c>
      <c r="H482" s="85" t="str">
        <f>TEXT(Table7[[#This Row],[EXPIRY DATE]],"YYY")</f>
        <v>2026</v>
      </c>
      <c r="I482" s="84" t="s">
        <v>602</v>
      </c>
      <c r="J482" s="69"/>
    </row>
    <row r="483" spans="1:10" ht="20.399999999999999" x14ac:dyDescent="0.3">
      <c r="A483" s="84">
        <v>482</v>
      </c>
      <c r="B483" s="84" t="s">
        <v>1205</v>
      </c>
      <c r="C483" s="84" t="s">
        <v>345</v>
      </c>
      <c r="D483" s="115" t="s">
        <v>1206</v>
      </c>
      <c r="E483" s="85" t="s">
        <v>1207</v>
      </c>
      <c r="F483" s="85">
        <v>46120</v>
      </c>
      <c r="G483" s="85" t="str">
        <f>TEXT(Table7[[#This Row],[EXPIRY DATE]],"MMM")</f>
        <v>Apr</v>
      </c>
      <c r="H483" s="85" t="str">
        <f>TEXT(Table7[[#This Row],[EXPIRY DATE]],"YYY")</f>
        <v>2026</v>
      </c>
      <c r="I483" s="85" t="s">
        <v>791</v>
      </c>
      <c r="J483" s="69"/>
    </row>
    <row r="484" spans="1:10" x14ac:dyDescent="0.3">
      <c r="A484" s="84">
        <v>483</v>
      </c>
      <c r="B484" s="84" t="s">
        <v>1203</v>
      </c>
      <c r="C484" s="104" t="s">
        <v>345</v>
      </c>
      <c r="D484" s="115" t="s">
        <v>1204</v>
      </c>
      <c r="E484" s="105" t="s">
        <v>1164</v>
      </c>
      <c r="F484" s="85">
        <v>46122</v>
      </c>
      <c r="G484" s="85" t="s">
        <v>611</v>
      </c>
      <c r="H484" s="85" t="str">
        <f>TEXT(Table7[[#This Row],[EXPIRY DATE]],"YYY")</f>
        <v>2026</v>
      </c>
      <c r="I484" s="84" t="s">
        <v>791</v>
      </c>
      <c r="J484" s="69"/>
    </row>
    <row r="485" spans="1:10" x14ac:dyDescent="0.3">
      <c r="A485" s="84">
        <v>484</v>
      </c>
      <c r="B485" s="84" t="s">
        <v>1208</v>
      </c>
      <c r="C485" s="84" t="s">
        <v>345</v>
      </c>
      <c r="D485" s="115" t="s">
        <v>1209</v>
      </c>
      <c r="E485" s="85" t="s">
        <v>1210</v>
      </c>
      <c r="F485" s="85">
        <v>46154</v>
      </c>
      <c r="G485" s="85" t="str">
        <f>TEXT(Table7[[#This Row],[EXPIRY DATE]],"MMM")</f>
        <v>May</v>
      </c>
      <c r="H485" s="85" t="str">
        <f>TEXT(Table7[[#This Row],[EXPIRY DATE]],"YYY")</f>
        <v>2026</v>
      </c>
      <c r="I485" s="84" t="s">
        <v>602</v>
      </c>
      <c r="J485" s="69"/>
    </row>
    <row r="486" spans="1:10" x14ac:dyDescent="0.3">
      <c r="A486" s="84">
        <v>485</v>
      </c>
      <c r="B486" s="84" t="s">
        <v>1211</v>
      </c>
      <c r="C486" s="84" t="s">
        <v>345</v>
      </c>
      <c r="D486" s="115" t="s">
        <v>1212</v>
      </c>
      <c r="E486" s="85" t="s">
        <v>601</v>
      </c>
      <c r="F486" s="85">
        <v>46154</v>
      </c>
      <c r="G486" s="85" t="str">
        <f>TEXT(Table7[[#This Row],[EXPIRY DATE]],"MMM")</f>
        <v>May</v>
      </c>
      <c r="H486" s="85" t="str">
        <f>TEXT(Table7[[#This Row],[EXPIRY DATE]],"YYY")</f>
        <v>2026</v>
      </c>
      <c r="I486" s="84" t="s">
        <v>602</v>
      </c>
      <c r="J486" s="69"/>
    </row>
    <row r="487" spans="1:10" x14ac:dyDescent="0.3">
      <c r="A487" s="84">
        <v>486</v>
      </c>
      <c r="B487" s="84" t="s">
        <v>1149</v>
      </c>
      <c r="C487" s="84" t="s">
        <v>345</v>
      </c>
      <c r="D487" s="115" t="s">
        <v>1213</v>
      </c>
      <c r="E487" s="85" t="s">
        <v>601</v>
      </c>
      <c r="F487" s="85">
        <v>46154</v>
      </c>
      <c r="G487" s="85" t="str">
        <f>TEXT(Table7[[#This Row],[EXPIRY DATE]],"MMM")</f>
        <v>May</v>
      </c>
      <c r="H487" s="85" t="str">
        <f>TEXT(Table7[[#This Row],[EXPIRY DATE]],"YYY")</f>
        <v>2026</v>
      </c>
      <c r="I487" s="84" t="s">
        <v>602</v>
      </c>
      <c r="J487" s="69"/>
    </row>
    <row r="488" spans="1:10" x14ac:dyDescent="0.3">
      <c r="A488" s="84">
        <v>487</v>
      </c>
      <c r="B488" s="84" t="s">
        <v>1203</v>
      </c>
      <c r="C488" s="104" t="s">
        <v>345</v>
      </c>
      <c r="D488" s="115" t="s">
        <v>1204</v>
      </c>
      <c r="E488" s="105" t="s">
        <v>1164</v>
      </c>
      <c r="F488" s="85">
        <v>46162</v>
      </c>
      <c r="G488" s="85" t="s">
        <v>838</v>
      </c>
      <c r="H488" s="85" t="str">
        <f>TEXT(Table7[[#This Row],[EXPIRY DATE]],"YYY")</f>
        <v>2026</v>
      </c>
      <c r="I488" s="84" t="s">
        <v>602</v>
      </c>
      <c r="J488" s="69"/>
    </row>
    <row r="489" spans="1:10" x14ac:dyDescent="0.3">
      <c r="A489" s="84">
        <v>488</v>
      </c>
      <c r="B489" s="84" t="s">
        <v>1073</v>
      </c>
      <c r="C489" s="84" t="s">
        <v>345</v>
      </c>
      <c r="D489" s="115" t="s">
        <v>1151</v>
      </c>
      <c r="E489" s="85" t="s">
        <v>1152</v>
      </c>
      <c r="F489" s="85">
        <v>46162</v>
      </c>
      <c r="G489" s="85" t="str">
        <f>TEXT(Table7[[#This Row],[EXPIRY DATE]],"MMM")</f>
        <v>May</v>
      </c>
      <c r="H489" s="85" t="str">
        <f>TEXT(Table7[[#This Row],[EXPIRY DATE]],"YYY")</f>
        <v>2026</v>
      </c>
      <c r="I489" s="84" t="s">
        <v>602</v>
      </c>
      <c r="J489" s="69"/>
    </row>
    <row r="490" spans="1:10" x14ac:dyDescent="0.3">
      <c r="A490" s="84">
        <v>489</v>
      </c>
      <c r="B490" s="84" t="s">
        <v>1214</v>
      </c>
      <c r="C490" s="84" t="s">
        <v>345</v>
      </c>
      <c r="D490" s="115" t="s">
        <v>1185</v>
      </c>
      <c r="E490" s="85" t="s">
        <v>598</v>
      </c>
      <c r="F490" s="85">
        <v>46173</v>
      </c>
      <c r="G490" s="85" t="str">
        <f>TEXT(Table7[[#This Row],[EXPIRY DATE]],"MMM")</f>
        <v>May</v>
      </c>
      <c r="H490" s="85" t="str">
        <f>TEXT(Table7[[#This Row],[EXPIRY DATE]],"YYY")</f>
        <v>2026</v>
      </c>
      <c r="I490" s="84" t="s">
        <v>1215</v>
      </c>
      <c r="J490" s="69"/>
    </row>
    <row r="491" spans="1:10" x14ac:dyDescent="0.3">
      <c r="A491" s="84">
        <v>490</v>
      </c>
      <c r="B491" s="84" t="s">
        <v>1216</v>
      </c>
      <c r="C491" s="84" t="s">
        <v>345</v>
      </c>
      <c r="D491" s="115" t="s">
        <v>1217</v>
      </c>
      <c r="E491" s="85" t="s">
        <v>717</v>
      </c>
      <c r="F491" s="85">
        <v>46189</v>
      </c>
      <c r="G491" s="85" t="str">
        <f>TEXT(Table7[[#This Row],[EXPIRY DATE]],"MMM")</f>
        <v>Jun</v>
      </c>
      <c r="H491" s="85" t="str">
        <f>TEXT(Table7[[#This Row],[EXPIRY DATE]],"YYY")</f>
        <v>2026</v>
      </c>
      <c r="I491" s="85" t="s">
        <v>791</v>
      </c>
      <c r="J491" s="69"/>
    </row>
    <row r="492" spans="1:10" x14ac:dyDescent="0.3">
      <c r="A492" s="84">
        <v>491</v>
      </c>
      <c r="B492" s="84" t="s">
        <v>1208</v>
      </c>
      <c r="C492" s="84" t="s">
        <v>345</v>
      </c>
      <c r="D492" s="115" t="s">
        <v>1209</v>
      </c>
      <c r="E492" s="85" t="s">
        <v>1210</v>
      </c>
      <c r="F492" s="85">
        <v>46190</v>
      </c>
      <c r="G492" s="85" t="str">
        <f>TEXT(Table7[[#This Row],[EXPIRY DATE]],"MMM")</f>
        <v>Jun</v>
      </c>
      <c r="H492" s="85" t="str">
        <f>TEXT(Table7[[#This Row],[EXPIRY DATE]],"YYY")</f>
        <v>2026</v>
      </c>
      <c r="I492" s="85" t="s">
        <v>791</v>
      </c>
      <c r="J492" s="69"/>
    </row>
    <row r="493" spans="1:10" ht="20.399999999999999" x14ac:dyDescent="0.3">
      <c r="A493" s="84">
        <v>492</v>
      </c>
      <c r="B493" s="84" t="s">
        <v>1162</v>
      </c>
      <c r="C493" s="84" t="s">
        <v>345</v>
      </c>
      <c r="D493" s="115" t="s">
        <v>1163</v>
      </c>
      <c r="E493" s="85" t="s">
        <v>1164</v>
      </c>
      <c r="F493" s="85">
        <v>46194</v>
      </c>
      <c r="G493" s="85" t="str">
        <f>TEXT(Table7[[#This Row],[EXPIRY DATE]],"MMM")</f>
        <v>Jun</v>
      </c>
      <c r="H493" s="85" t="str">
        <f>TEXT(Table7[[#This Row],[EXPIRY DATE]],"YYY")</f>
        <v>2026</v>
      </c>
      <c r="I493" s="85" t="s">
        <v>791</v>
      </c>
      <c r="J493" s="69"/>
    </row>
    <row r="494" spans="1:10" x14ac:dyDescent="0.3">
      <c r="A494" s="84">
        <v>493</v>
      </c>
      <c r="B494" s="84" t="s">
        <v>1218</v>
      </c>
      <c r="C494" s="84" t="s">
        <v>345</v>
      </c>
      <c r="D494" s="115" t="s">
        <v>1166</v>
      </c>
      <c r="E494" s="85" t="s">
        <v>1164</v>
      </c>
      <c r="F494" s="85">
        <v>46194</v>
      </c>
      <c r="G494" s="85" t="str">
        <f>TEXT(Table7[[#This Row],[EXPIRY DATE]],"MMM")</f>
        <v>Jun</v>
      </c>
      <c r="H494" s="85" t="str">
        <f>TEXT(Table7[[#This Row],[EXPIRY DATE]],"YYY")</f>
        <v>2026</v>
      </c>
      <c r="I494" s="85" t="s">
        <v>791</v>
      </c>
      <c r="J494" s="69"/>
    </row>
    <row r="495" spans="1:10" x14ac:dyDescent="0.3">
      <c r="A495" s="84">
        <v>494</v>
      </c>
      <c r="B495" s="84" t="s">
        <v>86</v>
      </c>
      <c r="C495" s="84" t="s">
        <v>345</v>
      </c>
      <c r="D495" s="115" t="s">
        <v>1219</v>
      </c>
      <c r="E495" s="85" t="s">
        <v>386</v>
      </c>
      <c r="F495" s="85">
        <v>46253</v>
      </c>
      <c r="G495" s="85" t="s">
        <v>897</v>
      </c>
      <c r="H495" s="85" t="str">
        <f>TEXT(Table7[[#This Row],[EXPIRY DATE]],"YYY")</f>
        <v>2026</v>
      </c>
      <c r="I495" s="84" t="s">
        <v>791</v>
      </c>
      <c r="J495" s="69"/>
    </row>
    <row r="496" spans="1:10" x14ac:dyDescent="0.3">
      <c r="A496" s="84">
        <v>495</v>
      </c>
      <c r="B496" s="84" t="s">
        <v>1220</v>
      </c>
      <c r="C496" s="84" t="s">
        <v>345</v>
      </c>
      <c r="D496" s="115" t="s">
        <v>1221</v>
      </c>
      <c r="E496" s="85" t="s">
        <v>1222</v>
      </c>
      <c r="F496" s="85">
        <v>46264</v>
      </c>
      <c r="G496" s="85" t="s">
        <v>897</v>
      </c>
      <c r="H496" s="85" t="str">
        <f>TEXT(Table7[[#This Row],[EXPIRY DATE]],"YYY")</f>
        <v>2026</v>
      </c>
      <c r="I496" s="84" t="s">
        <v>607</v>
      </c>
      <c r="J496" s="69"/>
    </row>
    <row r="497" spans="1:10" ht="20.399999999999999" x14ac:dyDescent="0.3">
      <c r="A497" s="84">
        <v>496</v>
      </c>
      <c r="B497" s="84" t="s">
        <v>1155</v>
      </c>
      <c r="C497" s="84" t="s">
        <v>345</v>
      </c>
      <c r="D497" s="115" t="s">
        <v>1156</v>
      </c>
      <c r="E497" s="85" t="s">
        <v>1157</v>
      </c>
      <c r="F497" s="85">
        <v>46287</v>
      </c>
      <c r="G497" s="85" t="str">
        <f>TEXT(Table7[[#This Row],[EXPIRY DATE]],"MMM")</f>
        <v>Sep</v>
      </c>
      <c r="H497" s="85" t="str">
        <f>TEXT(Table7[[#This Row],[EXPIRY DATE]],"YYY")</f>
        <v>2026</v>
      </c>
      <c r="I497" s="85" t="s">
        <v>791</v>
      </c>
      <c r="J497" s="69"/>
    </row>
    <row r="498" spans="1:10" x14ac:dyDescent="0.3">
      <c r="A498" s="84">
        <v>497</v>
      </c>
      <c r="B498" s="84" t="s">
        <v>1158</v>
      </c>
      <c r="C498" s="84" t="s">
        <v>345</v>
      </c>
      <c r="D498" s="115" t="s">
        <v>1159</v>
      </c>
      <c r="E498" s="85" t="s">
        <v>1157</v>
      </c>
      <c r="F498" s="85">
        <v>46291</v>
      </c>
      <c r="G498" s="85" t="str">
        <f>TEXT(Table7[[#This Row],[EXPIRY DATE]],"MMM")</f>
        <v>Sep</v>
      </c>
      <c r="H498" s="85" t="str">
        <f>TEXT(Table7[[#This Row],[EXPIRY DATE]],"YYY")</f>
        <v>2026</v>
      </c>
      <c r="I498" s="85" t="s">
        <v>791</v>
      </c>
      <c r="J498" s="69"/>
    </row>
    <row r="499" spans="1:10" ht="20.399999999999999" x14ac:dyDescent="0.3">
      <c r="A499" s="84">
        <v>498</v>
      </c>
      <c r="B499" s="84" t="s">
        <v>1173</v>
      </c>
      <c r="C499" s="84" t="s">
        <v>345</v>
      </c>
      <c r="D499" s="115" t="s">
        <v>1174</v>
      </c>
      <c r="E499" s="85" t="s">
        <v>1175</v>
      </c>
      <c r="F499" s="85">
        <v>46339</v>
      </c>
      <c r="G499" s="85" t="str">
        <f>TEXT(Table7[[#This Row],[EXPIRY DATE]],"MMM")</f>
        <v>Nov</v>
      </c>
      <c r="H499" s="85" t="str">
        <f>TEXT(Table7[[#This Row],[EXPIRY DATE]],"YYY")</f>
        <v>2026</v>
      </c>
      <c r="I499" s="85" t="s">
        <v>791</v>
      </c>
      <c r="J499" s="69"/>
    </row>
    <row r="500" spans="1:10" x14ac:dyDescent="0.3">
      <c r="A500" s="84">
        <v>499</v>
      </c>
      <c r="B500" s="84" t="s">
        <v>1223</v>
      </c>
      <c r="C500" s="84" t="s">
        <v>345</v>
      </c>
      <c r="D500" s="115" t="s">
        <v>1224</v>
      </c>
      <c r="E500" s="85" t="s">
        <v>1225</v>
      </c>
      <c r="F500" s="85">
        <v>46431</v>
      </c>
      <c r="G500" s="85" t="s">
        <v>887</v>
      </c>
      <c r="H500" s="85" t="str">
        <f>TEXT(Table7[[#This Row],[EXPIRY DATE]],"YYY")</f>
        <v>2027</v>
      </c>
      <c r="I500" s="84" t="s">
        <v>791</v>
      </c>
      <c r="J500" s="69"/>
    </row>
    <row r="501" spans="1:10" x14ac:dyDescent="0.3">
      <c r="A501" s="84">
        <v>500</v>
      </c>
      <c r="B501" s="84" t="s">
        <v>1180</v>
      </c>
      <c r="C501" s="84" t="s">
        <v>345</v>
      </c>
      <c r="D501" s="115" t="s">
        <v>1181</v>
      </c>
      <c r="E501" s="85" t="s">
        <v>692</v>
      </c>
      <c r="F501" s="85">
        <v>46477</v>
      </c>
      <c r="G501" s="85" t="str">
        <f>TEXT(Table7[[#This Row],[EXPIRY DATE]],"MMM")</f>
        <v>Mar</v>
      </c>
      <c r="H501" s="85" t="str">
        <f>TEXT(Table7[[#This Row],[EXPIRY DATE]],"YYY")</f>
        <v>2027</v>
      </c>
      <c r="I501" s="84" t="s">
        <v>607</v>
      </c>
      <c r="J501" s="69"/>
    </row>
    <row r="502" spans="1:10" ht="20.399999999999999" x14ac:dyDescent="0.3">
      <c r="A502" s="84">
        <v>501</v>
      </c>
      <c r="B502" s="84" t="s">
        <v>1226</v>
      </c>
      <c r="C502" s="84" t="s">
        <v>345</v>
      </c>
      <c r="D502" s="115" t="s">
        <v>1156</v>
      </c>
      <c r="E502" s="85" t="s">
        <v>1157</v>
      </c>
      <c r="F502" s="85">
        <v>48944</v>
      </c>
      <c r="G502" s="85" t="str">
        <f>TEXT(Table7[[#This Row],[EXPIRY DATE]],"MMM")</f>
        <v>Dec</v>
      </c>
      <c r="H502" s="85" t="str">
        <f>TEXT(Table7[[#This Row],[EXPIRY DATE]],"YYY")</f>
        <v>2033</v>
      </c>
      <c r="I502" s="84" t="s">
        <v>602</v>
      </c>
      <c r="J502" s="69"/>
    </row>
    <row r="503" spans="1:10" x14ac:dyDescent="0.3">
      <c r="A503" s="84">
        <v>502</v>
      </c>
      <c r="B503" s="84" t="s">
        <v>1227</v>
      </c>
      <c r="C503" s="84" t="s">
        <v>345</v>
      </c>
      <c r="D503" s="115" t="s">
        <v>1159</v>
      </c>
      <c r="E503" s="85" t="s">
        <v>1157</v>
      </c>
      <c r="F503" s="85">
        <v>48944</v>
      </c>
      <c r="G503" s="85" t="str">
        <f>TEXT(Table7[[#This Row],[EXPIRY DATE]],"MMM")</f>
        <v>Dec</v>
      </c>
      <c r="H503" s="85" t="str">
        <f>TEXT(Table7[[#This Row],[EXPIRY DATE]],"YYY")</f>
        <v>2033</v>
      </c>
      <c r="I503" s="84" t="s">
        <v>602</v>
      </c>
      <c r="J503" s="69"/>
    </row>
    <row r="504" spans="1:10" x14ac:dyDescent="0.3">
      <c r="A504" s="84">
        <v>503</v>
      </c>
      <c r="B504" s="84" t="s">
        <v>1162</v>
      </c>
      <c r="C504" s="84" t="s">
        <v>345</v>
      </c>
      <c r="D504" s="115" t="s">
        <v>1228</v>
      </c>
      <c r="E504" s="85" t="s">
        <v>1164</v>
      </c>
      <c r="F504" s="85" t="s">
        <v>817</v>
      </c>
      <c r="G504" s="85" t="str">
        <f>TEXT(Table7[[#This Row],[EXPIRY DATE]],"MMM")</f>
        <v>DORMANT</v>
      </c>
      <c r="H504" s="85" t="str">
        <f>TEXT(Table7[[#This Row],[EXPIRY DATE]],"YYY")</f>
        <v>DORMANT</v>
      </c>
      <c r="I504" s="84" t="s">
        <v>607</v>
      </c>
      <c r="J504" s="69"/>
    </row>
    <row r="505" spans="1:10" x14ac:dyDescent="0.3">
      <c r="A505" s="84">
        <v>504</v>
      </c>
      <c r="B505" s="84" t="s">
        <v>1229</v>
      </c>
      <c r="C505" s="84" t="s">
        <v>345</v>
      </c>
      <c r="D505" s="115" t="s">
        <v>1230</v>
      </c>
      <c r="E505" s="85" t="s">
        <v>1231</v>
      </c>
      <c r="F505" s="85" t="s">
        <v>1232</v>
      </c>
      <c r="G505" s="85" t="s">
        <v>897</v>
      </c>
      <c r="H505" s="85" t="str">
        <f>TEXT(Table7[[#This Row],[EXPIRY DATE]],"YYY")</f>
        <v>DONE BYCZ</v>
      </c>
      <c r="I505" s="84" t="s">
        <v>791</v>
      </c>
      <c r="J505" s="69"/>
    </row>
    <row r="506" spans="1:10" x14ac:dyDescent="0.3">
      <c r="A506" s="84">
        <v>505</v>
      </c>
      <c r="B506" s="84" t="s">
        <v>1233</v>
      </c>
      <c r="C506" s="84" t="s">
        <v>345</v>
      </c>
      <c r="D506" s="115" t="s">
        <v>1234</v>
      </c>
      <c r="E506" s="85" t="s">
        <v>1179</v>
      </c>
      <c r="F506" s="84" t="s">
        <v>1235</v>
      </c>
      <c r="G506" s="85" t="s">
        <v>897</v>
      </c>
      <c r="H506" s="85" t="str">
        <f>TEXT(Table7[[#This Row],[EXPIRY DATE]],"YYY")</f>
        <v>DONE BY CZ</v>
      </c>
      <c r="I506" s="84" t="s">
        <v>791</v>
      </c>
      <c r="J506" s="69"/>
    </row>
    <row r="507" spans="1:10" x14ac:dyDescent="0.3">
      <c r="A507" s="84">
        <v>506</v>
      </c>
      <c r="B507" s="84" t="s">
        <v>1205</v>
      </c>
      <c r="C507" s="84" t="s">
        <v>345</v>
      </c>
      <c r="D507" s="115" t="s">
        <v>1236</v>
      </c>
      <c r="E507" s="85" t="s">
        <v>1207</v>
      </c>
      <c r="F507" s="85" t="s">
        <v>629</v>
      </c>
      <c r="G507" s="85" t="str">
        <f>TEXT(Table7[[#This Row],[EXPIRY DATE]],"MMM")</f>
        <v>LIFETIME</v>
      </c>
      <c r="H507" s="85" t="str">
        <f>TEXT(Table7[[#This Row],[EXPIRY DATE]],"YYY")</f>
        <v>LIFETIME</v>
      </c>
      <c r="I507" s="84" t="s">
        <v>602</v>
      </c>
      <c r="J507" s="69"/>
    </row>
    <row r="508" spans="1:10" x14ac:dyDescent="0.3">
      <c r="A508" s="84">
        <v>507</v>
      </c>
      <c r="B508" s="84" t="s">
        <v>1177</v>
      </c>
      <c r="C508" s="84" t="s">
        <v>345</v>
      </c>
      <c r="D508" s="115" t="s">
        <v>1237</v>
      </c>
      <c r="E508" s="85" t="s">
        <v>1179</v>
      </c>
      <c r="F508" s="85" t="s">
        <v>817</v>
      </c>
      <c r="G508" s="85" t="s">
        <v>606</v>
      </c>
      <c r="H508" s="85" t="str">
        <f>TEXT(Table7[[#This Row],[EXPIRY DATE]],"YYY")</f>
        <v>DORMANT</v>
      </c>
      <c r="I508" s="84" t="s">
        <v>607</v>
      </c>
      <c r="J508" s="69"/>
    </row>
    <row r="509" spans="1:10" x14ac:dyDescent="0.3">
      <c r="A509" s="84">
        <v>508</v>
      </c>
      <c r="B509" s="84" t="s">
        <v>1218</v>
      </c>
      <c r="C509" s="84" t="s">
        <v>345</v>
      </c>
      <c r="D509" s="115" t="s">
        <v>1166</v>
      </c>
      <c r="E509" s="85" t="s">
        <v>1164</v>
      </c>
      <c r="F509" s="85" t="s">
        <v>817</v>
      </c>
      <c r="G509" s="85" t="str">
        <f>TEXT(Table7[[#This Row],[EXPIRY DATE]],"MMM")</f>
        <v>DORMANT</v>
      </c>
      <c r="H509" s="85" t="str">
        <f>TEXT(Table7[[#This Row],[EXPIRY DATE]],"YYY")</f>
        <v>DORMANT</v>
      </c>
      <c r="I509" s="84" t="s">
        <v>607</v>
      </c>
      <c r="J509" s="69"/>
    </row>
    <row r="510" spans="1:10" x14ac:dyDescent="0.3">
      <c r="A510" s="84">
        <v>509</v>
      </c>
      <c r="B510" s="84" t="s">
        <v>1238</v>
      </c>
      <c r="C510" s="84" t="s">
        <v>1239</v>
      </c>
      <c r="D510" s="115" t="s">
        <v>1240</v>
      </c>
      <c r="E510" s="85" t="s">
        <v>1241</v>
      </c>
      <c r="F510" s="85">
        <v>46487</v>
      </c>
      <c r="G510" s="85" t="s">
        <v>611</v>
      </c>
      <c r="H510" s="85" t="str">
        <f>TEXT(Table7[[#This Row],[EXPIRY DATE]],"YYY")</f>
        <v>2027</v>
      </c>
      <c r="I510" s="84" t="s">
        <v>791</v>
      </c>
      <c r="J510" s="69"/>
    </row>
    <row r="511" spans="1:10" x14ac:dyDescent="0.3">
      <c r="A511" s="84">
        <v>510</v>
      </c>
      <c r="B511" s="84" t="s">
        <v>1015</v>
      </c>
      <c r="C511" s="84" t="s">
        <v>1242</v>
      </c>
      <c r="D511" s="115" t="s">
        <v>1243</v>
      </c>
      <c r="E511" s="85" t="s">
        <v>1244</v>
      </c>
      <c r="F511" s="85">
        <v>46614</v>
      </c>
      <c r="G511" s="85" t="str">
        <f>TEXT(Table7[[#This Row],[EXPIRY DATE]],"MMM")</f>
        <v>Aug</v>
      </c>
      <c r="H511" s="85" t="str">
        <f>TEXT(Table7[[#This Row],[EXPIRY DATE]],"YYY")</f>
        <v>2027</v>
      </c>
      <c r="I511" s="85" t="s">
        <v>791</v>
      </c>
      <c r="J511" s="69"/>
    </row>
    <row r="512" spans="1:10" x14ac:dyDescent="0.3">
      <c r="A512" s="84">
        <v>511</v>
      </c>
      <c r="B512" s="84" t="s">
        <v>1245</v>
      </c>
      <c r="C512" s="84" t="s">
        <v>1246</v>
      </c>
      <c r="D512" s="115" t="s">
        <v>1247</v>
      </c>
      <c r="E512" s="85" t="s">
        <v>1248</v>
      </c>
      <c r="F512" s="86">
        <v>45930</v>
      </c>
      <c r="G512" s="85" t="str">
        <f>TEXT(Table7[[#This Row],[EXPIRY DATE]],"MMM")</f>
        <v>Sep</v>
      </c>
      <c r="H512" s="85" t="str">
        <f>TEXT(Table7[[#This Row],[EXPIRY DATE]],"YYY")</f>
        <v>2025</v>
      </c>
      <c r="I512" s="84" t="s">
        <v>592</v>
      </c>
      <c r="J512" s="69"/>
    </row>
    <row r="513" spans="1:10" x14ac:dyDescent="0.3">
      <c r="A513" s="84">
        <v>512</v>
      </c>
      <c r="B513" s="84" t="s">
        <v>1245</v>
      </c>
      <c r="C513" s="84" t="s">
        <v>1246</v>
      </c>
      <c r="D513" s="115" t="s">
        <v>1247</v>
      </c>
      <c r="E513" s="85" t="s">
        <v>1248</v>
      </c>
      <c r="F513" s="85">
        <v>46715</v>
      </c>
      <c r="G513" s="85" t="str">
        <f>TEXT(Table7[[#This Row],[EXPIRY DATE]],"MMM")</f>
        <v>Nov</v>
      </c>
      <c r="H513" s="85" t="str">
        <f>TEXT(Table7[[#This Row],[EXPIRY DATE]],"YYY")</f>
        <v>2027</v>
      </c>
      <c r="I513" s="85" t="s">
        <v>791</v>
      </c>
      <c r="J513" s="69"/>
    </row>
    <row r="514" spans="1:10" x14ac:dyDescent="0.3">
      <c r="A514" s="84">
        <v>513</v>
      </c>
      <c r="B514" s="84" t="s">
        <v>1245</v>
      </c>
      <c r="C514" s="84" t="s">
        <v>1246</v>
      </c>
      <c r="D514" s="115" t="s">
        <v>1247</v>
      </c>
      <c r="E514" s="85"/>
      <c r="F514" s="85" t="s">
        <v>629</v>
      </c>
      <c r="G514" s="85" t="str">
        <f>TEXT(Table7[[#This Row],[EXPIRY DATE]],"MMM")</f>
        <v>LIFETIME</v>
      </c>
      <c r="H514" s="85" t="str">
        <f>TEXT(Table7[[#This Row],[EXPIRY DATE]],"YYY")</f>
        <v>LIFETIME</v>
      </c>
      <c r="I514" s="84" t="s">
        <v>602</v>
      </c>
      <c r="J514" s="69"/>
    </row>
    <row r="515" spans="1:10" x14ac:dyDescent="0.3">
      <c r="A515" s="84">
        <v>514</v>
      </c>
      <c r="B515" s="84" t="s">
        <v>384</v>
      </c>
      <c r="C515" s="84" t="s">
        <v>503</v>
      </c>
      <c r="D515" s="115" t="s">
        <v>1249</v>
      </c>
      <c r="E515" s="85" t="s">
        <v>692</v>
      </c>
      <c r="F515" s="85">
        <v>45682</v>
      </c>
      <c r="G515" s="85" t="s">
        <v>936</v>
      </c>
      <c r="H515" s="85" t="str">
        <f>TEXT(Table7[[#This Row],[EXPIRY DATE]],"YYY")</f>
        <v>2025</v>
      </c>
      <c r="I515" s="84" t="s">
        <v>916</v>
      </c>
      <c r="J515" s="69"/>
    </row>
    <row r="516" spans="1:10" x14ac:dyDescent="0.3">
      <c r="A516" s="84">
        <v>515</v>
      </c>
      <c r="B516" s="84" t="s">
        <v>1250</v>
      </c>
      <c r="C516" s="84" t="s">
        <v>503</v>
      </c>
      <c r="D516" s="115" t="s">
        <v>1251</v>
      </c>
      <c r="E516" s="85" t="s">
        <v>692</v>
      </c>
      <c r="F516" s="85">
        <v>46069</v>
      </c>
      <c r="G516" s="85" t="s">
        <v>606</v>
      </c>
      <c r="H516" s="85" t="str">
        <f>TEXT(Table7[[#This Row],[EXPIRY DATE]],"YYY")</f>
        <v>2026</v>
      </c>
      <c r="I516" s="84" t="s">
        <v>791</v>
      </c>
      <c r="J516" s="69"/>
    </row>
    <row r="517" spans="1:10" x14ac:dyDescent="0.3">
      <c r="A517" s="84">
        <v>516</v>
      </c>
      <c r="B517" s="84" t="s">
        <v>1252</v>
      </c>
      <c r="C517" s="84" t="s">
        <v>503</v>
      </c>
      <c r="D517" s="115" t="s">
        <v>1253</v>
      </c>
      <c r="E517" s="85" t="s">
        <v>1254</v>
      </c>
      <c r="F517" s="85">
        <v>46174</v>
      </c>
      <c r="G517" s="85" t="s">
        <v>1139</v>
      </c>
      <c r="H517" s="85" t="str">
        <f>TEXT(Table7[[#This Row],[EXPIRY DATE]],"YYY")</f>
        <v>2026</v>
      </c>
      <c r="I517" s="84" t="s">
        <v>791</v>
      </c>
      <c r="J517" s="69"/>
    </row>
    <row r="518" spans="1:10" x14ac:dyDescent="0.3">
      <c r="A518" s="84">
        <v>517</v>
      </c>
      <c r="B518" s="84" t="s">
        <v>1255</v>
      </c>
      <c r="C518" s="84" t="s">
        <v>503</v>
      </c>
      <c r="D518" s="115" t="s">
        <v>1256</v>
      </c>
      <c r="E518" s="85" t="s">
        <v>692</v>
      </c>
      <c r="F518" s="85">
        <v>46182</v>
      </c>
      <c r="G518" s="85" t="s">
        <v>1139</v>
      </c>
      <c r="H518" s="85" t="str">
        <f>TEXT(Table7[[#This Row],[EXPIRY DATE]],"YYY")</f>
        <v>2026</v>
      </c>
      <c r="I518" s="84" t="s">
        <v>791</v>
      </c>
      <c r="J518" s="69"/>
    </row>
    <row r="519" spans="1:10" x14ac:dyDescent="0.3">
      <c r="A519" s="84">
        <v>518</v>
      </c>
      <c r="B519" s="84" t="s">
        <v>384</v>
      </c>
      <c r="C519" s="84" t="s">
        <v>503</v>
      </c>
      <c r="D519" s="115" t="s">
        <v>1249</v>
      </c>
      <c r="E519" s="85" t="s">
        <v>692</v>
      </c>
      <c r="F519" s="85">
        <v>46213</v>
      </c>
      <c r="G519" s="85" t="s">
        <v>619</v>
      </c>
      <c r="H519" s="85" t="str">
        <f>TEXT(Table7[[#This Row],[EXPIRY DATE]],"YYY")</f>
        <v>2026</v>
      </c>
      <c r="I519" s="84" t="s">
        <v>791</v>
      </c>
      <c r="J519" s="69"/>
    </row>
    <row r="520" spans="1:10" x14ac:dyDescent="0.3">
      <c r="A520" s="84">
        <v>519</v>
      </c>
      <c r="B520" s="84" t="s">
        <v>1257</v>
      </c>
      <c r="C520" s="84" t="s">
        <v>503</v>
      </c>
      <c r="D520" s="115" t="s">
        <v>1258</v>
      </c>
      <c r="E520" s="85" t="s">
        <v>605</v>
      </c>
      <c r="F520" s="85">
        <v>47483</v>
      </c>
      <c r="G520" s="85" t="s">
        <v>625</v>
      </c>
      <c r="H520" s="85" t="str">
        <f>TEXT(Table7[[#This Row],[EXPIRY DATE]],"YYY")</f>
        <v>2029</v>
      </c>
      <c r="I520" s="84" t="s">
        <v>602</v>
      </c>
      <c r="J520" s="69"/>
    </row>
    <row r="521" spans="1:10" x14ac:dyDescent="0.3">
      <c r="A521" s="84">
        <v>520</v>
      </c>
      <c r="B521" s="84" t="s">
        <v>1259</v>
      </c>
      <c r="C521" s="84" t="s">
        <v>503</v>
      </c>
      <c r="D521" s="115" t="s">
        <v>1260</v>
      </c>
      <c r="E521" s="85" t="s">
        <v>1222</v>
      </c>
      <c r="F521" s="84" t="s">
        <v>1261</v>
      </c>
      <c r="G521" s="85" t="s">
        <v>625</v>
      </c>
      <c r="H521" s="85" t="str">
        <f>TEXT(Table7[[#This Row],[EXPIRY DATE]],"YYY")</f>
        <v xml:space="preserve">24-12-2026	</v>
      </c>
      <c r="I521" s="84" t="s">
        <v>791</v>
      </c>
      <c r="J521" s="69"/>
    </row>
    <row r="522" spans="1:10" x14ac:dyDescent="0.3">
      <c r="A522" s="84">
        <v>521</v>
      </c>
      <c r="B522" s="84" t="s">
        <v>1262</v>
      </c>
      <c r="C522" s="84" t="s">
        <v>1263</v>
      </c>
      <c r="D522" s="115" t="s">
        <v>1264</v>
      </c>
      <c r="E522" s="85" t="s">
        <v>692</v>
      </c>
      <c r="F522" s="85"/>
      <c r="G522" s="85" t="s">
        <v>629</v>
      </c>
      <c r="H522" s="85" t="s">
        <v>629</v>
      </c>
      <c r="I522" s="84" t="s">
        <v>1265</v>
      </c>
      <c r="J522" s="69"/>
    </row>
    <row r="523" spans="1:10" x14ac:dyDescent="0.3">
      <c r="A523" s="84">
        <v>522</v>
      </c>
      <c r="B523" s="84" t="s">
        <v>1266</v>
      </c>
      <c r="C523" s="84" t="s">
        <v>1263</v>
      </c>
      <c r="D523" s="115" t="s">
        <v>1267</v>
      </c>
      <c r="E523" s="85" t="s">
        <v>692</v>
      </c>
      <c r="F523" s="85">
        <v>45888</v>
      </c>
      <c r="G523" s="85" t="str">
        <f>TEXT(Table7[[#This Row],[EXPIRY DATE]],"MMM")</f>
        <v>Aug</v>
      </c>
      <c r="H523" s="85" t="str">
        <f>TEXT(Table7[[#This Row],[EXPIRY DATE]],"YYY")</f>
        <v>2025</v>
      </c>
      <c r="I523" s="85" t="s">
        <v>791</v>
      </c>
      <c r="J523" s="69"/>
    </row>
    <row r="524" spans="1:10" x14ac:dyDescent="0.3">
      <c r="A524" s="84">
        <v>523</v>
      </c>
      <c r="B524" s="84" t="s">
        <v>1268</v>
      </c>
      <c r="C524" s="84" t="s">
        <v>1263</v>
      </c>
      <c r="D524" s="115" t="s">
        <v>1269</v>
      </c>
      <c r="E524" s="85" t="s">
        <v>633</v>
      </c>
      <c r="F524" s="85">
        <v>45930</v>
      </c>
      <c r="G524" s="85" t="str">
        <f>TEXT(Table7[[#This Row],[EXPIRY DATE]],"MMM")</f>
        <v>Sep</v>
      </c>
      <c r="H524" s="85" t="str">
        <f>TEXT(Table7[[#This Row],[EXPIRY DATE]],"YYY")</f>
        <v>2025</v>
      </c>
      <c r="I524" s="84" t="s">
        <v>791</v>
      </c>
      <c r="J524" s="69"/>
    </row>
    <row r="525" spans="1:10" x14ac:dyDescent="0.3">
      <c r="A525" s="84">
        <v>524</v>
      </c>
      <c r="B525" s="84" t="s">
        <v>1270</v>
      </c>
      <c r="C525" s="84" t="s">
        <v>1263</v>
      </c>
      <c r="D525" s="115" t="s">
        <v>1271</v>
      </c>
      <c r="E525" s="85" t="s">
        <v>692</v>
      </c>
      <c r="F525" s="85">
        <v>45937</v>
      </c>
      <c r="G525" s="85" t="str">
        <f>TEXT(Table7[[#This Row],[EXPIRY DATE]],"MMM")</f>
        <v>Oct</v>
      </c>
      <c r="H525" s="85" t="str">
        <f>TEXT(Table7[[#This Row],[EXPIRY DATE]],"YYY")</f>
        <v>2025</v>
      </c>
      <c r="I525" s="85" t="s">
        <v>791</v>
      </c>
      <c r="J525" s="69"/>
    </row>
    <row r="526" spans="1:10" x14ac:dyDescent="0.3">
      <c r="A526" s="84">
        <v>525</v>
      </c>
      <c r="B526" s="84" t="s">
        <v>1272</v>
      </c>
      <c r="C526" s="84" t="s">
        <v>1263</v>
      </c>
      <c r="D526" s="115" t="s">
        <v>1273</v>
      </c>
      <c r="E526" s="85" t="s">
        <v>1274</v>
      </c>
      <c r="F526" s="85">
        <v>45957</v>
      </c>
      <c r="G526" s="85" t="str">
        <f>TEXT(Table7[[#This Row],[EXPIRY DATE]],"MMM")</f>
        <v>Oct</v>
      </c>
      <c r="H526" s="85" t="str">
        <f>TEXT(Table7[[#This Row],[EXPIRY DATE]],"YYY")</f>
        <v>2025</v>
      </c>
      <c r="I526" s="85" t="s">
        <v>791</v>
      </c>
      <c r="J526" s="69"/>
    </row>
    <row r="527" spans="1:10" ht="20.399999999999999" x14ac:dyDescent="0.3">
      <c r="A527" s="84">
        <v>526</v>
      </c>
      <c r="B527" s="84" t="s">
        <v>1275</v>
      </c>
      <c r="C527" s="84" t="s">
        <v>1263</v>
      </c>
      <c r="D527" s="115" t="s">
        <v>1276</v>
      </c>
      <c r="E527" s="85" t="s">
        <v>1277</v>
      </c>
      <c r="F527" s="85">
        <v>46367</v>
      </c>
      <c r="G527" s="85" t="str">
        <f>TEXT(Table7[[#This Row],[EXPIRY DATE]],"MMM")</f>
        <v>Dec</v>
      </c>
      <c r="H527" s="85" t="str">
        <f>TEXT(Table7[[#This Row],[EXPIRY DATE]],"YYY")</f>
        <v>2026</v>
      </c>
      <c r="I527" s="85" t="s">
        <v>791</v>
      </c>
      <c r="J527" s="69"/>
    </row>
    <row r="528" spans="1:10" x14ac:dyDescent="0.3">
      <c r="A528" s="84">
        <v>527</v>
      </c>
      <c r="B528" s="84" t="s">
        <v>1278</v>
      </c>
      <c r="C528" s="84" t="s">
        <v>1263</v>
      </c>
      <c r="D528" s="115" t="s">
        <v>1279</v>
      </c>
      <c r="E528" s="85" t="s">
        <v>1164</v>
      </c>
      <c r="F528" s="85">
        <v>46368</v>
      </c>
      <c r="G528" s="85" t="str">
        <f>TEXT(Table7[[#This Row],[EXPIRY DATE]],"MMM")</f>
        <v>Dec</v>
      </c>
      <c r="H528" s="85" t="str">
        <f>TEXT(Table7[[#This Row],[EXPIRY DATE]],"YYY")</f>
        <v>2026</v>
      </c>
      <c r="I528" s="85" t="s">
        <v>791</v>
      </c>
      <c r="J528" s="69"/>
    </row>
    <row r="529" spans="1:10" x14ac:dyDescent="0.3">
      <c r="A529" s="84">
        <v>528</v>
      </c>
      <c r="B529" s="84" t="s">
        <v>1280</v>
      </c>
      <c r="C529" s="84" t="s">
        <v>1263</v>
      </c>
      <c r="D529" s="115" t="s">
        <v>1281</v>
      </c>
      <c r="E529" s="85" t="s">
        <v>1282</v>
      </c>
      <c r="F529" s="85">
        <v>46368</v>
      </c>
      <c r="G529" s="85" t="str">
        <f>TEXT(Table7[[#This Row],[EXPIRY DATE]],"MMM")</f>
        <v>Dec</v>
      </c>
      <c r="H529" s="85" t="str">
        <f>TEXT(Table7[[#This Row],[EXPIRY DATE]],"YYY")</f>
        <v>2026</v>
      </c>
      <c r="I529" s="85" t="s">
        <v>791</v>
      </c>
      <c r="J529" s="69"/>
    </row>
    <row r="530" spans="1:10" ht="20.399999999999999" x14ac:dyDescent="0.3">
      <c r="A530" s="84">
        <v>529</v>
      </c>
      <c r="B530" s="80" t="s">
        <v>1283</v>
      </c>
      <c r="C530" s="84" t="s">
        <v>1263</v>
      </c>
      <c r="D530" s="115" t="s">
        <v>1284</v>
      </c>
      <c r="E530" s="85" t="s">
        <v>590</v>
      </c>
      <c r="F530" s="85">
        <v>47483</v>
      </c>
      <c r="G530" s="85" t="s">
        <v>625</v>
      </c>
      <c r="H530" s="85" t="str">
        <f>TEXT(Table7[[#This Row],[EXPIRY DATE]],"YYY")</f>
        <v>2029</v>
      </c>
      <c r="I530" s="84" t="s">
        <v>602</v>
      </c>
      <c r="J530" s="69"/>
    </row>
    <row r="531" spans="1:10" x14ac:dyDescent="0.3">
      <c r="A531" s="84">
        <v>530</v>
      </c>
      <c r="B531" s="84" t="s">
        <v>1285</v>
      </c>
      <c r="C531" s="84" t="s">
        <v>1286</v>
      </c>
      <c r="D531" s="115" t="s">
        <v>1287</v>
      </c>
      <c r="E531" s="85" t="s">
        <v>1288</v>
      </c>
      <c r="F531" s="85">
        <v>45050</v>
      </c>
      <c r="G531" s="85" t="str">
        <f>TEXT(Table7[[#This Row],[EXPIRY DATE]],"MMM")</f>
        <v>May</v>
      </c>
      <c r="H531" s="85" t="str">
        <f>TEXT(Table7[[#This Row],[EXPIRY DATE]],"YYY")</f>
        <v>2023</v>
      </c>
      <c r="I531" s="85" t="s">
        <v>791</v>
      </c>
      <c r="J531" s="69"/>
    </row>
    <row r="532" spans="1:10" x14ac:dyDescent="0.3">
      <c r="A532" s="84">
        <v>531</v>
      </c>
      <c r="B532" s="84" t="s">
        <v>1289</v>
      </c>
      <c r="C532" s="84" t="s">
        <v>1286</v>
      </c>
      <c r="D532" s="115" t="s">
        <v>1290</v>
      </c>
      <c r="E532" s="85" t="s">
        <v>1291</v>
      </c>
      <c r="F532" s="85">
        <v>45273</v>
      </c>
      <c r="G532" s="85" t="str">
        <f>TEXT(Table7[[#This Row],[EXPIRY DATE]],"MMM")</f>
        <v>Dec</v>
      </c>
      <c r="H532" s="85" t="str">
        <f>TEXT(Table7[[#This Row],[EXPIRY DATE]],"YYY")</f>
        <v>2023</v>
      </c>
      <c r="I532" s="84" t="s">
        <v>791</v>
      </c>
      <c r="J532" s="69"/>
    </row>
    <row r="533" spans="1:10" x14ac:dyDescent="0.3">
      <c r="A533" s="84">
        <v>532</v>
      </c>
      <c r="B533" s="84" t="s">
        <v>1292</v>
      </c>
      <c r="C533" s="84" t="s">
        <v>1286</v>
      </c>
      <c r="D533" s="115" t="s">
        <v>1293</v>
      </c>
      <c r="E533" s="85" t="s">
        <v>1294</v>
      </c>
      <c r="F533" s="85">
        <v>45291</v>
      </c>
      <c r="G533" s="85" t="str">
        <f>TEXT(Table7[[#This Row],[EXPIRY DATE]],"MMM")</f>
        <v>Dec</v>
      </c>
      <c r="H533" s="85" t="str">
        <f>TEXT(Table7[[#This Row],[EXPIRY DATE]],"YYY")</f>
        <v>2023</v>
      </c>
      <c r="I533" s="84" t="s">
        <v>602</v>
      </c>
      <c r="J533" s="69"/>
    </row>
    <row r="534" spans="1:10" x14ac:dyDescent="0.3">
      <c r="A534" s="84">
        <v>533</v>
      </c>
      <c r="B534" s="84" t="s">
        <v>1295</v>
      </c>
      <c r="C534" s="84" t="s">
        <v>1286</v>
      </c>
      <c r="D534" s="115" t="s">
        <v>1296</v>
      </c>
      <c r="E534" s="85" t="s">
        <v>1297</v>
      </c>
      <c r="F534" s="85">
        <v>45291</v>
      </c>
      <c r="G534" s="85" t="str">
        <f>TEXT(Table7[[#This Row],[EXPIRY DATE]],"MMM")</f>
        <v>Dec</v>
      </c>
      <c r="H534" s="85" t="str">
        <f>TEXT(Table7[[#This Row],[EXPIRY DATE]],"YYY")</f>
        <v>2023</v>
      </c>
      <c r="I534" s="84" t="s">
        <v>602</v>
      </c>
      <c r="J534" s="69"/>
    </row>
    <row r="535" spans="1:10" x14ac:dyDescent="0.3">
      <c r="A535" s="84">
        <v>534</v>
      </c>
      <c r="B535" s="84" t="s">
        <v>1298</v>
      </c>
      <c r="C535" s="84" t="s">
        <v>1286</v>
      </c>
      <c r="D535" s="115" t="s">
        <v>1299</v>
      </c>
      <c r="E535" s="85" t="s">
        <v>1294</v>
      </c>
      <c r="F535" s="85">
        <v>45291</v>
      </c>
      <c r="G535" s="85" t="str">
        <f>TEXT(Table7[[#This Row],[EXPIRY DATE]],"MMM")</f>
        <v>Dec</v>
      </c>
      <c r="H535" s="85" t="str">
        <f>TEXT(Table7[[#This Row],[EXPIRY DATE]],"YYY")</f>
        <v>2023</v>
      </c>
      <c r="I535" s="84" t="s">
        <v>602</v>
      </c>
      <c r="J535" s="69"/>
    </row>
    <row r="536" spans="1:10" x14ac:dyDescent="0.3">
      <c r="A536" s="84">
        <v>535</v>
      </c>
      <c r="B536" s="84" t="s">
        <v>1300</v>
      </c>
      <c r="C536" s="84" t="s">
        <v>1286</v>
      </c>
      <c r="D536" s="115" t="s">
        <v>1301</v>
      </c>
      <c r="E536" s="85" t="s">
        <v>1302</v>
      </c>
      <c r="F536" s="85">
        <v>45291</v>
      </c>
      <c r="G536" s="85" t="str">
        <f>TEXT(Table7[[#This Row],[EXPIRY DATE]],"MMM")</f>
        <v>Dec</v>
      </c>
      <c r="H536" s="85" t="str">
        <f>TEXT(Table7[[#This Row],[EXPIRY DATE]],"YYY")</f>
        <v>2023</v>
      </c>
      <c r="I536" s="84" t="s">
        <v>602</v>
      </c>
      <c r="J536" s="69"/>
    </row>
    <row r="537" spans="1:10" x14ac:dyDescent="0.3">
      <c r="A537" s="84">
        <v>536</v>
      </c>
      <c r="B537" s="84" t="s">
        <v>1303</v>
      </c>
      <c r="C537" s="84" t="s">
        <v>1286</v>
      </c>
      <c r="D537" s="115" t="s">
        <v>1304</v>
      </c>
      <c r="E537" s="85" t="s">
        <v>1305</v>
      </c>
      <c r="F537" s="85">
        <v>45291</v>
      </c>
      <c r="G537" s="85" t="str">
        <f>TEXT(Table7[[#This Row],[EXPIRY DATE]],"MMM")</f>
        <v>Dec</v>
      </c>
      <c r="H537" s="85" t="str">
        <f>TEXT(Table7[[#This Row],[EXPIRY DATE]],"YYY")</f>
        <v>2023</v>
      </c>
      <c r="I537" s="84" t="s">
        <v>602</v>
      </c>
      <c r="J537" s="69"/>
    </row>
    <row r="538" spans="1:10" x14ac:dyDescent="0.3">
      <c r="A538" s="84">
        <v>537</v>
      </c>
      <c r="B538" s="84" t="s">
        <v>1306</v>
      </c>
      <c r="C538" s="106" t="s">
        <v>1286</v>
      </c>
      <c r="D538" s="115" t="s">
        <v>1307</v>
      </c>
      <c r="E538" s="107"/>
      <c r="F538" s="107">
        <v>45322</v>
      </c>
      <c r="G538" s="107" t="str">
        <f>TEXT(Table7[[#This Row],[EXPIRY DATE]],"MMM")</f>
        <v>Jan</v>
      </c>
      <c r="H538" s="107" t="str">
        <f>TEXT(Table7[[#This Row],[EXPIRY DATE]],"YYY")</f>
        <v>2024</v>
      </c>
      <c r="I538" s="106" t="s">
        <v>791</v>
      </c>
      <c r="J538" s="78"/>
    </row>
    <row r="539" spans="1:10" x14ac:dyDescent="0.3">
      <c r="A539" s="84">
        <v>538</v>
      </c>
      <c r="B539" s="84" t="s">
        <v>1308</v>
      </c>
      <c r="C539" s="84" t="s">
        <v>1286</v>
      </c>
      <c r="D539" s="115" t="s">
        <v>1309</v>
      </c>
      <c r="E539" s="85" t="s">
        <v>692</v>
      </c>
      <c r="F539" s="85">
        <v>45382</v>
      </c>
      <c r="G539" s="85" t="str">
        <f>TEXT(Table7[[#This Row],[EXPIRY DATE]],"MMM")</f>
        <v>Mar</v>
      </c>
      <c r="H539" s="85" t="str">
        <f>TEXT(Table7[[#This Row],[EXPIRY DATE]],"YYY")</f>
        <v>2024</v>
      </c>
      <c r="I539" s="84" t="s">
        <v>607</v>
      </c>
      <c r="J539" s="69"/>
    </row>
    <row r="540" spans="1:10" x14ac:dyDescent="0.3">
      <c r="A540" s="84">
        <v>539</v>
      </c>
      <c r="B540" s="84" t="s">
        <v>1310</v>
      </c>
      <c r="C540" s="84" t="s">
        <v>1286</v>
      </c>
      <c r="D540" s="115" t="s">
        <v>1311</v>
      </c>
      <c r="E540" s="85"/>
      <c r="F540" s="85">
        <v>45496</v>
      </c>
      <c r="G540" s="85" t="str">
        <f>TEXT(Table7[[#This Row],[EXPIRY DATE]],"MMM")</f>
        <v>Jul</v>
      </c>
      <c r="H540" s="85" t="str">
        <f>TEXT(Table7[[#This Row],[EXPIRY DATE]],"YYY")</f>
        <v>2024</v>
      </c>
      <c r="I540" s="84" t="s">
        <v>791</v>
      </c>
      <c r="J540" s="69"/>
    </row>
    <row r="541" spans="1:10" x14ac:dyDescent="0.3">
      <c r="A541" s="84">
        <v>540</v>
      </c>
      <c r="B541" s="84" t="s">
        <v>1312</v>
      </c>
      <c r="C541" s="92" t="s">
        <v>1286</v>
      </c>
      <c r="D541" s="119" t="s">
        <v>1311</v>
      </c>
      <c r="E541" s="93"/>
      <c r="F541" s="93">
        <v>45496</v>
      </c>
      <c r="G541" s="93" t="str">
        <f>TEXT(Table7[[#This Row],[EXPIRY DATE]],"MMM")</f>
        <v>Jul</v>
      </c>
      <c r="H541" s="93" t="str">
        <f>TEXT(Table7[[#This Row],[EXPIRY DATE]],"YYY")</f>
        <v>2024</v>
      </c>
      <c r="I541" s="93" t="s">
        <v>791</v>
      </c>
      <c r="J541" s="75"/>
    </row>
    <row r="542" spans="1:10" x14ac:dyDescent="0.3">
      <c r="A542" s="84">
        <v>541</v>
      </c>
      <c r="B542" s="84" t="s">
        <v>1313</v>
      </c>
      <c r="C542" s="84" t="s">
        <v>1286</v>
      </c>
      <c r="D542" s="115" t="s">
        <v>1314</v>
      </c>
      <c r="E542" s="85" t="s">
        <v>1315</v>
      </c>
      <c r="F542" s="85">
        <v>45657</v>
      </c>
      <c r="G542" s="85" t="str">
        <f>TEXT(Table7[[#This Row],[EXPIRY DATE]],"MMM")</f>
        <v>Dec</v>
      </c>
      <c r="H542" s="85" t="str">
        <f>TEXT(Table7[[#This Row],[EXPIRY DATE]],"YYY")</f>
        <v>2024</v>
      </c>
      <c r="I542" s="84" t="s">
        <v>602</v>
      </c>
      <c r="J542" s="69"/>
    </row>
    <row r="543" spans="1:10" ht="20.399999999999999" x14ac:dyDescent="0.3">
      <c r="A543" s="84">
        <v>542</v>
      </c>
      <c r="B543" s="84" t="s">
        <v>1316</v>
      </c>
      <c r="C543" s="84" t="s">
        <v>1286</v>
      </c>
      <c r="D543" s="115" t="s">
        <v>1317</v>
      </c>
      <c r="E543" s="85" t="s">
        <v>692</v>
      </c>
      <c r="F543" s="85">
        <v>45747</v>
      </c>
      <c r="G543" s="85" t="str">
        <f>TEXT(Table7[[#This Row],[EXPIRY DATE]],"MMM")</f>
        <v>Mar</v>
      </c>
      <c r="H543" s="85" t="str">
        <f>TEXT(Table7[[#This Row],[EXPIRY DATE]],"YYY")</f>
        <v>2025</v>
      </c>
      <c r="I543" s="84" t="s">
        <v>607</v>
      </c>
      <c r="J543" s="69"/>
    </row>
    <row r="544" spans="1:10" ht="20.399999999999999" x14ac:dyDescent="0.3">
      <c r="A544" s="84">
        <v>543</v>
      </c>
      <c r="B544" s="84" t="s">
        <v>1318</v>
      </c>
      <c r="C544" s="84" t="s">
        <v>1286</v>
      </c>
      <c r="D544" s="115" t="s">
        <v>1319</v>
      </c>
      <c r="E544" s="85" t="s">
        <v>692</v>
      </c>
      <c r="F544" s="85">
        <v>45845</v>
      </c>
      <c r="G544" s="85" t="str">
        <f>TEXT(Table7[[#This Row],[EXPIRY DATE]],"MMM")</f>
        <v>Jul</v>
      </c>
      <c r="H544" s="85" t="str">
        <f>TEXT(Table7[[#This Row],[EXPIRY DATE]],"YYY")</f>
        <v>2025</v>
      </c>
      <c r="I544" s="84" t="s">
        <v>607</v>
      </c>
      <c r="J544" s="69"/>
    </row>
    <row r="545" spans="1:10" ht="20.399999999999999" x14ac:dyDescent="0.3">
      <c r="A545" s="84">
        <v>544</v>
      </c>
      <c r="B545" s="84" t="s">
        <v>1320</v>
      </c>
      <c r="C545" s="84" t="s">
        <v>1286</v>
      </c>
      <c r="D545" s="115" t="s">
        <v>1321</v>
      </c>
      <c r="E545" s="85" t="s">
        <v>692</v>
      </c>
      <c r="F545" s="85">
        <v>45845</v>
      </c>
      <c r="G545" s="85" t="str">
        <f>TEXT(Table7[[#This Row],[EXPIRY DATE]],"MMM")</f>
        <v>Jul</v>
      </c>
      <c r="H545" s="85" t="str">
        <f>TEXT(Table7[[#This Row],[EXPIRY DATE]],"YYY")</f>
        <v>2025</v>
      </c>
      <c r="I545" s="84" t="s">
        <v>607</v>
      </c>
      <c r="J545" s="69"/>
    </row>
    <row r="546" spans="1:10" x14ac:dyDescent="0.3">
      <c r="A546" s="84">
        <v>545</v>
      </c>
      <c r="B546" s="84" t="s">
        <v>1322</v>
      </c>
      <c r="C546" s="84" t="s">
        <v>1286</v>
      </c>
      <c r="D546" s="115" t="s">
        <v>1323</v>
      </c>
      <c r="E546" s="85" t="s">
        <v>1179</v>
      </c>
      <c r="F546" s="85">
        <v>45854</v>
      </c>
      <c r="G546" s="85" t="str">
        <f>TEXT(Table7[[#This Row],[EXPIRY DATE]],"MMM")</f>
        <v>Jul</v>
      </c>
      <c r="H546" s="85" t="str">
        <f>TEXT(Table7[[#This Row],[EXPIRY DATE]],"YYY")</f>
        <v>2025</v>
      </c>
      <c r="I546" s="84" t="s">
        <v>607</v>
      </c>
      <c r="J546" s="69"/>
    </row>
    <row r="547" spans="1:10" x14ac:dyDescent="0.3">
      <c r="A547" s="84">
        <v>546</v>
      </c>
      <c r="B547" s="84" t="s">
        <v>1262</v>
      </c>
      <c r="C547" s="84" t="s">
        <v>1286</v>
      </c>
      <c r="D547" s="115" t="s">
        <v>1324</v>
      </c>
      <c r="E547" s="85" t="s">
        <v>692</v>
      </c>
      <c r="F547" s="85">
        <v>45856</v>
      </c>
      <c r="G547" s="85" t="str">
        <f>TEXT(Table7[[#This Row],[EXPIRY DATE]],"MMM")</f>
        <v>Jul</v>
      </c>
      <c r="H547" s="85" t="str">
        <f>TEXT(Table7[[#This Row],[EXPIRY DATE]],"YYY")</f>
        <v>2025</v>
      </c>
      <c r="I547" s="84" t="s">
        <v>607</v>
      </c>
      <c r="J547" s="69"/>
    </row>
    <row r="548" spans="1:10" x14ac:dyDescent="0.3">
      <c r="A548" s="84">
        <v>547</v>
      </c>
      <c r="B548" s="84" t="s">
        <v>1308</v>
      </c>
      <c r="C548" s="84" t="s">
        <v>1286</v>
      </c>
      <c r="D548" s="115" t="s">
        <v>1309</v>
      </c>
      <c r="E548" s="85" t="s">
        <v>692</v>
      </c>
      <c r="F548" s="85">
        <v>45861</v>
      </c>
      <c r="G548" s="85" t="str">
        <f>TEXT(Table7[[#This Row],[EXPIRY DATE]],"MMM")</f>
        <v>Jul</v>
      </c>
      <c r="H548" s="85" t="str">
        <f>TEXT(Table7[[#This Row],[EXPIRY DATE]],"YYY")</f>
        <v>2025</v>
      </c>
      <c r="I548" s="84" t="s">
        <v>791</v>
      </c>
      <c r="J548" s="69"/>
    </row>
    <row r="549" spans="1:10" x14ac:dyDescent="0.3">
      <c r="A549" s="84">
        <v>548</v>
      </c>
      <c r="B549" s="84" t="s">
        <v>1255</v>
      </c>
      <c r="C549" s="84" t="s">
        <v>1286</v>
      </c>
      <c r="D549" s="115" t="s">
        <v>1325</v>
      </c>
      <c r="E549" s="85" t="s">
        <v>692</v>
      </c>
      <c r="F549" s="85">
        <v>45863</v>
      </c>
      <c r="G549" s="85" t="str">
        <f>TEXT(Table7[[#This Row],[EXPIRY DATE]],"MMM")</f>
        <v>Jul</v>
      </c>
      <c r="H549" s="85" t="str">
        <f>TEXT(Table7[[#This Row],[EXPIRY DATE]],"YYY")</f>
        <v>2025</v>
      </c>
      <c r="I549" s="84" t="s">
        <v>607</v>
      </c>
      <c r="J549" s="69"/>
    </row>
    <row r="550" spans="1:10" x14ac:dyDescent="0.3">
      <c r="A550" s="84">
        <v>549</v>
      </c>
      <c r="B550" s="84" t="s">
        <v>1272</v>
      </c>
      <c r="C550" s="84" t="s">
        <v>1286</v>
      </c>
      <c r="D550" s="115" t="s">
        <v>1273</v>
      </c>
      <c r="E550" s="85" t="s">
        <v>1326</v>
      </c>
      <c r="F550" s="85">
        <v>45875</v>
      </c>
      <c r="G550" s="85" t="str">
        <f>TEXT(Table7[[#This Row],[EXPIRY DATE]],"MMM")</f>
        <v>Aug</v>
      </c>
      <c r="H550" s="85" t="str">
        <f>TEXT(Table7[[#This Row],[EXPIRY DATE]],"YYY")</f>
        <v>2025</v>
      </c>
      <c r="I550" s="84" t="s">
        <v>607</v>
      </c>
      <c r="J550" s="69"/>
    </row>
    <row r="551" spans="1:10" x14ac:dyDescent="0.3">
      <c r="A551" s="84">
        <v>550</v>
      </c>
      <c r="B551" s="84" t="s">
        <v>1327</v>
      </c>
      <c r="C551" s="84" t="s">
        <v>1286</v>
      </c>
      <c r="D551" s="115" t="s">
        <v>1328</v>
      </c>
      <c r="E551" s="85" t="s">
        <v>1329</v>
      </c>
      <c r="F551" s="85">
        <v>45947</v>
      </c>
      <c r="G551" s="85" t="str">
        <f>TEXT(Table7[[#This Row],[EXPIRY DATE]],"MMM")</f>
        <v>Oct</v>
      </c>
      <c r="H551" s="85" t="str">
        <f>TEXT(Table7[[#This Row],[EXPIRY DATE]],"YYY")</f>
        <v>2025</v>
      </c>
      <c r="I551" s="85" t="s">
        <v>791</v>
      </c>
      <c r="J551" s="69"/>
    </row>
    <row r="552" spans="1:10" x14ac:dyDescent="0.3">
      <c r="A552" s="84">
        <v>551</v>
      </c>
      <c r="B552" s="84">
        <v>145001132</v>
      </c>
      <c r="C552" s="84" t="s">
        <v>1286</v>
      </c>
      <c r="D552" s="115" t="s">
        <v>1330</v>
      </c>
      <c r="E552" s="85" t="s">
        <v>692</v>
      </c>
      <c r="F552" s="85">
        <v>45983</v>
      </c>
      <c r="G552" s="85" t="str">
        <f>TEXT(Table7[[#This Row],[EXPIRY DATE]],"MMM")</f>
        <v>Nov</v>
      </c>
      <c r="H552" s="85" t="str">
        <f>TEXT(Table7[[#This Row],[EXPIRY DATE]],"YYY")</f>
        <v>2025</v>
      </c>
      <c r="I552" s="84" t="s">
        <v>607</v>
      </c>
      <c r="J552" s="69"/>
    </row>
    <row r="553" spans="1:10" x14ac:dyDescent="0.3">
      <c r="A553" s="84">
        <v>552</v>
      </c>
      <c r="B553" s="84">
        <v>155001002</v>
      </c>
      <c r="C553" s="84" t="s">
        <v>1286</v>
      </c>
      <c r="D553" s="115" t="s">
        <v>1331</v>
      </c>
      <c r="E553" s="85" t="s">
        <v>1332</v>
      </c>
      <c r="F553" s="85">
        <v>45989</v>
      </c>
      <c r="G553" s="85" t="str">
        <f>TEXT(Table7[[#This Row],[EXPIRY DATE]],"MMM")</f>
        <v>Nov</v>
      </c>
      <c r="H553" s="85" t="str">
        <f>TEXT(Table7[[#This Row],[EXPIRY DATE]],"YYY")</f>
        <v>2025</v>
      </c>
      <c r="I553" s="84" t="s">
        <v>791</v>
      </c>
      <c r="J553" s="69"/>
    </row>
    <row r="554" spans="1:10" x14ac:dyDescent="0.3">
      <c r="A554" s="84">
        <v>553</v>
      </c>
      <c r="B554" s="84" t="s">
        <v>1333</v>
      </c>
      <c r="C554" s="84" t="s">
        <v>1286</v>
      </c>
      <c r="D554" s="115" t="s">
        <v>1334</v>
      </c>
      <c r="E554" s="85" t="s">
        <v>692</v>
      </c>
      <c r="F554" s="85">
        <v>46004</v>
      </c>
      <c r="G554" s="85" t="s">
        <v>625</v>
      </c>
      <c r="H554" s="85" t="str">
        <f>TEXT(Table7[[#This Row],[EXPIRY DATE]],"YYY")</f>
        <v>2025</v>
      </c>
      <c r="I554" s="84" t="s">
        <v>791</v>
      </c>
      <c r="J554" s="69"/>
    </row>
    <row r="555" spans="1:10" ht="20.399999999999999" x14ac:dyDescent="0.3">
      <c r="A555" s="84">
        <v>554</v>
      </c>
      <c r="B555" s="84">
        <v>111025001</v>
      </c>
      <c r="C555" s="84" t="s">
        <v>1286</v>
      </c>
      <c r="D555" s="115" t="s">
        <v>1335</v>
      </c>
      <c r="E555" s="85" t="s">
        <v>1336</v>
      </c>
      <c r="F555" s="85">
        <v>46022</v>
      </c>
      <c r="G555" s="85" t="str">
        <f>TEXT(Table7[[#This Row],[EXPIRY DATE]],"MMM")</f>
        <v>Dec</v>
      </c>
      <c r="H555" s="85" t="str">
        <f>TEXT(Table7[[#This Row],[EXPIRY DATE]],"YYY")</f>
        <v>2025</v>
      </c>
      <c r="I555" s="84" t="s">
        <v>602</v>
      </c>
      <c r="J555" s="69"/>
    </row>
    <row r="556" spans="1:10" ht="20.399999999999999" x14ac:dyDescent="0.3">
      <c r="A556" s="84">
        <v>555</v>
      </c>
      <c r="B556" s="84">
        <v>111014001</v>
      </c>
      <c r="C556" s="84" t="s">
        <v>1286</v>
      </c>
      <c r="D556" s="115" t="s">
        <v>1337</v>
      </c>
      <c r="E556" s="85" t="s">
        <v>1338</v>
      </c>
      <c r="F556" s="85">
        <v>46022</v>
      </c>
      <c r="G556" s="85" t="str">
        <f>TEXT(Table7[[#This Row],[EXPIRY DATE]],"MMM")</f>
        <v>Dec</v>
      </c>
      <c r="H556" s="85" t="str">
        <f>TEXT(Table7[[#This Row],[EXPIRY DATE]],"YYY")</f>
        <v>2025</v>
      </c>
      <c r="I556" s="84" t="s">
        <v>602</v>
      </c>
      <c r="J556" s="69"/>
    </row>
    <row r="557" spans="1:10" ht="20.399999999999999" x14ac:dyDescent="0.3">
      <c r="A557" s="84">
        <v>556</v>
      </c>
      <c r="B557" s="84">
        <v>111011004</v>
      </c>
      <c r="C557" s="84" t="s">
        <v>1286</v>
      </c>
      <c r="D557" s="115" t="s">
        <v>1339</v>
      </c>
      <c r="E557" s="85" t="s">
        <v>1340</v>
      </c>
      <c r="F557" s="85">
        <v>46022</v>
      </c>
      <c r="G557" s="85" t="str">
        <f>TEXT(Table7[[#This Row],[EXPIRY DATE]],"MMM")</f>
        <v>Dec</v>
      </c>
      <c r="H557" s="85" t="str">
        <f>TEXT(Table7[[#This Row],[EXPIRY DATE]],"YYY")</f>
        <v>2025</v>
      </c>
      <c r="I557" s="84" t="s">
        <v>602</v>
      </c>
      <c r="J557" s="69"/>
    </row>
    <row r="558" spans="1:10" x14ac:dyDescent="0.3">
      <c r="A558" s="84">
        <v>557</v>
      </c>
      <c r="B558" s="84">
        <v>111010003</v>
      </c>
      <c r="C558" s="84" t="s">
        <v>1286</v>
      </c>
      <c r="D558" s="115" t="s">
        <v>1341</v>
      </c>
      <c r="E558" s="85" t="s">
        <v>1340</v>
      </c>
      <c r="F558" s="85">
        <v>46022</v>
      </c>
      <c r="G558" s="85" t="str">
        <f>TEXT(Table7[[#This Row],[EXPIRY DATE]],"MMM")</f>
        <v>Dec</v>
      </c>
      <c r="H558" s="85" t="str">
        <f>TEXT(Table7[[#This Row],[EXPIRY DATE]],"YYY")</f>
        <v>2025</v>
      </c>
      <c r="I558" s="84" t="s">
        <v>602</v>
      </c>
      <c r="J558" s="69"/>
    </row>
    <row r="559" spans="1:10" ht="20.399999999999999" x14ac:dyDescent="0.3">
      <c r="A559" s="84">
        <v>558</v>
      </c>
      <c r="B559" s="84">
        <v>111010001</v>
      </c>
      <c r="C559" s="84" t="s">
        <v>1286</v>
      </c>
      <c r="D559" s="115" t="s">
        <v>1342</v>
      </c>
      <c r="E559" s="85" t="s">
        <v>590</v>
      </c>
      <c r="F559" s="85">
        <v>46022</v>
      </c>
      <c r="G559" s="85" t="str">
        <f>TEXT(Table7[[#This Row],[EXPIRY DATE]],"MMM")</f>
        <v>Dec</v>
      </c>
      <c r="H559" s="85" t="str">
        <f>TEXT(Table7[[#This Row],[EXPIRY DATE]],"YYY")</f>
        <v>2025</v>
      </c>
      <c r="I559" s="84" t="s">
        <v>602</v>
      </c>
      <c r="J559" s="69"/>
    </row>
    <row r="560" spans="1:10" ht="30.6" x14ac:dyDescent="0.3">
      <c r="A560" s="84">
        <v>559</v>
      </c>
      <c r="B560" s="84">
        <v>111009004</v>
      </c>
      <c r="C560" s="84" t="s">
        <v>1286</v>
      </c>
      <c r="D560" s="115" t="s">
        <v>1343</v>
      </c>
      <c r="E560" s="85" t="s">
        <v>1344</v>
      </c>
      <c r="F560" s="85">
        <v>46022</v>
      </c>
      <c r="G560" s="85" t="str">
        <f>TEXT(Table7[[#This Row],[EXPIRY DATE]],"MMM")</f>
        <v>Dec</v>
      </c>
      <c r="H560" s="85" t="str">
        <f>TEXT(Table7[[#This Row],[EXPIRY DATE]],"YYY")</f>
        <v>2025</v>
      </c>
      <c r="I560" s="84" t="s">
        <v>602</v>
      </c>
      <c r="J560" s="69"/>
    </row>
    <row r="561" spans="1:10" ht="30.6" x14ac:dyDescent="0.3">
      <c r="A561" s="84">
        <v>560</v>
      </c>
      <c r="B561" s="84">
        <v>111002017</v>
      </c>
      <c r="C561" s="84" t="s">
        <v>1286</v>
      </c>
      <c r="D561" s="115" t="s">
        <v>1345</v>
      </c>
      <c r="E561" s="85" t="s">
        <v>645</v>
      </c>
      <c r="F561" s="85">
        <v>46022</v>
      </c>
      <c r="G561" s="85" t="str">
        <f>TEXT(Table7[[#This Row],[EXPIRY DATE]],"MMM")</f>
        <v>Dec</v>
      </c>
      <c r="H561" s="85" t="str">
        <f>TEXT(Table7[[#This Row],[EXPIRY DATE]],"YYY")</f>
        <v>2025</v>
      </c>
      <c r="I561" s="84" t="s">
        <v>602</v>
      </c>
      <c r="J561" s="69"/>
    </row>
    <row r="562" spans="1:10" ht="20.399999999999999" x14ac:dyDescent="0.3">
      <c r="A562" s="84">
        <v>561</v>
      </c>
      <c r="B562" s="84">
        <v>111001456</v>
      </c>
      <c r="C562" s="84" t="s">
        <v>1286</v>
      </c>
      <c r="D562" s="115" t="s">
        <v>1346</v>
      </c>
      <c r="E562" s="85" t="s">
        <v>590</v>
      </c>
      <c r="F562" s="85">
        <v>46022</v>
      </c>
      <c r="G562" s="85" t="str">
        <f>TEXT(Table7[[#This Row],[EXPIRY DATE]],"MMM")</f>
        <v>Dec</v>
      </c>
      <c r="H562" s="85" t="str">
        <f>TEXT(Table7[[#This Row],[EXPIRY DATE]],"YYY")</f>
        <v>2025</v>
      </c>
      <c r="I562" s="84" t="s">
        <v>602</v>
      </c>
      <c r="J562" s="69"/>
    </row>
    <row r="563" spans="1:10" ht="20.399999999999999" x14ac:dyDescent="0.3">
      <c r="A563" s="84">
        <v>562</v>
      </c>
      <c r="B563" s="84">
        <v>111001345</v>
      </c>
      <c r="C563" s="84" t="s">
        <v>1286</v>
      </c>
      <c r="D563" s="115" t="s">
        <v>1347</v>
      </c>
      <c r="E563" s="85" t="s">
        <v>590</v>
      </c>
      <c r="F563" s="85">
        <v>46022</v>
      </c>
      <c r="G563" s="85" t="str">
        <f>TEXT(Table7[[#This Row],[EXPIRY DATE]],"MMM")</f>
        <v>Dec</v>
      </c>
      <c r="H563" s="85" t="str">
        <f>TEXT(Table7[[#This Row],[EXPIRY DATE]],"YYY")</f>
        <v>2025</v>
      </c>
      <c r="I563" s="84" t="s">
        <v>602</v>
      </c>
      <c r="J563" s="69"/>
    </row>
    <row r="564" spans="1:10" ht="20.399999999999999" x14ac:dyDescent="0.3">
      <c r="A564" s="84">
        <v>563</v>
      </c>
      <c r="B564" s="84">
        <v>111001343</v>
      </c>
      <c r="C564" s="84" t="s">
        <v>1286</v>
      </c>
      <c r="D564" s="115" t="s">
        <v>1348</v>
      </c>
      <c r="E564" s="85" t="s">
        <v>590</v>
      </c>
      <c r="F564" s="85">
        <v>46022</v>
      </c>
      <c r="G564" s="85" t="str">
        <f>TEXT(Table7[[#This Row],[EXPIRY DATE]],"MMM")</f>
        <v>Dec</v>
      </c>
      <c r="H564" s="85" t="str">
        <f>TEXT(Table7[[#This Row],[EXPIRY DATE]],"YYY")</f>
        <v>2025</v>
      </c>
      <c r="I564" s="84" t="s">
        <v>602</v>
      </c>
      <c r="J564" s="69"/>
    </row>
    <row r="565" spans="1:10" ht="20.399999999999999" x14ac:dyDescent="0.3">
      <c r="A565" s="84">
        <v>564</v>
      </c>
      <c r="B565" s="84">
        <v>111001340</v>
      </c>
      <c r="C565" s="84" t="s">
        <v>1286</v>
      </c>
      <c r="D565" s="115" t="s">
        <v>1349</v>
      </c>
      <c r="E565" s="85" t="s">
        <v>590</v>
      </c>
      <c r="F565" s="85">
        <v>46022</v>
      </c>
      <c r="G565" s="85" t="str">
        <f>TEXT(Table7[[#This Row],[EXPIRY DATE]],"MMM")</f>
        <v>Dec</v>
      </c>
      <c r="H565" s="85" t="str">
        <f>TEXT(Table7[[#This Row],[EXPIRY DATE]],"YYY")</f>
        <v>2025</v>
      </c>
      <c r="I565" s="84" t="s">
        <v>602</v>
      </c>
      <c r="J565" s="69"/>
    </row>
    <row r="566" spans="1:10" ht="20.399999999999999" x14ac:dyDescent="0.3">
      <c r="A566" s="84">
        <v>565</v>
      </c>
      <c r="B566" s="84">
        <v>111001319</v>
      </c>
      <c r="C566" s="84" t="s">
        <v>1286</v>
      </c>
      <c r="D566" s="115" t="s">
        <v>1350</v>
      </c>
      <c r="E566" s="85" t="s">
        <v>590</v>
      </c>
      <c r="F566" s="85">
        <v>46022</v>
      </c>
      <c r="G566" s="85" t="str">
        <f>TEXT(Table7[[#This Row],[EXPIRY DATE]],"MMM")</f>
        <v>Dec</v>
      </c>
      <c r="H566" s="85" t="str">
        <f>TEXT(Table7[[#This Row],[EXPIRY DATE]],"YYY")</f>
        <v>2025</v>
      </c>
      <c r="I566" s="84" t="s">
        <v>602</v>
      </c>
      <c r="J566" s="69"/>
    </row>
    <row r="567" spans="1:10" ht="20.399999999999999" x14ac:dyDescent="0.3">
      <c r="A567" s="84">
        <v>566</v>
      </c>
      <c r="B567" s="84">
        <v>111001318</v>
      </c>
      <c r="C567" s="84" t="s">
        <v>1286</v>
      </c>
      <c r="D567" s="115" t="s">
        <v>1351</v>
      </c>
      <c r="E567" s="85" t="s">
        <v>590</v>
      </c>
      <c r="F567" s="85">
        <v>46022</v>
      </c>
      <c r="G567" s="85" t="str">
        <f>TEXT(Table7[[#This Row],[EXPIRY DATE]],"MMM")</f>
        <v>Dec</v>
      </c>
      <c r="H567" s="85" t="str">
        <f>TEXT(Table7[[#This Row],[EXPIRY DATE]],"YYY")</f>
        <v>2025</v>
      </c>
      <c r="I567" s="84" t="s">
        <v>602</v>
      </c>
      <c r="J567" s="69"/>
    </row>
    <row r="568" spans="1:10" ht="20.399999999999999" x14ac:dyDescent="0.3">
      <c r="A568" s="84">
        <v>567</v>
      </c>
      <c r="B568" s="84">
        <v>111001218</v>
      </c>
      <c r="C568" s="84" t="s">
        <v>1286</v>
      </c>
      <c r="D568" s="115" t="s">
        <v>1352</v>
      </c>
      <c r="E568" s="85" t="s">
        <v>590</v>
      </c>
      <c r="F568" s="85">
        <v>46022</v>
      </c>
      <c r="G568" s="85" t="str">
        <f>TEXT(Table7[[#This Row],[EXPIRY DATE]],"MMM")</f>
        <v>Dec</v>
      </c>
      <c r="H568" s="85" t="str">
        <f>TEXT(Table7[[#This Row],[EXPIRY DATE]],"YYY")</f>
        <v>2025</v>
      </c>
      <c r="I568" s="84" t="s">
        <v>602</v>
      </c>
      <c r="J568" s="69"/>
    </row>
    <row r="569" spans="1:10" ht="20.399999999999999" x14ac:dyDescent="0.3">
      <c r="A569" s="84">
        <v>568</v>
      </c>
      <c r="B569" s="84">
        <v>111001095</v>
      </c>
      <c r="C569" s="84" t="s">
        <v>1286</v>
      </c>
      <c r="D569" s="115" t="s">
        <v>1353</v>
      </c>
      <c r="E569" s="85" t="s">
        <v>590</v>
      </c>
      <c r="F569" s="85">
        <v>46022</v>
      </c>
      <c r="G569" s="85" t="str">
        <f>TEXT(Table7[[#This Row],[EXPIRY DATE]],"MMM")</f>
        <v>Dec</v>
      </c>
      <c r="H569" s="85" t="str">
        <f>TEXT(Table7[[#This Row],[EXPIRY DATE]],"YYY")</f>
        <v>2025</v>
      </c>
      <c r="I569" s="84" t="s">
        <v>602</v>
      </c>
      <c r="J569" s="69"/>
    </row>
    <row r="570" spans="1:10" x14ac:dyDescent="0.3">
      <c r="A570" s="84">
        <v>569</v>
      </c>
      <c r="B570" s="84">
        <v>111001092</v>
      </c>
      <c r="C570" s="84" t="s">
        <v>1286</v>
      </c>
      <c r="D570" s="115" t="s">
        <v>1354</v>
      </c>
      <c r="E570" s="85" t="s">
        <v>590</v>
      </c>
      <c r="F570" s="85">
        <v>46022</v>
      </c>
      <c r="G570" s="85" t="str">
        <f>TEXT(Table7[[#This Row],[EXPIRY DATE]],"MMM")</f>
        <v>Dec</v>
      </c>
      <c r="H570" s="85" t="str">
        <f>TEXT(Table7[[#This Row],[EXPIRY DATE]],"YYY")</f>
        <v>2025</v>
      </c>
      <c r="I570" s="84" t="s">
        <v>602</v>
      </c>
      <c r="J570" s="69"/>
    </row>
    <row r="571" spans="1:10" x14ac:dyDescent="0.3">
      <c r="A571" s="84">
        <v>570</v>
      </c>
      <c r="B571" s="80" t="s">
        <v>1355</v>
      </c>
      <c r="C571" s="81" t="s">
        <v>1286</v>
      </c>
      <c r="D571" s="117" t="s">
        <v>1356</v>
      </c>
      <c r="E571" s="85" t="s">
        <v>692</v>
      </c>
      <c r="F571" s="85">
        <v>46049</v>
      </c>
      <c r="G571" s="85" t="s">
        <v>936</v>
      </c>
      <c r="H571" s="85" t="str">
        <f>TEXT(Table7[[#This Row],[EXPIRY DATE]],"YYY")</f>
        <v>2026</v>
      </c>
      <c r="I571" s="84" t="s">
        <v>791</v>
      </c>
      <c r="J571" s="69"/>
    </row>
    <row r="572" spans="1:10" x14ac:dyDescent="0.3">
      <c r="A572" s="84">
        <v>571</v>
      </c>
      <c r="B572" s="84" t="s">
        <v>1357</v>
      </c>
      <c r="C572" s="84" t="s">
        <v>1286</v>
      </c>
      <c r="D572" s="115" t="s">
        <v>1358</v>
      </c>
      <c r="E572" s="85" t="s">
        <v>925</v>
      </c>
      <c r="F572" s="85">
        <v>46059</v>
      </c>
      <c r="G572" s="85" t="str">
        <f>TEXT(Table7[[#This Row],[EXPIRY DATE]],"MMM")</f>
        <v>Feb</v>
      </c>
      <c r="H572" s="85" t="str">
        <f>TEXT(Table7[[#This Row],[EXPIRY DATE]],"YYY")</f>
        <v>2026</v>
      </c>
      <c r="I572" s="85" t="s">
        <v>791</v>
      </c>
      <c r="J572" s="69"/>
    </row>
    <row r="573" spans="1:10" x14ac:dyDescent="0.3">
      <c r="A573" s="84">
        <v>572</v>
      </c>
      <c r="B573" s="84" t="s">
        <v>1359</v>
      </c>
      <c r="C573" s="84" t="s">
        <v>1286</v>
      </c>
      <c r="D573" s="115" t="s">
        <v>1360</v>
      </c>
      <c r="E573" s="85" t="s">
        <v>598</v>
      </c>
      <c r="F573" s="85">
        <v>46067</v>
      </c>
      <c r="G573" s="85" t="str">
        <f>TEXT(Table7[[#This Row],[EXPIRY DATE]],"MMM")</f>
        <v>Feb</v>
      </c>
      <c r="H573" s="85" t="str">
        <f>TEXT(Table7[[#This Row],[EXPIRY DATE]],"YYY")</f>
        <v>2026</v>
      </c>
      <c r="I573" s="85" t="s">
        <v>791</v>
      </c>
      <c r="J573" s="69"/>
    </row>
    <row r="574" spans="1:10" x14ac:dyDescent="0.3">
      <c r="A574" s="84">
        <v>573</v>
      </c>
      <c r="B574" s="84" t="s">
        <v>1361</v>
      </c>
      <c r="C574" s="84" t="s">
        <v>1286</v>
      </c>
      <c r="D574" s="115" t="s">
        <v>1362</v>
      </c>
      <c r="E574" s="85" t="s">
        <v>692</v>
      </c>
      <c r="F574" s="85">
        <v>46093</v>
      </c>
      <c r="G574" s="85" t="str">
        <f>TEXT(Table7[[#This Row],[EXPIRY DATE]],"MMM")</f>
        <v>Mar</v>
      </c>
      <c r="H574" s="85" t="str">
        <f>TEXT(Table7[[#This Row],[EXPIRY DATE]],"YYY")</f>
        <v>2026</v>
      </c>
      <c r="I574" s="85" t="s">
        <v>791</v>
      </c>
      <c r="J574" s="69"/>
    </row>
    <row r="575" spans="1:10" ht="20.399999999999999" x14ac:dyDescent="0.3">
      <c r="A575" s="84">
        <v>574</v>
      </c>
      <c r="B575" s="84" t="s">
        <v>1363</v>
      </c>
      <c r="C575" s="84" t="s">
        <v>1286</v>
      </c>
      <c r="D575" s="115" t="s">
        <v>1364</v>
      </c>
      <c r="E575" s="85" t="s">
        <v>692</v>
      </c>
      <c r="F575" s="85">
        <v>46099</v>
      </c>
      <c r="G575" s="85" t="s">
        <v>606</v>
      </c>
      <c r="H575" s="85" t="str">
        <f>TEXT(Table7[[#This Row],[EXPIRY DATE]],"YYY")</f>
        <v>2026</v>
      </c>
      <c r="I575" s="84" t="s">
        <v>791</v>
      </c>
      <c r="J575" s="69"/>
    </row>
    <row r="576" spans="1:10" ht="20.399999999999999" x14ac:dyDescent="0.3">
      <c r="A576" s="84">
        <v>575</v>
      </c>
      <c r="B576" s="84" t="s">
        <v>1320</v>
      </c>
      <c r="C576" s="84" t="s">
        <v>1286</v>
      </c>
      <c r="D576" s="115" t="s">
        <v>1321</v>
      </c>
      <c r="E576" s="85" t="s">
        <v>1179</v>
      </c>
      <c r="F576" s="85">
        <v>46102</v>
      </c>
      <c r="G576" s="85" t="str">
        <f>TEXT(Table7[[#This Row],[EXPIRY DATE]],"MMM")</f>
        <v>Mar</v>
      </c>
      <c r="H576" s="85" t="str">
        <f>TEXT(Table7[[#This Row],[EXPIRY DATE]],"YYY")</f>
        <v>2026</v>
      </c>
      <c r="I576" s="85" t="s">
        <v>791</v>
      </c>
      <c r="J576" s="69"/>
    </row>
    <row r="577" spans="1:10" x14ac:dyDescent="0.3">
      <c r="A577" s="84">
        <v>576</v>
      </c>
      <c r="B577" s="84" t="s">
        <v>1365</v>
      </c>
      <c r="C577" s="84" t="s">
        <v>1286</v>
      </c>
      <c r="D577" s="115" t="s">
        <v>1366</v>
      </c>
      <c r="E577" s="85" t="s">
        <v>1179</v>
      </c>
      <c r="F577" s="85">
        <v>46105</v>
      </c>
      <c r="G577" s="85" t="s">
        <v>606</v>
      </c>
      <c r="H577" s="85" t="str">
        <f>TEXT(Table7[[#This Row],[EXPIRY DATE]],"YYY")</f>
        <v>2026</v>
      </c>
      <c r="I577" s="84" t="s">
        <v>791</v>
      </c>
      <c r="J577" s="69"/>
    </row>
    <row r="578" spans="1:10" x14ac:dyDescent="0.3">
      <c r="A578" s="84">
        <v>577</v>
      </c>
      <c r="B578" s="84" t="s">
        <v>1367</v>
      </c>
      <c r="C578" s="84" t="s">
        <v>1286</v>
      </c>
      <c r="D578" s="115" t="s">
        <v>1368</v>
      </c>
      <c r="E578" s="85" t="s">
        <v>1164</v>
      </c>
      <c r="F578" s="85">
        <v>46112</v>
      </c>
      <c r="G578" s="85" t="str">
        <f>TEXT(Table7[[#This Row],[EXPIRY DATE]],"MMM")</f>
        <v>Mar</v>
      </c>
      <c r="H578" s="85" t="str">
        <f>TEXT(Table7[[#This Row],[EXPIRY DATE]],"YYY")</f>
        <v>2026</v>
      </c>
      <c r="I578" s="84" t="s">
        <v>607</v>
      </c>
      <c r="J578" s="69"/>
    </row>
    <row r="579" spans="1:10" ht="20.399999999999999" x14ac:dyDescent="0.3">
      <c r="A579" s="84">
        <v>578</v>
      </c>
      <c r="B579" s="84" t="s">
        <v>1369</v>
      </c>
      <c r="C579" s="84" t="s">
        <v>1286</v>
      </c>
      <c r="D579" s="115" t="s">
        <v>1370</v>
      </c>
      <c r="E579" s="85" t="s">
        <v>1371</v>
      </c>
      <c r="F579" s="85">
        <v>46112</v>
      </c>
      <c r="G579" s="85" t="str">
        <f>TEXT(Table7[[#This Row],[EXPIRY DATE]],"MMM")</f>
        <v>Mar</v>
      </c>
      <c r="H579" s="85" t="str">
        <f>TEXT(Table7[[#This Row],[EXPIRY DATE]],"YYY")</f>
        <v>2026</v>
      </c>
      <c r="I579" s="84" t="s">
        <v>602</v>
      </c>
      <c r="J579" s="69"/>
    </row>
    <row r="580" spans="1:10" x14ac:dyDescent="0.3">
      <c r="A580" s="84">
        <v>579</v>
      </c>
      <c r="B580" s="84" t="s">
        <v>1369</v>
      </c>
      <c r="C580" s="84" t="s">
        <v>1286</v>
      </c>
      <c r="D580" s="115" t="s">
        <v>1372</v>
      </c>
      <c r="E580" s="85" t="s">
        <v>1371</v>
      </c>
      <c r="F580" s="85">
        <v>46112</v>
      </c>
      <c r="G580" s="85" t="str">
        <f>TEXT(Table7[[#This Row],[EXPIRY DATE]],"MMM")</f>
        <v>Mar</v>
      </c>
      <c r="H580" s="85" t="str">
        <f>TEXT(Table7[[#This Row],[EXPIRY DATE]],"YYY")</f>
        <v>2026</v>
      </c>
      <c r="I580" s="84" t="s">
        <v>607</v>
      </c>
      <c r="J580" s="69"/>
    </row>
    <row r="581" spans="1:10" x14ac:dyDescent="0.3">
      <c r="A581" s="84">
        <v>580</v>
      </c>
      <c r="B581" s="84" t="s">
        <v>1373</v>
      </c>
      <c r="C581" s="84" t="s">
        <v>1286</v>
      </c>
      <c r="D581" s="115" t="s">
        <v>1374</v>
      </c>
      <c r="E581" s="85" t="s">
        <v>1375</v>
      </c>
      <c r="F581" s="85">
        <v>46112</v>
      </c>
      <c r="G581" s="85" t="s">
        <v>606</v>
      </c>
      <c r="H581" s="85" t="str">
        <f>TEXT(Table7[[#This Row],[EXPIRY DATE]],"YYY")</f>
        <v>2026</v>
      </c>
      <c r="I581" s="84" t="s">
        <v>602</v>
      </c>
      <c r="J581" s="69"/>
    </row>
    <row r="582" spans="1:10" ht="20.399999999999999" x14ac:dyDescent="0.3">
      <c r="A582" s="84">
        <v>581</v>
      </c>
      <c r="B582" s="84" t="s">
        <v>1376</v>
      </c>
      <c r="C582" s="84" t="s">
        <v>1286</v>
      </c>
      <c r="D582" s="115" t="s">
        <v>1377</v>
      </c>
      <c r="E582" s="85" t="s">
        <v>1164</v>
      </c>
      <c r="F582" s="85">
        <v>46112</v>
      </c>
      <c r="G582" s="85" t="str">
        <f>TEXT(Table7[[#This Row],[EXPIRY DATE]],"MMM")</f>
        <v>Mar</v>
      </c>
      <c r="H582" s="85" t="str">
        <f>TEXT(Table7[[#This Row],[EXPIRY DATE]],"YYY")</f>
        <v>2026</v>
      </c>
      <c r="I582" s="84" t="s">
        <v>607</v>
      </c>
      <c r="J582" s="69"/>
    </row>
    <row r="583" spans="1:10" ht="20.399999999999999" x14ac:dyDescent="0.3">
      <c r="A583" s="84">
        <v>582</v>
      </c>
      <c r="B583" s="84" t="s">
        <v>1275</v>
      </c>
      <c r="C583" s="84" t="s">
        <v>1286</v>
      </c>
      <c r="D583" s="115" t="s">
        <v>1276</v>
      </c>
      <c r="E583" s="85" t="s">
        <v>1277</v>
      </c>
      <c r="F583" s="85">
        <v>46112</v>
      </c>
      <c r="G583" s="85" t="str">
        <f>TEXT(Table7[[#This Row],[EXPIRY DATE]],"MMM")</f>
        <v>Mar</v>
      </c>
      <c r="H583" s="85" t="str">
        <f>TEXT(Table7[[#This Row],[EXPIRY DATE]],"YYY")</f>
        <v>2026</v>
      </c>
      <c r="I583" s="84" t="s">
        <v>607</v>
      </c>
      <c r="J583" s="69"/>
    </row>
    <row r="584" spans="1:10" x14ac:dyDescent="0.3">
      <c r="A584" s="84">
        <v>583</v>
      </c>
      <c r="B584" s="84" t="s">
        <v>1378</v>
      </c>
      <c r="C584" s="84" t="s">
        <v>1286</v>
      </c>
      <c r="D584" s="115" t="s">
        <v>1249</v>
      </c>
      <c r="E584" s="85" t="s">
        <v>692</v>
      </c>
      <c r="F584" s="85">
        <v>46112</v>
      </c>
      <c r="G584" s="85" t="s">
        <v>606</v>
      </c>
      <c r="H584" s="85" t="str">
        <f>TEXT(Table7[[#This Row],[EXPIRY DATE]],"YYY")</f>
        <v>2026</v>
      </c>
      <c r="I584" s="84" t="s">
        <v>607</v>
      </c>
      <c r="J584" s="69"/>
    </row>
    <row r="585" spans="1:10" x14ac:dyDescent="0.3">
      <c r="A585" s="84">
        <v>584</v>
      </c>
      <c r="B585" s="84" t="s">
        <v>1379</v>
      </c>
      <c r="C585" s="84" t="s">
        <v>1286</v>
      </c>
      <c r="D585" s="115" t="s">
        <v>1249</v>
      </c>
      <c r="E585" s="85" t="s">
        <v>692</v>
      </c>
      <c r="F585" s="85">
        <v>46112</v>
      </c>
      <c r="G585" s="85" t="s">
        <v>606</v>
      </c>
      <c r="H585" s="85" t="str">
        <f>TEXT(Table7[[#This Row],[EXPIRY DATE]],"YYY")</f>
        <v>2026</v>
      </c>
      <c r="I585" s="84" t="s">
        <v>607</v>
      </c>
      <c r="J585" s="69"/>
    </row>
    <row r="586" spans="1:10" x14ac:dyDescent="0.3">
      <c r="A586" s="84">
        <v>585</v>
      </c>
      <c r="B586" s="84" t="s">
        <v>1278</v>
      </c>
      <c r="C586" s="84" t="s">
        <v>1286</v>
      </c>
      <c r="D586" s="115" t="s">
        <v>1279</v>
      </c>
      <c r="E586" s="85" t="s">
        <v>1164</v>
      </c>
      <c r="F586" s="85">
        <v>46112</v>
      </c>
      <c r="G586" s="85" t="str">
        <f>TEXT(Table7[[#This Row],[EXPIRY DATE]],"MMM")</f>
        <v>Mar</v>
      </c>
      <c r="H586" s="85" t="str">
        <f>TEXT(Table7[[#This Row],[EXPIRY DATE]],"YYY")</f>
        <v>2026</v>
      </c>
      <c r="I586" s="84" t="s">
        <v>607</v>
      </c>
      <c r="J586" s="69"/>
    </row>
    <row r="587" spans="1:10" x14ac:dyDescent="0.3">
      <c r="A587" s="84">
        <v>586</v>
      </c>
      <c r="B587" s="84" t="s">
        <v>1280</v>
      </c>
      <c r="C587" s="84" t="s">
        <v>1286</v>
      </c>
      <c r="D587" s="115" t="s">
        <v>1281</v>
      </c>
      <c r="E587" s="85" t="s">
        <v>1282</v>
      </c>
      <c r="F587" s="85">
        <v>46112</v>
      </c>
      <c r="G587" s="85" t="str">
        <f>TEXT(Table7[[#This Row],[EXPIRY DATE]],"MMM")</f>
        <v>Mar</v>
      </c>
      <c r="H587" s="85" t="str">
        <f>TEXT(Table7[[#This Row],[EXPIRY DATE]],"YYY")</f>
        <v>2026</v>
      </c>
      <c r="I587" s="84" t="s">
        <v>607</v>
      </c>
      <c r="J587" s="69"/>
    </row>
    <row r="588" spans="1:10" x14ac:dyDescent="0.3">
      <c r="A588" s="84">
        <v>587</v>
      </c>
      <c r="B588" s="84" t="s">
        <v>1380</v>
      </c>
      <c r="C588" s="84" t="s">
        <v>1286</v>
      </c>
      <c r="D588" s="115" t="s">
        <v>1381</v>
      </c>
      <c r="E588" s="85" t="s">
        <v>1179</v>
      </c>
      <c r="F588" s="85">
        <v>46112</v>
      </c>
      <c r="G588" s="85" t="str">
        <f>TEXT(Table7[[#This Row],[EXPIRY DATE]],"MMM")</f>
        <v>Mar</v>
      </c>
      <c r="H588" s="85" t="str">
        <f>TEXT(Table7[[#This Row],[EXPIRY DATE]],"YYY")</f>
        <v>2026</v>
      </c>
      <c r="I588" s="84" t="s">
        <v>607</v>
      </c>
      <c r="J588" s="69"/>
    </row>
    <row r="589" spans="1:10" x14ac:dyDescent="0.3">
      <c r="A589" s="84">
        <v>588</v>
      </c>
      <c r="B589" s="84" t="s">
        <v>1380</v>
      </c>
      <c r="C589" s="84" t="s">
        <v>1286</v>
      </c>
      <c r="D589" s="115" t="s">
        <v>1382</v>
      </c>
      <c r="E589" s="85" t="s">
        <v>692</v>
      </c>
      <c r="F589" s="85">
        <v>46112</v>
      </c>
      <c r="G589" s="85" t="str">
        <f>TEXT(Table7[[#This Row],[EXPIRY DATE]],"MMM")</f>
        <v>Mar</v>
      </c>
      <c r="H589" s="85" t="str">
        <f>TEXT(Table7[[#This Row],[EXPIRY DATE]],"YYY")</f>
        <v>2026</v>
      </c>
      <c r="I589" s="84" t="s">
        <v>602</v>
      </c>
      <c r="J589" s="69"/>
    </row>
    <row r="590" spans="1:10" x14ac:dyDescent="0.3">
      <c r="A590" s="84">
        <v>589</v>
      </c>
      <c r="B590" s="84" t="s">
        <v>1383</v>
      </c>
      <c r="C590" s="84" t="s">
        <v>1286</v>
      </c>
      <c r="D590" s="115" t="s">
        <v>1384</v>
      </c>
      <c r="E590" s="85" t="s">
        <v>692</v>
      </c>
      <c r="F590" s="85">
        <v>46112</v>
      </c>
      <c r="G590" s="85" t="str">
        <f>TEXT(Table7[[#This Row],[EXPIRY DATE]],"MMM")</f>
        <v>Mar</v>
      </c>
      <c r="H590" s="85" t="str">
        <f>TEXT(Table7[[#This Row],[EXPIRY DATE]],"YYY")</f>
        <v>2026</v>
      </c>
      <c r="I590" s="84" t="s">
        <v>602</v>
      </c>
      <c r="J590" s="69"/>
    </row>
    <row r="591" spans="1:10" x14ac:dyDescent="0.3">
      <c r="A591" s="84">
        <v>590</v>
      </c>
      <c r="B591" s="84" t="s">
        <v>1383</v>
      </c>
      <c r="C591" s="84" t="s">
        <v>1286</v>
      </c>
      <c r="D591" s="115" t="s">
        <v>1385</v>
      </c>
      <c r="E591" s="85" t="s">
        <v>692</v>
      </c>
      <c r="F591" s="85">
        <v>46112</v>
      </c>
      <c r="G591" s="85" t="s">
        <v>606</v>
      </c>
      <c r="H591" s="85" t="str">
        <f>TEXT(Table7[[#This Row],[EXPIRY DATE]],"YYY")</f>
        <v>2026</v>
      </c>
      <c r="I591" s="84" t="s">
        <v>607</v>
      </c>
      <c r="J591" s="69"/>
    </row>
    <row r="592" spans="1:10" x14ac:dyDescent="0.3">
      <c r="A592" s="84">
        <v>591</v>
      </c>
      <c r="B592" s="84" t="s">
        <v>1270</v>
      </c>
      <c r="C592" s="84" t="s">
        <v>1286</v>
      </c>
      <c r="D592" s="115" t="s">
        <v>1271</v>
      </c>
      <c r="E592" s="85" t="s">
        <v>692</v>
      </c>
      <c r="F592" s="85">
        <v>46112</v>
      </c>
      <c r="G592" s="85" t="str">
        <f>TEXT(Table7[[#This Row],[EXPIRY DATE]],"MMM")</f>
        <v>Mar</v>
      </c>
      <c r="H592" s="85" t="str">
        <f>TEXT(Table7[[#This Row],[EXPIRY DATE]],"YYY")</f>
        <v>2026</v>
      </c>
      <c r="I592" s="84" t="s">
        <v>602</v>
      </c>
      <c r="J592" s="69"/>
    </row>
    <row r="593" spans="1:10" x14ac:dyDescent="0.3">
      <c r="A593" s="84">
        <v>592</v>
      </c>
      <c r="B593" s="84" t="s">
        <v>1270</v>
      </c>
      <c r="C593" s="84" t="s">
        <v>1286</v>
      </c>
      <c r="D593" s="115" t="s">
        <v>1271</v>
      </c>
      <c r="E593" s="85" t="s">
        <v>692</v>
      </c>
      <c r="F593" s="85">
        <v>46112</v>
      </c>
      <c r="G593" s="85" t="str">
        <f>TEXT(Table7[[#This Row],[EXPIRY DATE]],"MMM")</f>
        <v>Mar</v>
      </c>
      <c r="H593" s="85" t="str">
        <f>TEXT(Table7[[#This Row],[EXPIRY DATE]],"YYY")</f>
        <v>2026</v>
      </c>
      <c r="I593" s="84" t="s">
        <v>607</v>
      </c>
      <c r="J593" s="69"/>
    </row>
    <row r="594" spans="1:10" x14ac:dyDescent="0.3">
      <c r="A594" s="84">
        <v>593</v>
      </c>
      <c r="B594" s="84" t="s">
        <v>1386</v>
      </c>
      <c r="C594" s="84" t="s">
        <v>1286</v>
      </c>
      <c r="D594" s="115" t="s">
        <v>1387</v>
      </c>
      <c r="E594" s="85" t="s">
        <v>692</v>
      </c>
      <c r="F594" s="85">
        <v>46112</v>
      </c>
      <c r="G594" s="85" t="s">
        <v>606</v>
      </c>
      <c r="H594" s="85" t="str">
        <f>TEXT(Table7[[#This Row],[EXPIRY DATE]],"YYY")</f>
        <v>2026</v>
      </c>
      <c r="I594" s="84" t="s">
        <v>607</v>
      </c>
      <c r="J594" s="69"/>
    </row>
    <row r="595" spans="1:10" x14ac:dyDescent="0.3">
      <c r="A595" s="84">
        <v>594</v>
      </c>
      <c r="B595" s="84" t="s">
        <v>1386</v>
      </c>
      <c r="C595" s="84" t="s">
        <v>1286</v>
      </c>
      <c r="D595" s="115" t="s">
        <v>1387</v>
      </c>
      <c r="E595" s="85" t="s">
        <v>692</v>
      </c>
      <c r="F595" s="85">
        <v>46112</v>
      </c>
      <c r="G595" s="85" t="s">
        <v>606</v>
      </c>
      <c r="H595" s="85" t="str">
        <f>TEXT(Table7[[#This Row],[EXPIRY DATE]],"YYY")</f>
        <v>2026</v>
      </c>
      <c r="I595" s="84" t="s">
        <v>602</v>
      </c>
      <c r="J595" s="69"/>
    </row>
    <row r="596" spans="1:10" x14ac:dyDescent="0.3">
      <c r="A596" s="84">
        <v>595</v>
      </c>
      <c r="B596" s="84" t="s">
        <v>1388</v>
      </c>
      <c r="C596" s="84" t="s">
        <v>1286</v>
      </c>
      <c r="D596" s="115" t="s">
        <v>1389</v>
      </c>
      <c r="E596" s="85" t="s">
        <v>692</v>
      </c>
      <c r="F596" s="85">
        <v>46112</v>
      </c>
      <c r="G596" s="85" t="str">
        <f>TEXT(Table7[[#This Row],[EXPIRY DATE]],"MMM")</f>
        <v>Mar</v>
      </c>
      <c r="H596" s="85" t="str">
        <f>TEXT(Table7[[#This Row],[EXPIRY DATE]],"YYY")</f>
        <v>2026</v>
      </c>
      <c r="I596" s="84" t="s">
        <v>607</v>
      </c>
      <c r="J596" s="69"/>
    </row>
    <row r="597" spans="1:10" x14ac:dyDescent="0.3">
      <c r="A597" s="84">
        <v>596</v>
      </c>
      <c r="B597" s="84" t="s">
        <v>1388</v>
      </c>
      <c r="C597" s="84" t="s">
        <v>1286</v>
      </c>
      <c r="D597" s="115" t="s">
        <v>1389</v>
      </c>
      <c r="E597" s="85" t="s">
        <v>692</v>
      </c>
      <c r="F597" s="85">
        <v>46112</v>
      </c>
      <c r="G597" s="85" t="str">
        <f>TEXT(Table7[[#This Row],[EXPIRY DATE]],"MMM")</f>
        <v>Mar</v>
      </c>
      <c r="H597" s="85" t="str">
        <f>TEXT(Table7[[#This Row],[EXPIRY DATE]],"YYY")</f>
        <v>2026</v>
      </c>
      <c r="I597" s="84" t="s">
        <v>602</v>
      </c>
      <c r="J597" s="69"/>
    </row>
    <row r="598" spans="1:10" ht="20.399999999999999" x14ac:dyDescent="0.3">
      <c r="A598" s="84">
        <v>597</v>
      </c>
      <c r="B598" s="84" t="s">
        <v>1390</v>
      </c>
      <c r="C598" s="84" t="s">
        <v>1286</v>
      </c>
      <c r="D598" s="115" t="s">
        <v>1391</v>
      </c>
      <c r="E598" s="85" t="s">
        <v>692</v>
      </c>
      <c r="F598" s="85">
        <v>46112</v>
      </c>
      <c r="G598" s="85" t="s">
        <v>606</v>
      </c>
      <c r="H598" s="85" t="str">
        <f>TEXT(Table7[[#This Row],[EXPIRY DATE]],"YYY")</f>
        <v>2026</v>
      </c>
      <c r="I598" s="84" t="s">
        <v>602</v>
      </c>
      <c r="J598" s="69"/>
    </row>
    <row r="599" spans="1:10" x14ac:dyDescent="0.3">
      <c r="A599" s="84">
        <v>598</v>
      </c>
      <c r="B599" s="84" t="s">
        <v>1392</v>
      </c>
      <c r="C599" s="84" t="s">
        <v>1286</v>
      </c>
      <c r="D599" s="115" t="s">
        <v>1393</v>
      </c>
      <c r="E599" s="85" t="s">
        <v>1179</v>
      </c>
      <c r="F599" s="85">
        <v>46112</v>
      </c>
      <c r="G599" s="85" t="str">
        <f>TEXT(Table7[[#This Row],[EXPIRY DATE]],"MMM")</f>
        <v>Mar</v>
      </c>
      <c r="H599" s="85" t="str">
        <f>TEXT(Table7[[#This Row],[EXPIRY DATE]],"YYY")</f>
        <v>2026</v>
      </c>
      <c r="I599" s="84" t="s">
        <v>602</v>
      </c>
      <c r="J599" s="69"/>
    </row>
    <row r="600" spans="1:10" x14ac:dyDescent="0.3">
      <c r="A600" s="84">
        <v>599</v>
      </c>
      <c r="B600" s="84" t="s">
        <v>1394</v>
      </c>
      <c r="C600" s="84" t="s">
        <v>1286</v>
      </c>
      <c r="D600" s="115" t="s">
        <v>1395</v>
      </c>
      <c r="E600" s="85" t="s">
        <v>692</v>
      </c>
      <c r="F600" s="85">
        <v>46112</v>
      </c>
      <c r="G600" s="85" t="s">
        <v>606</v>
      </c>
      <c r="H600" s="85" t="str">
        <f>TEXT(Table7[[#This Row],[EXPIRY DATE]],"YYY")</f>
        <v>2026</v>
      </c>
      <c r="I600" s="84" t="s">
        <v>607</v>
      </c>
      <c r="J600" s="69"/>
    </row>
    <row r="601" spans="1:10" x14ac:dyDescent="0.3">
      <c r="A601" s="84">
        <v>600</v>
      </c>
      <c r="B601" s="84" t="s">
        <v>1394</v>
      </c>
      <c r="C601" s="84" t="s">
        <v>1286</v>
      </c>
      <c r="D601" s="115" t="s">
        <v>1395</v>
      </c>
      <c r="E601" s="85" t="s">
        <v>692</v>
      </c>
      <c r="F601" s="85">
        <v>46112</v>
      </c>
      <c r="G601" s="85" t="s">
        <v>606</v>
      </c>
      <c r="H601" s="85" t="str">
        <f>TEXT(Table7[[#This Row],[EXPIRY DATE]],"YYY")</f>
        <v>2026</v>
      </c>
      <c r="I601" s="84" t="s">
        <v>602</v>
      </c>
      <c r="J601" s="69"/>
    </row>
    <row r="602" spans="1:10" x14ac:dyDescent="0.3">
      <c r="A602" s="84">
        <v>601</v>
      </c>
      <c r="B602" s="84" t="s">
        <v>1365</v>
      </c>
      <c r="C602" s="84" t="s">
        <v>1286</v>
      </c>
      <c r="D602" s="115" t="s">
        <v>1366</v>
      </c>
      <c r="E602" s="85" t="s">
        <v>1179</v>
      </c>
      <c r="F602" s="85">
        <v>46112</v>
      </c>
      <c r="G602" s="85" t="s">
        <v>606</v>
      </c>
      <c r="H602" s="85" t="str">
        <f>TEXT(Table7[[#This Row],[EXPIRY DATE]],"YYY")</f>
        <v>2026</v>
      </c>
      <c r="I602" s="84" t="s">
        <v>607</v>
      </c>
      <c r="J602" s="69"/>
    </row>
    <row r="603" spans="1:10" x14ac:dyDescent="0.3">
      <c r="A603" s="84">
        <v>602</v>
      </c>
      <c r="B603" s="84" t="s">
        <v>1365</v>
      </c>
      <c r="C603" s="84" t="s">
        <v>1286</v>
      </c>
      <c r="D603" s="115" t="s">
        <v>1366</v>
      </c>
      <c r="E603" s="85" t="s">
        <v>1179</v>
      </c>
      <c r="F603" s="85">
        <v>46112</v>
      </c>
      <c r="G603" s="85" t="s">
        <v>606</v>
      </c>
      <c r="H603" s="85" t="str">
        <f>TEXT(Table7[[#This Row],[EXPIRY DATE]],"YYY")</f>
        <v>2026</v>
      </c>
      <c r="I603" s="84" t="s">
        <v>602</v>
      </c>
      <c r="J603" s="69"/>
    </row>
    <row r="604" spans="1:10" x14ac:dyDescent="0.3">
      <c r="A604" s="84">
        <v>603</v>
      </c>
      <c r="B604" s="84" t="s">
        <v>1250</v>
      </c>
      <c r="C604" s="84" t="s">
        <v>1286</v>
      </c>
      <c r="D604" s="115" t="s">
        <v>1251</v>
      </c>
      <c r="E604" s="85" t="s">
        <v>692</v>
      </c>
      <c r="F604" s="85">
        <v>46112</v>
      </c>
      <c r="G604" s="85" t="s">
        <v>606</v>
      </c>
      <c r="H604" s="85" t="str">
        <f>TEXT(Table7[[#This Row],[EXPIRY DATE]],"YYY")</f>
        <v>2026</v>
      </c>
      <c r="I604" s="84" t="s">
        <v>607</v>
      </c>
      <c r="J604" s="69"/>
    </row>
    <row r="605" spans="1:10" x14ac:dyDescent="0.3">
      <c r="A605" s="84">
        <v>604</v>
      </c>
      <c r="B605" s="84" t="s">
        <v>1250</v>
      </c>
      <c r="C605" s="84" t="s">
        <v>1286</v>
      </c>
      <c r="D605" s="115" t="s">
        <v>1251</v>
      </c>
      <c r="E605" s="85" t="s">
        <v>692</v>
      </c>
      <c r="F605" s="85">
        <v>46112</v>
      </c>
      <c r="G605" s="85" t="s">
        <v>606</v>
      </c>
      <c r="H605" s="85" t="str">
        <f>TEXT(Table7[[#This Row],[EXPIRY DATE]],"YYY")</f>
        <v>2026</v>
      </c>
      <c r="I605" s="84" t="s">
        <v>602</v>
      </c>
      <c r="J605" s="69"/>
    </row>
    <row r="606" spans="1:10" x14ac:dyDescent="0.3">
      <c r="A606" s="84">
        <v>605</v>
      </c>
      <c r="B606" s="84" t="s">
        <v>1396</v>
      </c>
      <c r="C606" s="84" t="s">
        <v>1286</v>
      </c>
      <c r="D606" s="115" t="s">
        <v>1397</v>
      </c>
      <c r="E606" s="85" t="s">
        <v>692</v>
      </c>
      <c r="F606" s="85">
        <v>46112</v>
      </c>
      <c r="G606" s="85" t="str">
        <f>TEXT(Table7[[#This Row],[EXPIRY DATE]],"MMM")</f>
        <v>Mar</v>
      </c>
      <c r="H606" s="85" t="str">
        <f>TEXT(Table7[[#This Row],[EXPIRY DATE]],"YYY")</f>
        <v>2026</v>
      </c>
      <c r="I606" s="84" t="s">
        <v>607</v>
      </c>
      <c r="J606" s="69"/>
    </row>
    <row r="607" spans="1:10" x14ac:dyDescent="0.3">
      <c r="A607" s="84">
        <v>606</v>
      </c>
      <c r="B607" s="84" t="s">
        <v>1396</v>
      </c>
      <c r="C607" s="84" t="s">
        <v>1286</v>
      </c>
      <c r="D607" s="115" t="s">
        <v>1397</v>
      </c>
      <c r="E607" s="85" t="s">
        <v>692</v>
      </c>
      <c r="F607" s="85">
        <v>46112</v>
      </c>
      <c r="G607" s="85" t="str">
        <f>TEXT(Table7[[#This Row],[EXPIRY DATE]],"MMM")</f>
        <v>Mar</v>
      </c>
      <c r="H607" s="85" t="str">
        <f>TEXT(Table7[[#This Row],[EXPIRY DATE]],"YYY")</f>
        <v>2026</v>
      </c>
      <c r="I607" s="84" t="s">
        <v>602</v>
      </c>
      <c r="J607" s="69"/>
    </row>
    <row r="608" spans="1:10" ht="30.6" x14ac:dyDescent="0.3">
      <c r="A608" s="84">
        <v>607</v>
      </c>
      <c r="B608" s="84" t="s">
        <v>1398</v>
      </c>
      <c r="C608" s="84" t="s">
        <v>1286</v>
      </c>
      <c r="D608" s="115" t="s">
        <v>1399</v>
      </c>
      <c r="E608" s="85" t="s">
        <v>692</v>
      </c>
      <c r="F608" s="85">
        <v>46112</v>
      </c>
      <c r="G608" s="85" t="str">
        <f>TEXT(Table7[[#This Row],[EXPIRY DATE]],"MMM")</f>
        <v>Mar</v>
      </c>
      <c r="H608" s="85" t="str">
        <f>TEXT(Table7[[#This Row],[EXPIRY DATE]],"YYY")</f>
        <v>2026</v>
      </c>
      <c r="I608" s="84" t="s">
        <v>602</v>
      </c>
      <c r="J608" s="69"/>
    </row>
    <row r="609" spans="1:10" x14ac:dyDescent="0.3">
      <c r="A609" s="84">
        <v>608</v>
      </c>
      <c r="B609" s="84" t="s">
        <v>1398</v>
      </c>
      <c r="C609" s="84" t="s">
        <v>1286</v>
      </c>
      <c r="D609" s="115" t="s">
        <v>1400</v>
      </c>
      <c r="E609" s="85" t="s">
        <v>692</v>
      </c>
      <c r="F609" s="85">
        <v>46112</v>
      </c>
      <c r="G609" s="85" t="str">
        <f>TEXT(Table7[[#This Row],[EXPIRY DATE]],"MMM")</f>
        <v>Mar</v>
      </c>
      <c r="H609" s="85" t="str">
        <f>TEXT(Table7[[#This Row],[EXPIRY DATE]],"YYY")</f>
        <v>2026</v>
      </c>
      <c r="I609" s="84" t="s">
        <v>607</v>
      </c>
      <c r="J609" s="69"/>
    </row>
    <row r="610" spans="1:10" ht="40.799999999999997" x14ac:dyDescent="0.3">
      <c r="A610" s="84">
        <v>609</v>
      </c>
      <c r="B610" s="84" t="s">
        <v>1266</v>
      </c>
      <c r="C610" s="84" t="s">
        <v>1286</v>
      </c>
      <c r="D610" s="115" t="s">
        <v>1401</v>
      </c>
      <c r="E610" s="85" t="s">
        <v>1179</v>
      </c>
      <c r="F610" s="85">
        <v>46112</v>
      </c>
      <c r="G610" s="85" t="str">
        <f>TEXT(Table7[[#This Row],[EXPIRY DATE]],"MMM")</f>
        <v>Mar</v>
      </c>
      <c r="H610" s="85" t="str">
        <f>TEXT(Table7[[#This Row],[EXPIRY DATE]],"YYY")</f>
        <v>2026</v>
      </c>
      <c r="I610" s="84" t="s">
        <v>602</v>
      </c>
      <c r="J610" s="69"/>
    </row>
    <row r="611" spans="1:10" x14ac:dyDescent="0.3">
      <c r="A611" s="84">
        <v>610</v>
      </c>
      <c r="B611" s="84" t="s">
        <v>1266</v>
      </c>
      <c r="C611" s="84" t="s">
        <v>1286</v>
      </c>
      <c r="D611" s="115" t="s">
        <v>1267</v>
      </c>
      <c r="E611" s="85" t="s">
        <v>692</v>
      </c>
      <c r="F611" s="85">
        <v>46112</v>
      </c>
      <c r="G611" s="85" t="str">
        <f>TEXT(Table7[[#This Row],[EXPIRY DATE]],"MMM")</f>
        <v>Mar</v>
      </c>
      <c r="H611" s="85" t="str">
        <f>TEXT(Table7[[#This Row],[EXPIRY DATE]],"YYY")</f>
        <v>2026</v>
      </c>
      <c r="I611" s="84" t="s">
        <v>607</v>
      </c>
      <c r="J611" s="69"/>
    </row>
    <row r="612" spans="1:10" x14ac:dyDescent="0.3">
      <c r="A612" s="84">
        <v>611</v>
      </c>
      <c r="B612" s="84" t="s">
        <v>1402</v>
      </c>
      <c r="C612" s="84" t="s">
        <v>1286</v>
      </c>
      <c r="D612" s="115" t="s">
        <v>1403</v>
      </c>
      <c r="E612" s="85" t="s">
        <v>1179</v>
      </c>
      <c r="F612" s="85">
        <v>46112</v>
      </c>
      <c r="G612" s="85" t="str">
        <f>TEXT(Table7[[#This Row],[EXPIRY DATE]],"MMM")</f>
        <v>Mar</v>
      </c>
      <c r="H612" s="85" t="str">
        <f>TEXT(Table7[[#This Row],[EXPIRY DATE]],"YYY")</f>
        <v>2026</v>
      </c>
      <c r="I612" s="84" t="s">
        <v>607</v>
      </c>
      <c r="J612" s="69"/>
    </row>
    <row r="613" spans="1:10" x14ac:dyDescent="0.3">
      <c r="A613" s="84">
        <v>612</v>
      </c>
      <c r="B613" s="84" t="s">
        <v>1402</v>
      </c>
      <c r="C613" s="84" t="s">
        <v>1286</v>
      </c>
      <c r="D613" s="115" t="s">
        <v>1403</v>
      </c>
      <c r="E613" s="85" t="s">
        <v>1179</v>
      </c>
      <c r="F613" s="85">
        <v>46112</v>
      </c>
      <c r="G613" s="85" t="s">
        <v>606</v>
      </c>
      <c r="H613" s="85" t="str">
        <f>TEXT(Table7[[#This Row],[EXPIRY DATE]],"YYY")</f>
        <v>2026</v>
      </c>
      <c r="I613" s="84" t="s">
        <v>602</v>
      </c>
      <c r="J613" s="69"/>
    </row>
    <row r="614" spans="1:10" ht="20.399999999999999" x14ac:dyDescent="0.3">
      <c r="A614" s="84">
        <v>613</v>
      </c>
      <c r="B614" s="84" t="s">
        <v>1363</v>
      </c>
      <c r="C614" s="84" t="s">
        <v>1286</v>
      </c>
      <c r="D614" s="115" t="s">
        <v>1364</v>
      </c>
      <c r="E614" s="85" t="s">
        <v>692</v>
      </c>
      <c r="F614" s="85">
        <v>46112</v>
      </c>
      <c r="G614" s="85" t="str">
        <f>TEXT(Table7[[#This Row],[EXPIRY DATE]],"MMM")</f>
        <v>Mar</v>
      </c>
      <c r="H614" s="85" t="str">
        <f>TEXT(Table7[[#This Row],[EXPIRY DATE]],"YYY")</f>
        <v>2026</v>
      </c>
      <c r="I614" s="84" t="s">
        <v>607</v>
      </c>
      <c r="J614" s="69"/>
    </row>
    <row r="615" spans="1:10" ht="20.399999999999999" x14ac:dyDescent="0.3">
      <c r="A615" s="84">
        <v>614</v>
      </c>
      <c r="B615" s="84" t="s">
        <v>1363</v>
      </c>
      <c r="C615" s="84" t="s">
        <v>1286</v>
      </c>
      <c r="D615" s="115" t="s">
        <v>1364</v>
      </c>
      <c r="E615" s="85" t="s">
        <v>692</v>
      </c>
      <c r="F615" s="85">
        <v>46112</v>
      </c>
      <c r="G615" s="85" t="s">
        <v>606</v>
      </c>
      <c r="H615" s="85" t="str">
        <f>TEXT(Table7[[#This Row],[EXPIRY DATE]],"YYY")</f>
        <v>2026</v>
      </c>
      <c r="I615" s="84" t="s">
        <v>602</v>
      </c>
      <c r="J615" s="69"/>
    </row>
    <row r="616" spans="1:10" x14ac:dyDescent="0.3">
      <c r="A616" s="84">
        <v>615</v>
      </c>
      <c r="B616" s="84" t="s">
        <v>1404</v>
      </c>
      <c r="C616" s="84" t="s">
        <v>1286</v>
      </c>
      <c r="D616" s="115" t="s">
        <v>1405</v>
      </c>
      <c r="E616" s="85" t="s">
        <v>692</v>
      </c>
      <c r="F616" s="85">
        <v>46112</v>
      </c>
      <c r="G616" s="85" t="str">
        <f>TEXT(Table7[[#This Row],[EXPIRY DATE]],"MMM")</f>
        <v>Mar</v>
      </c>
      <c r="H616" s="85" t="str">
        <f>TEXT(Table7[[#This Row],[EXPIRY DATE]],"YYY")</f>
        <v>2026</v>
      </c>
      <c r="I616" s="84" t="s">
        <v>602</v>
      </c>
      <c r="J616" s="69"/>
    </row>
    <row r="617" spans="1:10" x14ac:dyDescent="0.3">
      <c r="A617" s="84">
        <v>616</v>
      </c>
      <c r="B617" s="84" t="s">
        <v>1404</v>
      </c>
      <c r="C617" s="84" t="s">
        <v>1286</v>
      </c>
      <c r="D617" s="115" t="s">
        <v>1405</v>
      </c>
      <c r="E617" s="85" t="s">
        <v>692</v>
      </c>
      <c r="F617" s="85">
        <v>46112</v>
      </c>
      <c r="G617" s="85" t="str">
        <f>TEXT(Table7[[#This Row],[EXPIRY DATE]],"MMM")</f>
        <v>Mar</v>
      </c>
      <c r="H617" s="85" t="str">
        <f>TEXT(Table7[[#This Row],[EXPIRY DATE]],"YYY")</f>
        <v>2026</v>
      </c>
      <c r="I617" s="84" t="s">
        <v>607</v>
      </c>
      <c r="J617" s="69"/>
    </row>
    <row r="618" spans="1:10" x14ac:dyDescent="0.3">
      <c r="A618" s="84">
        <v>617</v>
      </c>
      <c r="B618" s="84" t="s">
        <v>1406</v>
      </c>
      <c r="C618" s="84" t="s">
        <v>1286</v>
      </c>
      <c r="D618" s="115" t="s">
        <v>1407</v>
      </c>
      <c r="E618" s="85" t="s">
        <v>598</v>
      </c>
      <c r="F618" s="85">
        <v>46112</v>
      </c>
      <c r="G618" s="85" t="str">
        <f>TEXT(Table7[[#This Row],[EXPIRY DATE]],"MMM")</f>
        <v>Mar</v>
      </c>
      <c r="H618" s="85" t="str">
        <f>TEXT(Table7[[#This Row],[EXPIRY DATE]],"YYY")</f>
        <v>2026</v>
      </c>
      <c r="I618" s="84" t="s">
        <v>607</v>
      </c>
      <c r="J618" s="69"/>
    </row>
    <row r="619" spans="1:10" x14ac:dyDescent="0.3">
      <c r="A619" s="84">
        <v>618</v>
      </c>
      <c r="B619" s="84" t="s">
        <v>1408</v>
      </c>
      <c r="C619" s="84" t="s">
        <v>1286</v>
      </c>
      <c r="D619" s="115" t="s">
        <v>1409</v>
      </c>
      <c r="E619" s="85" t="s">
        <v>598</v>
      </c>
      <c r="F619" s="85">
        <v>46112</v>
      </c>
      <c r="G619" s="85" t="str">
        <f>TEXT(Table7[[#This Row],[EXPIRY DATE]],"MMM")</f>
        <v>Mar</v>
      </c>
      <c r="H619" s="85" t="str">
        <f>TEXT(Table7[[#This Row],[EXPIRY DATE]],"YYY")</f>
        <v>2026</v>
      </c>
      <c r="I619" s="84" t="s">
        <v>607</v>
      </c>
      <c r="J619" s="69"/>
    </row>
    <row r="620" spans="1:10" x14ac:dyDescent="0.3">
      <c r="A620" s="84">
        <v>619</v>
      </c>
      <c r="B620" s="84" t="s">
        <v>1410</v>
      </c>
      <c r="C620" s="84" t="s">
        <v>1286</v>
      </c>
      <c r="D620" s="115" t="s">
        <v>1411</v>
      </c>
      <c r="E620" s="85" t="s">
        <v>605</v>
      </c>
      <c r="F620" s="85">
        <v>46112</v>
      </c>
      <c r="G620" s="85" t="s">
        <v>606</v>
      </c>
      <c r="H620" s="85" t="str">
        <f>TEXT(Table7[[#This Row],[EXPIRY DATE]],"YYY")</f>
        <v>2026</v>
      </c>
      <c r="I620" s="84" t="s">
        <v>607</v>
      </c>
      <c r="J620" s="69"/>
    </row>
    <row r="621" spans="1:10" x14ac:dyDescent="0.3">
      <c r="A621" s="84">
        <v>620</v>
      </c>
      <c r="B621" s="84" t="s">
        <v>1412</v>
      </c>
      <c r="C621" s="84" t="s">
        <v>1286</v>
      </c>
      <c r="D621" s="115" t="s">
        <v>1413</v>
      </c>
      <c r="E621" s="85" t="s">
        <v>598</v>
      </c>
      <c r="F621" s="85">
        <v>46112</v>
      </c>
      <c r="G621" s="85" t="str">
        <f>TEXT(Table7[[#This Row],[EXPIRY DATE]],"MMM")</f>
        <v>Mar</v>
      </c>
      <c r="H621" s="85" t="str">
        <f>TEXT(Table7[[#This Row],[EXPIRY DATE]],"YYY")</f>
        <v>2026</v>
      </c>
      <c r="I621" s="84" t="s">
        <v>607</v>
      </c>
      <c r="J621" s="69"/>
    </row>
    <row r="622" spans="1:10" x14ac:dyDescent="0.3">
      <c r="A622" s="84">
        <v>621</v>
      </c>
      <c r="B622" s="84" t="s">
        <v>1414</v>
      </c>
      <c r="C622" s="84" t="s">
        <v>1286</v>
      </c>
      <c r="D622" s="115" t="s">
        <v>1415</v>
      </c>
      <c r="E622" s="85" t="s">
        <v>598</v>
      </c>
      <c r="F622" s="85">
        <v>46112</v>
      </c>
      <c r="G622" s="85" t="str">
        <f>TEXT(Table7[[#This Row],[EXPIRY DATE]],"MMM")</f>
        <v>Mar</v>
      </c>
      <c r="H622" s="85" t="str">
        <f>TEXT(Table7[[#This Row],[EXPIRY DATE]],"YYY")</f>
        <v>2026</v>
      </c>
      <c r="I622" s="84" t="s">
        <v>607</v>
      </c>
      <c r="J622" s="69"/>
    </row>
    <row r="623" spans="1:10" x14ac:dyDescent="0.3">
      <c r="A623" s="84">
        <v>622</v>
      </c>
      <c r="B623" s="84" t="s">
        <v>1416</v>
      </c>
      <c r="C623" s="84" t="s">
        <v>1286</v>
      </c>
      <c r="D623" s="115" t="s">
        <v>1417</v>
      </c>
      <c r="E623" s="85" t="s">
        <v>598</v>
      </c>
      <c r="F623" s="85">
        <v>46112</v>
      </c>
      <c r="G623" s="85" t="str">
        <f>TEXT(Table7[[#This Row],[EXPIRY DATE]],"MMM")</f>
        <v>Mar</v>
      </c>
      <c r="H623" s="85" t="str">
        <f>TEXT(Table7[[#This Row],[EXPIRY DATE]],"YYY")</f>
        <v>2026</v>
      </c>
      <c r="I623" s="84" t="s">
        <v>607</v>
      </c>
      <c r="J623" s="69"/>
    </row>
    <row r="624" spans="1:10" x14ac:dyDescent="0.3">
      <c r="A624" s="84">
        <v>623</v>
      </c>
      <c r="B624" s="84" t="s">
        <v>1418</v>
      </c>
      <c r="C624" s="84" t="s">
        <v>1286</v>
      </c>
      <c r="D624" s="115" t="s">
        <v>1419</v>
      </c>
      <c r="E624" s="85" t="s">
        <v>598</v>
      </c>
      <c r="F624" s="85">
        <v>46112</v>
      </c>
      <c r="G624" s="85" t="str">
        <f>TEXT(Table7[[#This Row],[EXPIRY DATE]],"MMM")</f>
        <v>Mar</v>
      </c>
      <c r="H624" s="85" t="str">
        <f>TEXT(Table7[[#This Row],[EXPIRY DATE]],"YYY")</f>
        <v>2026</v>
      </c>
      <c r="I624" s="84" t="s">
        <v>607</v>
      </c>
      <c r="J624" s="69"/>
    </row>
    <row r="625" spans="1:10" x14ac:dyDescent="0.3">
      <c r="A625" s="84">
        <v>624</v>
      </c>
      <c r="B625" s="84" t="s">
        <v>1420</v>
      </c>
      <c r="C625" s="84" t="s">
        <v>1286</v>
      </c>
      <c r="D625" s="115" t="s">
        <v>1421</v>
      </c>
      <c r="E625" s="85" t="s">
        <v>598</v>
      </c>
      <c r="F625" s="85">
        <v>46112</v>
      </c>
      <c r="G625" s="85" t="str">
        <f>TEXT(Table7[[#This Row],[EXPIRY DATE]],"MMM")</f>
        <v>Mar</v>
      </c>
      <c r="H625" s="85" t="str">
        <f>TEXT(Table7[[#This Row],[EXPIRY DATE]],"YYY")</f>
        <v>2026</v>
      </c>
      <c r="I625" s="84" t="s">
        <v>607</v>
      </c>
      <c r="J625" s="69"/>
    </row>
    <row r="626" spans="1:10" x14ac:dyDescent="0.3">
      <c r="A626" s="84">
        <v>625</v>
      </c>
      <c r="B626" s="84" t="s">
        <v>1422</v>
      </c>
      <c r="C626" s="84" t="s">
        <v>1286</v>
      </c>
      <c r="D626" s="115" t="s">
        <v>1423</v>
      </c>
      <c r="E626" s="85" t="s">
        <v>598</v>
      </c>
      <c r="F626" s="85">
        <v>46112</v>
      </c>
      <c r="G626" s="85" t="str">
        <f>TEXT(Table7[[#This Row],[EXPIRY DATE]],"MMM")</f>
        <v>Mar</v>
      </c>
      <c r="H626" s="85" t="str">
        <f>TEXT(Table7[[#This Row],[EXPIRY DATE]],"YYY")</f>
        <v>2026</v>
      </c>
      <c r="I626" s="84" t="s">
        <v>607</v>
      </c>
      <c r="J626" s="69"/>
    </row>
    <row r="627" spans="1:10" x14ac:dyDescent="0.3">
      <c r="A627" s="84">
        <v>626</v>
      </c>
      <c r="B627" s="80" t="s">
        <v>1424</v>
      </c>
      <c r="C627" s="84" t="s">
        <v>1286</v>
      </c>
      <c r="D627" s="115" t="s">
        <v>1425</v>
      </c>
      <c r="E627" s="85" t="s">
        <v>598</v>
      </c>
      <c r="F627" s="85">
        <v>46112</v>
      </c>
      <c r="G627" s="85" t="str">
        <f>TEXT(Table7[[#This Row],[EXPIRY DATE]],"MMM")</f>
        <v>Mar</v>
      </c>
      <c r="H627" s="85" t="str">
        <f>TEXT(Table7[[#This Row],[EXPIRY DATE]],"YYY")</f>
        <v>2026</v>
      </c>
      <c r="I627" s="84" t="s">
        <v>607</v>
      </c>
      <c r="J627" s="69"/>
    </row>
    <row r="628" spans="1:10" ht="30.6" x14ac:dyDescent="0.3">
      <c r="A628" s="84">
        <v>627</v>
      </c>
      <c r="B628" s="84" t="s">
        <v>1426</v>
      </c>
      <c r="C628" s="84" t="s">
        <v>1286</v>
      </c>
      <c r="D628" s="115" t="s">
        <v>1427</v>
      </c>
      <c r="E628" s="85" t="s">
        <v>598</v>
      </c>
      <c r="F628" s="85">
        <v>46112</v>
      </c>
      <c r="G628" s="85" t="str">
        <f>TEXT(Table7[[#This Row],[EXPIRY DATE]],"MMM")</f>
        <v>Mar</v>
      </c>
      <c r="H628" s="85" t="str">
        <f>TEXT(Table7[[#This Row],[EXPIRY DATE]],"YYY")</f>
        <v>2026</v>
      </c>
      <c r="I628" s="84" t="s">
        <v>607</v>
      </c>
      <c r="J628" s="69"/>
    </row>
    <row r="629" spans="1:10" x14ac:dyDescent="0.3">
      <c r="A629" s="84">
        <v>628</v>
      </c>
      <c r="B629" s="84" t="s">
        <v>1428</v>
      </c>
      <c r="C629" s="84" t="s">
        <v>1286</v>
      </c>
      <c r="D629" s="115" t="s">
        <v>1429</v>
      </c>
      <c r="E629" s="85" t="s">
        <v>598</v>
      </c>
      <c r="F629" s="85">
        <v>46112</v>
      </c>
      <c r="G629" s="85" t="str">
        <f>TEXT(Table7[[#This Row],[EXPIRY DATE]],"MMM")</f>
        <v>Mar</v>
      </c>
      <c r="H629" s="85" t="str">
        <f>TEXT(Table7[[#This Row],[EXPIRY DATE]],"YYY")</f>
        <v>2026</v>
      </c>
      <c r="I629" s="84" t="s">
        <v>607</v>
      </c>
      <c r="J629" s="69"/>
    </row>
    <row r="630" spans="1:10" x14ac:dyDescent="0.3">
      <c r="A630" s="84">
        <v>629</v>
      </c>
      <c r="B630" s="84" t="s">
        <v>1430</v>
      </c>
      <c r="C630" s="84" t="s">
        <v>1286</v>
      </c>
      <c r="D630" s="115" t="s">
        <v>1431</v>
      </c>
      <c r="E630" s="85" t="s">
        <v>598</v>
      </c>
      <c r="F630" s="85">
        <v>46112</v>
      </c>
      <c r="G630" s="85" t="str">
        <f>TEXT(Table7[[#This Row],[EXPIRY DATE]],"MMM")</f>
        <v>Mar</v>
      </c>
      <c r="H630" s="85" t="str">
        <f>TEXT(Table7[[#This Row],[EXPIRY DATE]],"YYY")</f>
        <v>2026</v>
      </c>
      <c r="I630" s="84" t="s">
        <v>607</v>
      </c>
      <c r="J630" s="69"/>
    </row>
    <row r="631" spans="1:10" x14ac:dyDescent="0.3">
      <c r="A631" s="84">
        <v>630</v>
      </c>
      <c r="B631" s="84" t="s">
        <v>1257</v>
      </c>
      <c r="C631" s="84" t="s">
        <v>1286</v>
      </c>
      <c r="D631" s="115" t="s">
        <v>1432</v>
      </c>
      <c r="E631" s="85" t="s">
        <v>598</v>
      </c>
      <c r="F631" s="85">
        <v>46112</v>
      </c>
      <c r="G631" s="85" t="str">
        <f>TEXT(Table7[[#This Row],[EXPIRY DATE]],"MMM")</f>
        <v>Mar</v>
      </c>
      <c r="H631" s="85" t="str">
        <f>TEXT(Table7[[#This Row],[EXPIRY DATE]],"YYY")</f>
        <v>2026</v>
      </c>
      <c r="I631" s="84" t="s">
        <v>607</v>
      </c>
      <c r="J631" s="69"/>
    </row>
    <row r="632" spans="1:10" x14ac:dyDescent="0.3">
      <c r="A632" s="84">
        <v>631</v>
      </c>
      <c r="B632" s="84">
        <v>111001535</v>
      </c>
      <c r="C632" s="84" t="s">
        <v>1286</v>
      </c>
      <c r="D632" s="115" t="s">
        <v>1433</v>
      </c>
      <c r="E632" s="85" t="s">
        <v>598</v>
      </c>
      <c r="F632" s="85">
        <v>46112</v>
      </c>
      <c r="G632" s="85" t="str">
        <f>TEXT(Table7[[#This Row],[EXPIRY DATE]],"MMM")</f>
        <v>Mar</v>
      </c>
      <c r="H632" s="85" t="str">
        <f>TEXT(Table7[[#This Row],[EXPIRY DATE]],"YYY")</f>
        <v>2026</v>
      </c>
      <c r="I632" s="84" t="s">
        <v>607</v>
      </c>
      <c r="J632" s="69"/>
    </row>
    <row r="633" spans="1:10" ht="20.399999999999999" x14ac:dyDescent="0.3">
      <c r="A633" s="84">
        <v>632</v>
      </c>
      <c r="B633" s="84">
        <v>111001456</v>
      </c>
      <c r="C633" s="84" t="s">
        <v>1286</v>
      </c>
      <c r="D633" s="115" t="s">
        <v>1346</v>
      </c>
      <c r="E633" s="85" t="s">
        <v>598</v>
      </c>
      <c r="F633" s="85">
        <v>46112</v>
      </c>
      <c r="G633" s="85" t="str">
        <f>TEXT(Table7[[#This Row],[EXPIRY DATE]],"MMM")</f>
        <v>Mar</v>
      </c>
      <c r="H633" s="85" t="str">
        <f>TEXT(Table7[[#This Row],[EXPIRY DATE]],"YYY")</f>
        <v>2026</v>
      </c>
      <c r="I633" s="84" t="s">
        <v>607</v>
      </c>
      <c r="J633" s="69"/>
    </row>
    <row r="634" spans="1:10" x14ac:dyDescent="0.3">
      <c r="A634" s="84">
        <v>633</v>
      </c>
      <c r="B634" s="84">
        <v>111001388</v>
      </c>
      <c r="C634" s="84" t="s">
        <v>1286</v>
      </c>
      <c r="D634" s="115" t="s">
        <v>1434</v>
      </c>
      <c r="E634" s="85" t="s">
        <v>598</v>
      </c>
      <c r="F634" s="85">
        <v>46112</v>
      </c>
      <c r="G634" s="85" t="str">
        <f>TEXT(Table7[[#This Row],[EXPIRY DATE]],"MMM")</f>
        <v>Mar</v>
      </c>
      <c r="H634" s="85" t="str">
        <f>TEXT(Table7[[#This Row],[EXPIRY DATE]],"YYY")</f>
        <v>2026</v>
      </c>
      <c r="I634" s="84" t="s">
        <v>607</v>
      </c>
      <c r="J634" s="69"/>
    </row>
    <row r="635" spans="1:10" x14ac:dyDescent="0.3">
      <c r="A635" s="84">
        <v>634</v>
      </c>
      <c r="B635" s="84">
        <v>111001385</v>
      </c>
      <c r="C635" s="84" t="s">
        <v>1286</v>
      </c>
      <c r="D635" s="115" t="s">
        <v>1435</v>
      </c>
      <c r="E635" s="85" t="s">
        <v>598</v>
      </c>
      <c r="F635" s="85">
        <v>46112</v>
      </c>
      <c r="G635" s="85" t="str">
        <f>TEXT(Table7[[#This Row],[EXPIRY DATE]],"MMM")</f>
        <v>Mar</v>
      </c>
      <c r="H635" s="85" t="str">
        <f>TEXT(Table7[[#This Row],[EXPIRY DATE]],"YYY")</f>
        <v>2026</v>
      </c>
      <c r="I635" s="84" t="s">
        <v>607</v>
      </c>
      <c r="J635" s="69"/>
    </row>
    <row r="636" spans="1:10" ht="20.399999999999999" x14ac:dyDescent="0.3">
      <c r="A636" s="84">
        <v>635</v>
      </c>
      <c r="B636" s="84">
        <v>111001384</v>
      </c>
      <c r="C636" s="84" t="s">
        <v>1286</v>
      </c>
      <c r="D636" s="115" t="s">
        <v>1436</v>
      </c>
      <c r="E636" s="85" t="s">
        <v>598</v>
      </c>
      <c r="F636" s="85">
        <v>46112</v>
      </c>
      <c r="G636" s="85" t="str">
        <f>TEXT(Table7[[#This Row],[EXPIRY DATE]],"MMM")</f>
        <v>Mar</v>
      </c>
      <c r="H636" s="85" t="str">
        <f>TEXT(Table7[[#This Row],[EXPIRY DATE]],"YYY")</f>
        <v>2026</v>
      </c>
      <c r="I636" s="84" t="s">
        <v>607</v>
      </c>
      <c r="J636" s="69"/>
    </row>
    <row r="637" spans="1:10" x14ac:dyDescent="0.3">
      <c r="A637" s="84">
        <v>636</v>
      </c>
      <c r="B637" s="84">
        <v>111001369</v>
      </c>
      <c r="C637" s="84" t="s">
        <v>1286</v>
      </c>
      <c r="D637" s="115" t="s">
        <v>1437</v>
      </c>
      <c r="E637" s="85" t="s">
        <v>598</v>
      </c>
      <c r="F637" s="85">
        <v>46112</v>
      </c>
      <c r="G637" s="85" t="str">
        <f>TEXT(Table7[[#This Row],[EXPIRY DATE]],"MMM")</f>
        <v>Mar</v>
      </c>
      <c r="H637" s="85" t="str">
        <f>TEXT(Table7[[#This Row],[EXPIRY DATE]],"YYY")</f>
        <v>2026</v>
      </c>
      <c r="I637" s="84" t="s">
        <v>607</v>
      </c>
      <c r="J637" s="69"/>
    </row>
    <row r="638" spans="1:10" ht="20.399999999999999" x14ac:dyDescent="0.3">
      <c r="A638" s="84">
        <v>637</v>
      </c>
      <c r="B638" s="84">
        <v>111001362</v>
      </c>
      <c r="C638" s="84" t="s">
        <v>1286</v>
      </c>
      <c r="D638" s="115" t="s">
        <v>1438</v>
      </c>
      <c r="E638" s="85" t="s">
        <v>598</v>
      </c>
      <c r="F638" s="85">
        <v>46112</v>
      </c>
      <c r="G638" s="85" t="str">
        <f>TEXT(Table7[[#This Row],[EXPIRY DATE]],"MMM")</f>
        <v>Mar</v>
      </c>
      <c r="H638" s="85" t="str">
        <f>TEXT(Table7[[#This Row],[EXPIRY DATE]],"YYY")</f>
        <v>2026</v>
      </c>
      <c r="I638" s="84" t="s">
        <v>607</v>
      </c>
      <c r="J638" s="69"/>
    </row>
    <row r="639" spans="1:10" ht="20.399999999999999" x14ac:dyDescent="0.3">
      <c r="A639" s="84">
        <v>638</v>
      </c>
      <c r="B639" s="84">
        <v>111001343</v>
      </c>
      <c r="C639" s="84" t="s">
        <v>1286</v>
      </c>
      <c r="D639" s="115" t="s">
        <v>1348</v>
      </c>
      <c r="E639" s="85" t="s">
        <v>598</v>
      </c>
      <c r="F639" s="85">
        <v>46112</v>
      </c>
      <c r="G639" s="85" t="str">
        <f>TEXT(Table7[[#This Row],[EXPIRY DATE]],"MMM")</f>
        <v>Mar</v>
      </c>
      <c r="H639" s="85" t="str">
        <f>TEXT(Table7[[#This Row],[EXPIRY DATE]],"YYY")</f>
        <v>2026</v>
      </c>
      <c r="I639" s="84" t="s">
        <v>607</v>
      </c>
      <c r="J639" s="69"/>
    </row>
    <row r="640" spans="1:10" ht="20.399999999999999" x14ac:dyDescent="0.3">
      <c r="A640" s="84">
        <v>639</v>
      </c>
      <c r="B640" s="84">
        <v>111001340</v>
      </c>
      <c r="C640" s="84" t="s">
        <v>1286</v>
      </c>
      <c r="D640" s="115" t="s">
        <v>1349</v>
      </c>
      <c r="E640" s="85" t="s">
        <v>598</v>
      </c>
      <c r="F640" s="85">
        <v>46112</v>
      </c>
      <c r="G640" s="85" t="str">
        <f>TEXT(Table7[[#This Row],[EXPIRY DATE]],"MMM")</f>
        <v>Mar</v>
      </c>
      <c r="H640" s="85" t="str">
        <f>TEXT(Table7[[#This Row],[EXPIRY DATE]],"YYY")</f>
        <v>2026</v>
      </c>
      <c r="I640" s="84" t="s">
        <v>607</v>
      </c>
      <c r="J640" s="69"/>
    </row>
    <row r="641" spans="1:10" ht="20.399999999999999" x14ac:dyDescent="0.3">
      <c r="A641" s="84">
        <v>640</v>
      </c>
      <c r="B641" s="84">
        <v>111001319</v>
      </c>
      <c r="C641" s="84" t="s">
        <v>1286</v>
      </c>
      <c r="D641" s="115" t="s">
        <v>1350</v>
      </c>
      <c r="E641" s="85" t="s">
        <v>598</v>
      </c>
      <c r="F641" s="85">
        <v>46112</v>
      </c>
      <c r="G641" s="85" t="str">
        <f>TEXT(Table7[[#This Row],[EXPIRY DATE]],"MMM")</f>
        <v>Mar</v>
      </c>
      <c r="H641" s="85" t="str">
        <f>TEXT(Table7[[#This Row],[EXPIRY DATE]],"YYY")</f>
        <v>2026</v>
      </c>
      <c r="I641" s="84" t="s">
        <v>607</v>
      </c>
      <c r="J641" s="69"/>
    </row>
    <row r="642" spans="1:10" ht="20.399999999999999" x14ac:dyDescent="0.3">
      <c r="A642" s="84">
        <v>641</v>
      </c>
      <c r="B642" s="84">
        <v>111001318</v>
      </c>
      <c r="C642" s="84" t="s">
        <v>1286</v>
      </c>
      <c r="D642" s="115" t="s">
        <v>1351</v>
      </c>
      <c r="E642" s="85" t="s">
        <v>598</v>
      </c>
      <c r="F642" s="85">
        <v>46112</v>
      </c>
      <c r="G642" s="85" t="str">
        <f>TEXT(Table7[[#This Row],[EXPIRY DATE]],"MMM")</f>
        <v>Mar</v>
      </c>
      <c r="H642" s="85" t="str">
        <f>TEXT(Table7[[#This Row],[EXPIRY DATE]],"YYY")</f>
        <v>2026</v>
      </c>
      <c r="I642" s="84" t="s">
        <v>607</v>
      </c>
      <c r="J642" s="69"/>
    </row>
    <row r="643" spans="1:10" ht="20.399999999999999" x14ac:dyDescent="0.3">
      <c r="A643" s="84">
        <v>642</v>
      </c>
      <c r="B643" s="84">
        <v>111001304</v>
      </c>
      <c r="C643" s="84" t="s">
        <v>1286</v>
      </c>
      <c r="D643" s="115" t="s">
        <v>1439</v>
      </c>
      <c r="E643" s="85" t="s">
        <v>598</v>
      </c>
      <c r="F643" s="85">
        <v>46112</v>
      </c>
      <c r="G643" s="85" t="str">
        <f>TEXT(Table7[[#This Row],[EXPIRY DATE]],"MMM")</f>
        <v>Mar</v>
      </c>
      <c r="H643" s="85" t="str">
        <f>TEXT(Table7[[#This Row],[EXPIRY DATE]],"YYY")</f>
        <v>2026</v>
      </c>
      <c r="I643" s="84" t="s">
        <v>607</v>
      </c>
      <c r="J643" s="69"/>
    </row>
    <row r="644" spans="1:10" x14ac:dyDescent="0.3">
      <c r="A644" s="84">
        <v>643</v>
      </c>
      <c r="B644" s="84">
        <v>111001300</v>
      </c>
      <c r="C644" s="84" t="s">
        <v>1286</v>
      </c>
      <c r="D644" s="115" t="s">
        <v>1440</v>
      </c>
      <c r="E644" s="85" t="s">
        <v>598</v>
      </c>
      <c r="F644" s="85">
        <v>46112</v>
      </c>
      <c r="G644" s="85" t="str">
        <f>TEXT(Table7[[#This Row],[EXPIRY DATE]],"MMM")</f>
        <v>Mar</v>
      </c>
      <c r="H644" s="85" t="str">
        <f>TEXT(Table7[[#This Row],[EXPIRY DATE]],"YYY")</f>
        <v>2026</v>
      </c>
      <c r="I644" s="84" t="s">
        <v>607</v>
      </c>
      <c r="J644" s="69"/>
    </row>
    <row r="645" spans="1:10" x14ac:dyDescent="0.3">
      <c r="A645" s="84">
        <v>644</v>
      </c>
      <c r="B645" s="84">
        <v>111001289</v>
      </c>
      <c r="C645" s="84" t="s">
        <v>1286</v>
      </c>
      <c r="D645" s="115" t="s">
        <v>1441</v>
      </c>
      <c r="E645" s="85" t="s">
        <v>598</v>
      </c>
      <c r="F645" s="85">
        <v>46112</v>
      </c>
      <c r="G645" s="85" t="str">
        <f>TEXT(Table7[[#This Row],[EXPIRY DATE]],"MMM")</f>
        <v>Mar</v>
      </c>
      <c r="H645" s="85" t="str">
        <f>TEXT(Table7[[#This Row],[EXPIRY DATE]],"YYY")</f>
        <v>2026</v>
      </c>
      <c r="I645" s="84" t="s">
        <v>607</v>
      </c>
      <c r="J645" s="69"/>
    </row>
    <row r="646" spans="1:10" ht="20.399999999999999" x14ac:dyDescent="0.3">
      <c r="A646" s="84">
        <v>645</v>
      </c>
      <c r="B646" s="84">
        <v>111001218</v>
      </c>
      <c r="C646" s="84" t="s">
        <v>1286</v>
      </c>
      <c r="D646" s="115" t="s">
        <v>1352</v>
      </c>
      <c r="E646" s="85" t="s">
        <v>598</v>
      </c>
      <c r="F646" s="85">
        <v>46112</v>
      </c>
      <c r="G646" s="85" t="str">
        <f>TEXT(Table7[[#This Row],[EXPIRY DATE]],"MMM")</f>
        <v>Mar</v>
      </c>
      <c r="H646" s="85" t="str">
        <f>TEXT(Table7[[#This Row],[EXPIRY DATE]],"YYY")</f>
        <v>2026</v>
      </c>
      <c r="I646" s="84" t="s">
        <v>607</v>
      </c>
      <c r="J646" s="69"/>
    </row>
    <row r="647" spans="1:10" ht="20.399999999999999" x14ac:dyDescent="0.3">
      <c r="A647" s="84">
        <v>646</v>
      </c>
      <c r="B647" s="84">
        <v>111001213</v>
      </c>
      <c r="C647" s="84" t="s">
        <v>1286</v>
      </c>
      <c r="D647" s="115" t="s">
        <v>1442</v>
      </c>
      <c r="E647" s="85" t="s">
        <v>598</v>
      </c>
      <c r="F647" s="85">
        <v>46112</v>
      </c>
      <c r="G647" s="85" t="str">
        <f>TEXT(Table7[[#This Row],[EXPIRY DATE]],"MMM")</f>
        <v>Mar</v>
      </c>
      <c r="H647" s="85" t="str">
        <f>TEXT(Table7[[#This Row],[EXPIRY DATE]],"YYY")</f>
        <v>2026</v>
      </c>
      <c r="I647" s="84" t="s">
        <v>607</v>
      </c>
      <c r="J647" s="69"/>
    </row>
    <row r="648" spans="1:10" ht="20.399999999999999" x14ac:dyDescent="0.3">
      <c r="A648" s="84">
        <v>647</v>
      </c>
      <c r="B648" s="84">
        <v>111001196</v>
      </c>
      <c r="C648" s="84" t="s">
        <v>1286</v>
      </c>
      <c r="D648" s="115" t="s">
        <v>1443</v>
      </c>
      <c r="E648" s="85" t="s">
        <v>598</v>
      </c>
      <c r="F648" s="85">
        <v>46112</v>
      </c>
      <c r="G648" s="85" t="str">
        <f>TEXT(Table7[[#This Row],[EXPIRY DATE]],"MMM")</f>
        <v>Mar</v>
      </c>
      <c r="H648" s="85" t="str">
        <f>TEXT(Table7[[#This Row],[EXPIRY DATE]],"YYY")</f>
        <v>2026</v>
      </c>
      <c r="I648" s="84" t="s">
        <v>607</v>
      </c>
      <c r="J648" s="69"/>
    </row>
    <row r="649" spans="1:10" x14ac:dyDescent="0.3">
      <c r="A649" s="84">
        <v>648</v>
      </c>
      <c r="B649" s="84">
        <v>111001184</v>
      </c>
      <c r="C649" s="84" t="s">
        <v>1286</v>
      </c>
      <c r="D649" s="115" t="s">
        <v>1444</v>
      </c>
      <c r="E649" s="85" t="s">
        <v>598</v>
      </c>
      <c r="F649" s="85">
        <v>46112</v>
      </c>
      <c r="G649" s="85" t="str">
        <f>TEXT(Table7[[#This Row],[EXPIRY DATE]],"MMM")</f>
        <v>Mar</v>
      </c>
      <c r="H649" s="85" t="str">
        <f>TEXT(Table7[[#This Row],[EXPIRY DATE]],"YYY")</f>
        <v>2026</v>
      </c>
      <c r="I649" s="84" t="s">
        <v>607</v>
      </c>
      <c r="J649" s="69"/>
    </row>
    <row r="650" spans="1:10" ht="20.399999999999999" x14ac:dyDescent="0.3">
      <c r="A650" s="84">
        <v>649</v>
      </c>
      <c r="B650" s="84">
        <v>111001151</v>
      </c>
      <c r="C650" s="84" t="s">
        <v>1286</v>
      </c>
      <c r="D650" s="115" t="s">
        <v>1445</v>
      </c>
      <c r="E650" s="85" t="s">
        <v>598</v>
      </c>
      <c r="F650" s="85">
        <v>46112</v>
      </c>
      <c r="G650" s="85" t="str">
        <f>TEXT(Table7[[#This Row],[EXPIRY DATE]],"MMM")</f>
        <v>Mar</v>
      </c>
      <c r="H650" s="85" t="str">
        <f>TEXT(Table7[[#This Row],[EXPIRY DATE]],"YYY")</f>
        <v>2026</v>
      </c>
      <c r="I650" s="84" t="s">
        <v>607</v>
      </c>
      <c r="J650" s="69"/>
    </row>
    <row r="651" spans="1:10" x14ac:dyDescent="0.3">
      <c r="A651" s="84">
        <v>650</v>
      </c>
      <c r="B651" s="84">
        <v>111001130</v>
      </c>
      <c r="C651" s="84" t="s">
        <v>1286</v>
      </c>
      <c r="D651" s="115" t="s">
        <v>1446</v>
      </c>
      <c r="E651" s="85" t="s">
        <v>598</v>
      </c>
      <c r="F651" s="85">
        <v>46112</v>
      </c>
      <c r="G651" s="85" t="str">
        <f>TEXT(Table7[[#This Row],[EXPIRY DATE]],"MMM")</f>
        <v>Mar</v>
      </c>
      <c r="H651" s="85" t="str">
        <f>TEXT(Table7[[#This Row],[EXPIRY DATE]],"YYY")</f>
        <v>2026</v>
      </c>
      <c r="I651" s="84" t="s">
        <v>607</v>
      </c>
      <c r="J651" s="69"/>
    </row>
    <row r="652" spans="1:10" ht="20.399999999999999" x14ac:dyDescent="0.3">
      <c r="A652" s="84">
        <v>651</v>
      </c>
      <c r="B652" s="84">
        <v>111001111</v>
      </c>
      <c r="C652" s="84" t="s">
        <v>1286</v>
      </c>
      <c r="D652" s="115" t="s">
        <v>1447</v>
      </c>
      <c r="E652" s="85" t="s">
        <v>598</v>
      </c>
      <c r="F652" s="85">
        <v>46112</v>
      </c>
      <c r="G652" s="85" t="str">
        <f>TEXT(Table7[[#This Row],[EXPIRY DATE]],"MMM")</f>
        <v>Mar</v>
      </c>
      <c r="H652" s="85" t="str">
        <f>TEXT(Table7[[#This Row],[EXPIRY DATE]],"YYY")</f>
        <v>2026</v>
      </c>
      <c r="I652" s="84" t="s">
        <v>607</v>
      </c>
      <c r="J652" s="69"/>
    </row>
    <row r="653" spans="1:10" ht="20.399999999999999" x14ac:dyDescent="0.3">
      <c r="A653" s="84">
        <v>652</v>
      </c>
      <c r="B653" s="84">
        <v>111001095</v>
      </c>
      <c r="C653" s="84" t="s">
        <v>1286</v>
      </c>
      <c r="D653" s="115" t="s">
        <v>1353</v>
      </c>
      <c r="E653" s="85" t="s">
        <v>598</v>
      </c>
      <c r="F653" s="85">
        <v>46112</v>
      </c>
      <c r="G653" s="85" t="str">
        <f>TEXT(Table7[[#This Row],[EXPIRY DATE]],"MMM")</f>
        <v>Mar</v>
      </c>
      <c r="H653" s="85" t="str">
        <f>TEXT(Table7[[#This Row],[EXPIRY DATE]],"YYY")</f>
        <v>2026</v>
      </c>
      <c r="I653" s="84" t="s">
        <v>607</v>
      </c>
      <c r="J653" s="69"/>
    </row>
    <row r="654" spans="1:10" x14ac:dyDescent="0.3">
      <c r="A654" s="84">
        <v>653</v>
      </c>
      <c r="B654" s="84">
        <v>111001093</v>
      </c>
      <c r="C654" s="84" t="s">
        <v>1286</v>
      </c>
      <c r="D654" s="115" t="s">
        <v>1448</v>
      </c>
      <c r="E654" s="85" t="s">
        <v>598</v>
      </c>
      <c r="F654" s="85">
        <v>46112</v>
      </c>
      <c r="G654" s="85" t="str">
        <f>TEXT(Table7[[#This Row],[EXPIRY DATE]],"MMM")</f>
        <v>Mar</v>
      </c>
      <c r="H654" s="85" t="str">
        <f>TEXT(Table7[[#This Row],[EXPIRY DATE]],"YYY")</f>
        <v>2026</v>
      </c>
      <c r="I654" s="84" t="s">
        <v>607</v>
      </c>
      <c r="J654" s="69"/>
    </row>
    <row r="655" spans="1:10" x14ac:dyDescent="0.3">
      <c r="A655" s="84">
        <v>654</v>
      </c>
      <c r="B655" s="84">
        <v>111001092</v>
      </c>
      <c r="C655" s="84" t="s">
        <v>1286</v>
      </c>
      <c r="D655" s="115" t="s">
        <v>1354</v>
      </c>
      <c r="E655" s="85" t="s">
        <v>598</v>
      </c>
      <c r="F655" s="85">
        <v>46112</v>
      </c>
      <c r="G655" s="85" t="str">
        <f>TEXT(Table7[[#This Row],[EXPIRY DATE]],"MMM")</f>
        <v>Mar</v>
      </c>
      <c r="H655" s="85" t="str">
        <f>TEXT(Table7[[#This Row],[EXPIRY DATE]],"YYY")</f>
        <v>2026</v>
      </c>
      <c r="I655" s="84" t="s">
        <v>607</v>
      </c>
      <c r="J655" s="69"/>
    </row>
    <row r="656" spans="1:10" ht="20.399999999999999" x14ac:dyDescent="0.3">
      <c r="A656" s="84">
        <v>655</v>
      </c>
      <c r="B656" s="84">
        <v>111001020</v>
      </c>
      <c r="C656" s="84" t="s">
        <v>1286</v>
      </c>
      <c r="D656" s="115" t="s">
        <v>1449</v>
      </c>
      <c r="E656" s="85" t="s">
        <v>598</v>
      </c>
      <c r="F656" s="85">
        <v>46112</v>
      </c>
      <c r="G656" s="85" t="str">
        <f>TEXT(Table7[[#This Row],[EXPIRY DATE]],"MMM")</f>
        <v>Mar</v>
      </c>
      <c r="H656" s="85" t="str">
        <f>TEXT(Table7[[#This Row],[EXPIRY DATE]],"YYY")</f>
        <v>2026</v>
      </c>
      <c r="I656" s="84" t="s">
        <v>607</v>
      </c>
      <c r="J656" s="69"/>
    </row>
    <row r="657" spans="1:10" ht="20.399999999999999" x14ac:dyDescent="0.3">
      <c r="A657" s="84">
        <v>656</v>
      </c>
      <c r="B657" s="84" t="s">
        <v>1450</v>
      </c>
      <c r="C657" s="84" t="s">
        <v>1286</v>
      </c>
      <c r="D657" s="115" t="s">
        <v>1451</v>
      </c>
      <c r="E657" s="85" t="s">
        <v>1222</v>
      </c>
      <c r="F657" s="85">
        <v>46113</v>
      </c>
      <c r="G657" s="85" t="s">
        <v>611</v>
      </c>
      <c r="H657" s="85" t="str">
        <f>TEXT(Table7[[#This Row],[EXPIRY DATE]],"YYY")</f>
        <v>2026</v>
      </c>
      <c r="I657" s="84" t="s">
        <v>607</v>
      </c>
      <c r="J657" s="69"/>
    </row>
    <row r="658" spans="1:10" x14ac:dyDescent="0.3">
      <c r="A658" s="84">
        <v>657</v>
      </c>
      <c r="B658" s="84" t="s">
        <v>1452</v>
      </c>
      <c r="C658" s="84" t="s">
        <v>1286</v>
      </c>
      <c r="D658" s="115" t="s">
        <v>1453</v>
      </c>
      <c r="E658" s="85" t="s">
        <v>1222</v>
      </c>
      <c r="F658" s="85">
        <v>46113</v>
      </c>
      <c r="G658" s="85" t="s">
        <v>611</v>
      </c>
      <c r="H658" s="85" t="str">
        <f>TEXT(Table7[[#This Row],[EXPIRY DATE]],"YYY")</f>
        <v>2026</v>
      </c>
      <c r="I658" s="84" t="s">
        <v>607</v>
      </c>
      <c r="J658" s="69"/>
    </row>
    <row r="659" spans="1:10" x14ac:dyDescent="0.3">
      <c r="A659" s="84">
        <v>658</v>
      </c>
      <c r="B659" s="84" t="s">
        <v>1454</v>
      </c>
      <c r="C659" s="84" t="s">
        <v>1286</v>
      </c>
      <c r="D659" s="115" t="s">
        <v>1455</v>
      </c>
      <c r="E659" s="85" t="s">
        <v>1222</v>
      </c>
      <c r="F659" s="85">
        <v>46113</v>
      </c>
      <c r="G659" s="85" t="s">
        <v>611</v>
      </c>
      <c r="H659" s="85" t="str">
        <f>TEXT(Table7[[#This Row],[EXPIRY DATE]],"YYY")</f>
        <v>2026</v>
      </c>
      <c r="I659" s="84" t="s">
        <v>607</v>
      </c>
      <c r="J659" s="69"/>
    </row>
    <row r="660" spans="1:10" x14ac:dyDescent="0.3">
      <c r="A660" s="84">
        <v>659</v>
      </c>
      <c r="B660" s="84" t="s">
        <v>1456</v>
      </c>
      <c r="C660" s="84" t="s">
        <v>1286</v>
      </c>
      <c r="D660" s="115" t="s">
        <v>1457</v>
      </c>
      <c r="E660" s="85" t="s">
        <v>1222</v>
      </c>
      <c r="F660" s="85">
        <v>46113</v>
      </c>
      <c r="G660" s="85" t="s">
        <v>611</v>
      </c>
      <c r="H660" s="85" t="str">
        <f>TEXT(Table7[[#This Row],[EXPIRY DATE]],"YYY")</f>
        <v>2026</v>
      </c>
      <c r="I660" s="84" t="s">
        <v>607</v>
      </c>
      <c r="J660" s="69"/>
    </row>
    <row r="661" spans="1:10" x14ac:dyDescent="0.3">
      <c r="A661" s="84">
        <v>660</v>
      </c>
      <c r="B661" s="84" t="s">
        <v>1386</v>
      </c>
      <c r="C661" s="84" t="s">
        <v>1286</v>
      </c>
      <c r="D661" s="115" t="s">
        <v>1387</v>
      </c>
      <c r="E661" s="85" t="s">
        <v>692</v>
      </c>
      <c r="F661" s="85">
        <v>46121</v>
      </c>
      <c r="G661" s="85" t="s">
        <v>611</v>
      </c>
      <c r="H661" s="85" t="str">
        <f>TEXT(Table7[[#This Row],[EXPIRY DATE]],"YYY")</f>
        <v>2026</v>
      </c>
      <c r="I661" s="84" t="s">
        <v>791</v>
      </c>
      <c r="J661" s="69"/>
    </row>
    <row r="662" spans="1:10" x14ac:dyDescent="0.3">
      <c r="A662" s="84">
        <v>661</v>
      </c>
      <c r="B662" s="84" t="s">
        <v>1404</v>
      </c>
      <c r="C662" s="84" t="s">
        <v>1286</v>
      </c>
      <c r="D662" s="115" t="s">
        <v>1405</v>
      </c>
      <c r="E662" s="85" t="s">
        <v>692</v>
      </c>
      <c r="F662" s="85">
        <v>46122</v>
      </c>
      <c r="G662" s="85" t="str">
        <f>TEXT(Table7[[#This Row],[EXPIRY DATE]],"MMM")</f>
        <v>Apr</v>
      </c>
      <c r="H662" s="85" t="str">
        <f>TEXT(Table7[[#This Row],[EXPIRY DATE]],"YYY")</f>
        <v>2026</v>
      </c>
      <c r="I662" s="85" t="s">
        <v>791</v>
      </c>
      <c r="J662" s="69"/>
    </row>
    <row r="663" spans="1:10" x14ac:dyDescent="0.3">
      <c r="A663" s="84">
        <v>662</v>
      </c>
      <c r="B663" s="84" t="s">
        <v>1373</v>
      </c>
      <c r="C663" s="84" t="s">
        <v>1286</v>
      </c>
      <c r="D663" s="115" t="s">
        <v>1374</v>
      </c>
      <c r="E663" s="85" t="s">
        <v>1375</v>
      </c>
      <c r="F663" s="85">
        <v>46137</v>
      </c>
      <c r="G663" s="85" t="s">
        <v>611</v>
      </c>
      <c r="H663" s="85" t="str">
        <f>TEXT(Table7[[#This Row],[EXPIRY DATE]],"YYY")</f>
        <v>2026</v>
      </c>
      <c r="I663" s="84" t="s">
        <v>607</v>
      </c>
      <c r="J663" s="69"/>
    </row>
    <row r="664" spans="1:10" ht="20.399999999999999" x14ac:dyDescent="0.3">
      <c r="A664" s="84">
        <v>663</v>
      </c>
      <c r="B664" s="84" t="s">
        <v>1390</v>
      </c>
      <c r="C664" s="84" t="s">
        <v>1286</v>
      </c>
      <c r="D664" s="115" t="s">
        <v>1391</v>
      </c>
      <c r="E664" s="85" t="s">
        <v>692</v>
      </c>
      <c r="F664" s="85">
        <v>46137</v>
      </c>
      <c r="G664" s="85" t="str">
        <f>TEXT(Table7[[#This Row],[EXPIRY DATE]],"MMM")</f>
        <v>Apr</v>
      </c>
      <c r="H664" s="85" t="str">
        <f>TEXT(Table7[[#This Row],[EXPIRY DATE]],"YYY")</f>
        <v>2026</v>
      </c>
      <c r="I664" s="84" t="s">
        <v>607</v>
      </c>
      <c r="J664" s="69"/>
    </row>
    <row r="665" spans="1:10" ht="20.399999999999999" x14ac:dyDescent="0.3">
      <c r="A665" s="84">
        <v>664</v>
      </c>
      <c r="B665" s="84" t="s">
        <v>1376</v>
      </c>
      <c r="C665" s="84" t="s">
        <v>1286</v>
      </c>
      <c r="D665" s="115" t="s">
        <v>1377</v>
      </c>
      <c r="E665" s="85" t="s">
        <v>1164</v>
      </c>
      <c r="F665" s="85">
        <v>46148</v>
      </c>
      <c r="G665" s="85" t="str">
        <f>TEXT(Table7[[#This Row],[EXPIRY DATE]],"MMM")</f>
        <v>May</v>
      </c>
      <c r="H665" s="85" t="str">
        <f>TEXT(Table7[[#This Row],[EXPIRY DATE]],"YYY")</f>
        <v>2026</v>
      </c>
      <c r="I665" s="85" t="s">
        <v>791</v>
      </c>
      <c r="J665" s="69"/>
    </row>
    <row r="666" spans="1:10" ht="20.399999999999999" x14ac:dyDescent="0.3">
      <c r="A666" s="84">
        <v>665</v>
      </c>
      <c r="B666" s="84" t="s">
        <v>1458</v>
      </c>
      <c r="C666" s="84" t="s">
        <v>1286</v>
      </c>
      <c r="D666" s="115" t="s">
        <v>1459</v>
      </c>
      <c r="E666" s="85" t="s">
        <v>1460</v>
      </c>
      <c r="F666" s="85">
        <v>46152</v>
      </c>
      <c r="G666" s="85" t="str">
        <f>TEXT(Table7[[#This Row],[EXPIRY DATE]],"MMM")</f>
        <v>May</v>
      </c>
      <c r="H666" s="85" t="str">
        <f>TEXT(Table7[[#This Row],[EXPIRY DATE]],"YYY")</f>
        <v>2026</v>
      </c>
      <c r="I666" s="85" t="s">
        <v>791</v>
      </c>
      <c r="J666" s="69"/>
    </row>
    <row r="667" spans="1:10" ht="20.399999999999999" x14ac:dyDescent="0.3">
      <c r="A667" s="84">
        <v>666</v>
      </c>
      <c r="B667" s="84" t="s">
        <v>1390</v>
      </c>
      <c r="C667" s="84" t="s">
        <v>1286</v>
      </c>
      <c r="D667" s="115" t="s">
        <v>1391</v>
      </c>
      <c r="E667" s="85" t="s">
        <v>692</v>
      </c>
      <c r="F667" s="85">
        <v>46163</v>
      </c>
      <c r="G667" s="85" t="str">
        <f>TEXT(Table7[[#This Row],[EXPIRY DATE]],"MMM")</f>
        <v>May</v>
      </c>
      <c r="H667" s="85" t="str">
        <f>TEXT(Table7[[#This Row],[EXPIRY DATE]],"YYY")</f>
        <v>2026</v>
      </c>
      <c r="I667" s="85" t="s">
        <v>791</v>
      </c>
      <c r="J667" s="69"/>
    </row>
    <row r="668" spans="1:10" x14ac:dyDescent="0.3">
      <c r="A668" s="84">
        <v>667</v>
      </c>
      <c r="B668" s="84" t="s">
        <v>1392</v>
      </c>
      <c r="C668" s="84" t="s">
        <v>1286</v>
      </c>
      <c r="D668" s="115" t="s">
        <v>1393</v>
      </c>
      <c r="E668" s="85" t="s">
        <v>692</v>
      </c>
      <c r="F668" s="85">
        <v>46171</v>
      </c>
      <c r="G668" s="85" t="str">
        <f>TEXT(Table7[[#This Row],[EXPIRY DATE]],"MMM")</f>
        <v>May</v>
      </c>
      <c r="H668" s="85" t="str">
        <f>TEXT(Table7[[#This Row],[EXPIRY DATE]],"YYY")</f>
        <v>2026</v>
      </c>
      <c r="I668" s="84" t="s">
        <v>607</v>
      </c>
      <c r="J668" s="69"/>
    </row>
    <row r="669" spans="1:10" x14ac:dyDescent="0.3">
      <c r="A669" s="84">
        <v>668</v>
      </c>
      <c r="B669" s="84" t="s">
        <v>1461</v>
      </c>
      <c r="C669" s="84" t="s">
        <v>1286</v>
      </c>
      <c r="D669" s="115" t="s">
        <v>1462</v>
      </c>
      <c r="E669" s="85" t="s">
        <v>1302</v>
      </c>
      <c r="F669" s="85">
        <v>46172</v>
      </c>
      <c r="G669" s="85" t="str">
        <f>TEXT(Table7[[#This Row],[EXPIRY DATE]],"MMM")</f>
        <v>May</v>
      </c>
      <c r="H669" s="85" t="str">
        <f>TEXT(Table7[[#This Row],[EXPIRY DATE]],"YYY")</f>
        <v>2026</v>
      </c>
      <c r="I669" s="85" t="s">
        <v>791</v>
      </c>
      <c r="J669" s="69"/>
    </row>
    <row r="670" spans="1:10" x14ac:dyDescent="0.3">
      <c r="A670" s="84">
        <v>669</v>
      </c>
      <c r="B670" s="84" t="s">
        <v>1463</v>
      </c>
      <c r="C670" s="84" t="s">
        <v>1286</v>
      </c>
      <c r="D670" s="115" t="s">
        <v>1249</v>
      </c>
      <c r="E670" s="85" t="s">
        <v>692</v>
      </c>
      <c r="F670" s="85">
        <v>46173</v>
      </c>
      <c r="G670" s="85" t="s">
        <v>838</v>
      </c>
      <c r="H670" s="85" t="str">
        <f>TEXT(Table7[[#This Row],[EXPIRY DATE]],"YYY")</f>
        <v>2026</v>
      </c>
      <c r="I670" s="84" t="s">
        <v>1215</v>
      </c>
      <c r="J670" s="69"/>
    </row>
    <row r="671" spans="1:10" x14ac:dyDescent="0.3">
      <c r="A671" s="84">
        <v>670</v>
      </c>
      <c r="B671" s="84" t="s">
        <v>1464</v>
      </c>
      <c r="C671" s="84" t="s">
        <v>1286</v>
      </c>
      <c r="D671" s="115" t="s">
        <v>1465</v>
      </c>
      <c r="E671" s="85" t="s">
        <v>598</v>
      </c>
      <c r="F671" s="85">
        <v>46173</v>
      </c>
      <c r="G671" s="85" t="str">
        <f>TEXT(Table7[[#This Row],[EXPIRY DATE]],"MMM")</f>
        <v>May</v>
      </c>
      <c r="H671" s="85" t="str">
        <f>TEXT(Table7[[#This Row],[EXPIRY DATE]],"YYY")</f>
        <v>2026</v>
      </c>
      <c r="I671" s="84" t="s">
        <v>1215</v>
      </c>
      <c r="J671" s="69"/>
    </row>
    <row r="672" spans="1:10" x14ac:dyDescent="0.3">
      <c r="A672" s="84">
        <v>671</v>
      </c>
      <c r="B672" s="84" t="s">
        <v>1466</v>
      </c>
      <c r="C672" s="84" t="s">
        <v>1286</v>
      </c>
      <c r="D672" s="115" t="s">
        <v>1467</v>
      </c>
      <c r="E672" s="85" t="s">
        <v>1468</v>
      </c>
      <c r="F672" s="85">
        <v>46173</v>
      </c>
      <c r="G672" s="85" t="str">
        <f>TEXT(Table7[[#This Row],[EXPIRY DATE]],"MMM")</f>
        <v>May</v>
      </c>
      <c r="H672" s="85" t="str">
        <f>TEXT(Table7[[#This Row],[EXPIRY DATE]],"YYY")</f>
        <v>2026</v>
      </c>
      <c r="I672" s="84" t="s">
        <v>1215</v>
      </c>
      <c r="J672" s="69"/>
    </row>
    <row r="673" spans="1:10" x14ac:dyDescent="0.3">
      <c r="A673" s="84">
        <v>672</v>
      </c>
      <c r="B673" s="84" t="s">
        <v>1359</v>
      </c>
      <c r="C673" s="84" t="s">
        <v>1286</v>
      </c>
      <c r="D673" s="115" t="s">
        <v>1360</v>
      </c>
      <c r="E673" s="85" t="s">
        <v>598</v>
      </c>
      <c r="F673" s="85">
        <v>46173</v>
      </c>
      <c r="G673" s="85" t="str">
        <f>TEXT(Table7[[#This Row],[EXPIRY DATE]],"MMM")</f>
        <v>May</v>
      </c>
      <c r="H673" s="85" t="str">
        <f>TEXT(Table7[[#This Row],[EXPIRY DATE]],"YYY")</f>
        <v>2026</v>
      </c>
      <c r="I673" s="84" t="s">
        <v>1215</v>
      </c>
      <c r="J673" s="69"/>
    </row>
    <row r="674" spans="1:10" x14ac:dyDescent="0.3">
      <c r="A674" s="84">
        <v>673</v>
      </c>
      <c r="B674" s="84" t="s">
        <v>1392</v>
      </c>
      <c r="C674" s="84" t="s">
        <v>1286</v>
      </c>
      <c r="D674" s="115" t="s">
        <v>1393</v>
      </c>
      <c r="E674" s="85" t="s">
        <v>692</v>
      </c>
      <c r="F674" s="85">
        <v>46178</v>
      </c>
      <c r="G674" s="85" t="str">
        <f>TEXT(Table7[[#This Row],[EXPIRY DATE]],"MMM")</f>
        <v>Jun</v>
      </c>
      <c r="H674" s="85" t="str">
        <f>TEXT(Table7[[#This Row],[EXPIRY DATE]],"YYY")</f>
        <v>2026</v>
      </c>
      <c r="I674" s="85" t="s">
        <v>791</v>
      </c>
      <c r="J674" s="69"/>
    </row>
    <row r="675" spans="1:10" x14ac:dyDescent="0.3">
      <c r="A675" s="84">
        <v>674</v>
      </c>
      <c r="B675" s="84" t="s">
        <v>1367</v>
      </c>
      <c r="C675" s="84" t="s">
        <v>1286</v>
      </c>
      <c r="D675" s="115" t="s">
        <v>1368</v>
      </c>
      <c r="E675" s="85" t="s">
        <v>1164</v>
      </c>
      <c r="F675" s="85">
        <v>46179</v>
      </c>
      <c r="G675" s="85" t="str">
        <f>TEXT(Table7[[#This Row],[EXPIRY DATE]],"MMM")</f>
        <v>Jun</v>
      </c>
      <c r="H675" s="85" t="str">
        <f>TEXT(Table7[[#This Row],[EXPIRY DATE]],"YYY")</f>
        <v>2026</v>
      </c>
      <c r="I675" s="85" t="s">
        <v>791</v>
      </c>
      <c r="J675" s="69"/>
    </row>
    <row r="676" spans="1:10" x14ac:dyDescent="0.3">
      <c r="A676" s="84">
        <v>675</v>
      </c>
      <c r="B676" s="84" t="s">
        <v>1469</v>
      </c>
      <c r="C676" s="84" t="s">
        <v>1286</v>
      </c>
      <c r="D676" s="115" t="s">
        <v>1470</v>
      </c>
      <c r="E676" s="85" t="s">
        <v>613</v>
      </c>
      <c r="F676" s="85">
        <v>46182</v>
      </c>
      <c r="G676" s="85" t="s">
        <v>1139</v>
      </c>
      <c r="H676" s="85" t="str">
        <f>TEXT(Table7[[#This Row],[EXPIRY DATE]],"YYY")</f>
        <v>2026</v>
      </c>
      <c r="I676" s="84" t="s">
        <v>791</v>
      </c>
      <c r="J676" s="69"/>
    </row>
    <row r="677" spans="1:10" x14ac:dyDescent="0.3">
      <c r="A677" s="84">
        <v>676</v>
      </c>
      <c r="B677" s="84" t="s">
        <v>1402</v>
      </c>
      <c r="C677" s="84" t="s">
        <v>1286</v>
      </c>
      <c r="D677" s="115" t="s">
        <v>1471</v>
      </c>
      <c r="E677" s="85" t="s">
        <v>1179</v>
      </c>
      <c r="F677" s="85">
        <v>46189</v>
      </c>
      <c r="G677" s="85" t="s">
        <v>1139</v>
      </c>
      <c r="H677" s="85" t="str">
        <f>TEXT(Table7[[#This Row],[EXPIRY DATE]],"YYY")</f>
        <v>2026</v>
      </c>
      <c r="I677" s="84" t="s">
        <v>791</v>
      </c>
      <c r="J677" s="69"/>
    </row>
    <row r="678" spans="1:10" x14ac:dyDescent="0.3">
      <c r="A678" s="84">
        <v>677</v>
      </c>
      <c r="B678" s="84" t="s">
        <v>1472</v>
      </c>
      <c r="C678" s="84" t="s">
        <v>1286</v>
      </c>
      <c r="D678" s="115" t="s">
        <v>1473</v>
      </c>
      <c r="E678" s="85" t="s">
        <v>1474</v>
      </c>
      <c r="F678" s="85">
        <v>46209</v>
      </c>
      <c r="G678" s="85" t="str">
        <f>TEXT(Table7[[#This Row],[EXPIRY DATE]],"MMM")</f>
        <v>Jul</v>
      </c>
      <c r="H678" s="85" t="str">
        <f>TEXT(Table7[[#This Row],[EXPIRY DATE]],"YYY")</f>
        <v>2026</v>
      </c>
      <c r="I678" s="85" t="s">
        <v>791</v>
      </c>
      <c r="J678" s="69"/>
    </row>
    <row r="679" spans="1:10" x14ac:dyDescent="0.3">
      <c r="A679" s="84">
        <v>678</v>
      </c>
      <c r="B679" s="84" t="s">
        <v>1466</v>
      </c>
      <c r="C679" s="84" t="s">
        <v>1286</v>
      </c>
      <c r="D679" s="115" t="s">
        <v>1467</v>
      </c>
      <c r="E679" s="85" t="s">
        <v>1468</v>
      </c>
      <c r="F679" s="85">
        <v>46248</v>
      </c>
      <c r="G679" s="85" t="str">
        <f>TEXT(Table7[[#This Row],[EXPIRY DATE]],"MMM")</f>
        <v>Aug</v>
      </c>
      <c r="H679" s="85" t="str">
        <f>TEXT(Table7[[#This Row],[EXPIRY DATE]],"YYY")</f>
        <v>2026</v>
      </c>
      <c r="I679" s="85" t="s">
        <v>791</v>
      </c>
      <c r="J679" s="69"/>
    </row>
    <row r="680" spans="1:10" x14ac:dyDescent="0.3">
      <c r="A680" s="84">
        <v>679</v>
      </c>
      <c r="B680" s="84" t="s">
        <v>1475</v>
      </c>
      <c r="C680" s="84" t="s">
        <v>1286</v>
      </c>
      <c r="D680" s="115" t="s">
        <v>1476</v>
      </c>
      <c r="E680" s="85" t="s">
        <v>610</v>
      </c>
      <c r="F680" s="85">
        <v>46280</v>
      </c>
      <c r="G680" s="85" t="s">
        <v>591</v>
      </c>
      <c r="H680" s="85" t="str">
        <f>TEXT(Table7[[#This Row],[EXPIRY DATE]],"YYY")</f>
        <v>2026</v>
      </c>
      <c r="I680" s="84" t="s">
        <v>791</v>
      </c>
      <c r="J680" s="69"/>
    </row>
    <row r="681" spans="1:10" ht="20.399999999999999" x14ac:dyDescent="0.3">
      <c r="A681" s="84">
        <v>680</v>
      </c>
      <c r="B681" s="84" t="s">
        <v>1369</v>
      </c>
      <c r="C681" s="84" t="s">
        <v>1286</v>
      </c>
      <c r="D681" s="115" t="s">
        <v>1370</v>
      </c>
      <c r="E681" s="85" t="s">
        <v>1371</v>
      </c>
      <c r="F681" s="85">
        <v>46292</v>
      </c>
      <c r="G681" s="85" t="str">
        <f>TEXT(Table7[[#This Row],[EXPIRY DATE]],"MMM")</f>
        <v>Sep</v>
      </c>
      <c r="H681" s="85" t="str">
        <f>TEXT(Table7[[#This Row],[EXPIRY DATE]],"YYY")</f>
        <v>2026</v>
      </c>
      <c r="I681" s="85" t="s">
        <v>791</v>
      </c>
      <c r="J681" s="69"/>
    </row>
    <row r="682" spans="1:10" x14ac:dyDescent="0.3">
      <c r="A682" s="84">
        <v>681</v>
      </c>
      <c r="B682" s="84" t="s">
        <v>1477</v>
      </c>
      <c r="C682" s="84" t="s">
        <v>1286</v>
      </c>
      <c r="D682" s="115" t="s">
        <v>1478</v>
      </c>
      <c r="E682" s="85" t="s">
        <v>1225</v>
      </c>
      <c r="F682" s="85">
        <v>46317</v>
      </c>
      <c r="G682" s="85" t="str">
        <f>TEXT(Table7[[#This Row],[EXPIRY DATE]],"MMM")</f>
        <v>Oct</v>
      </c>
      <c r="H682" s="85" t="str">
        <f>TEXT(Table7[[#This Row],[EXPIRY DATE]],"YYY")</f>
        <v>2026</v>
      </c>
      <c r="I682" s="85" t="s">
        <v>791</v>
      </c>
      <c r="J682" s="69"/>
    </row>
    <row r="683" spans="1:10" ht="20.399999999999999" x14ac:dyDescent="0.3">
      <c r="A683" s="84">
        <v>682</v>
      </c>
      <c r="B683" s="84" t="s">
        <v>1479</v>
      </c>
      <c r="C683" s="84" t="s">
        <v>1286</v>
      </c>
      <c r="D683" s="115" t="s">
        <v>1480</v>
      </c>
      <c r="E683" s="85" t="s">
        <v>1225</v>
      </c>
      <c r="F683" s="85">
        <v>46360</v>
      </c>
      <c r="G683" s="85" t="str">
        <f>TEXT(Table7[[#This Row],[EXPIRY DATE]],"MMM")</f>
        <v>Dec</v>
      </c>
      <c r="H683" s="85" t="str">
        <f>TEXT(Table7[[#This Row],[EXPIRY DATE]],"YYY")</f>
        <v>2026</v>
      </c>
      <c r="I683" s="85" t="s">
        <v>791</v>
      </c>
      <c r="J683" s="69"/>
    </row>
    <row r="684" spans="1:10" x14ac:dyDescent="0.3">
      <c r="A684" s="84">
        <v>683</v>
      </c>
      <c r="B684" s="84" t="s">
        <v>1398</v>
      </c>
      <c r="C684" s="84" t="s">
        <v>1286</v>
      </c>
      <c r="D684" s="115" t="s">
        <v>1400</v>
      </c>
      <c r="E684" s="85" t="s">
        <v>692</v>
      </c>
      <c r="F684" s="85">
        <v>46367</v>
      </c>
      <c r="G684" s="85" t="str">
        <f>TEXT(Table7[[#This Row],[EXPIRY DATE]],"MMM")</f>
        <v>Dec</v>
      </c>
      <c r="H684" s="85" t="str">
        <f>TEXT(Table7[[#This Row],[EXPIRY DATE]],"YYY")</f>
        <v>2026</v>
      </c>
      <c r="I684" s="85" t="s">
        <v>791</v>
      </c>
      <c r="J684" s="69"/>
    </row>
    <row r="685" spans="1:10" ht="20.399999999999999" x14ac:dyDescent="0.3">
      <c r="A685" s="84">
        <v>684</v>
      </c>
      <c r="B685" s="84" t="s">
        <v>1316</v>
      </c>
      <c r="C685" s="84" t="s">
        <v>1286</v>
      </c>
      <c r="D685" s="115" t="s">
        <v>1317</v>
      </c>
      <c r="E685" s="85" t="s">
        <v>692</v>
      </c>
      <c r="F685" s="85">
        <v>46368</v>
      </c>
      <c r="G685" s="85" t="str">
        <f>TEXT(Table7[[#This Row],[EXPIRY DATE]],"MMM")</f>
        <v>Dec</v>
      </c>
      <c r="H685" s="85" t="str">
        <f>TEXT(Table7[[#This Row],[EXPIRY DATE]],"YYY")</f>
        <v>2026</v>
      </c>
      <c r="I685" s="85" t="s">
        <v>791</v>
      </c>
      <c r="J685" s="69"/>
    </row>
    <row r="686" spans="1:10" x14ac:dyDescent="0.3">
      <c r="A686" s="84">
        <v>685</v>
      </c>
      <c r="B686" s="84" t="s">
        <v>1475</v>
      </c>
      <c r="C686" s="84" t="s">
        <v>1286</v>
      </c>
      <c r="D686" s="115" t="s">
        <v>1481</v>
      </c>
      <c r="E686" s="85" t="s">
        <v>610</v>
      </c>
      <c r="F686" s="85">
        <v>46387</v>
      </c>
      <c r="G686" s="85" t="str">
        <f>TEXT(Table7[[#This Row],[EXPIRY DATE]],"MMM")</f>
        <v>Dec</v>
      </c>
      <c r="H686" s="85" t="str">
        <f>TEXT(Table7[[#This Row],[EXPIRY DATE]],"YYY")</f>
        <v>2026</v>
      </c>
      <c r="I686" s="84" t="s">
        <v>602</v>
      </c>
      <c r="J686" s="69"/>
    </row>
    <row r="687" spans="1:10" x14ac:dyDescent="0.3">
      <c r="A687" s="84">
        <v>686</v>
      </c>
      <c r="B687" s="84" t="s">
        <v>1454</v>
      </c>
      <c r="C687" s="84" t="s">
        <v>1286</v>
      </c>
      <c r="D687" s="115" t="s">
        <v>1482</v>
      </c>
      <c r="E687" s="85" t="s">
        <v>1222</v>
      </c>
      <c r="F687" s="85">
        <v>46387</v>
      </c>
      <c r="G687" s="85" t="s">
        <v>625</v>
      </c>
      <c r="H687" s="85" t="str">
        <f>TEXT(Table7[[#This Row],[EXPIRY DATE]],"YYY")</f>
        <v>2026</v>
      </c>
      <c r="I687" s="84" t="s">
        <v>791</v>
      </c>
      <c r="J687" s="69"/>
    </row>
    <row r="688" spans="1:10" x14ac:dyDescent="0.3">
      <c r="A688" s="84">
        <v>687</v>
      </c>
      <c r="B688" s="84" t="s">
        <v>1483</v>
      </c>
      <c r="C688" s="84" t="s">
        <v>1286</v>
      </c>
      <c r="D688" s="115" t="s">
        <v>1476</v>
      </c>
      <c r="E688" s="85" t="s">
        <v>610</v>
      </c>
      <c r="F688" s="85">
        <v>46387</v>
      </c>
      <c r="G688" s="85" t="s">
        <v>625</v>
      </c>
      <c r="H688" s="85" t="str">
        <f>TEXT(Table7[[#This Row],[EXPIRY DATE]],"YYY")</f>
        <v>2026</v>
      </c>
      <c r="I688" s="84" t="s">
        <v>602</v>
      </c>
      <c r="J688" s="69"/>
    </row>
    <row r="689" spans="1:10" ht="20.399999999999999" x14ac:dyDescent="0.3">
      <c r="A689" s="84">
        <v>688</v>
      </c>
      <c r="B689" s="84" t="s">
        <v>1484</v>
      </c>
      <c r="C689" s="84" t="s">
        <v>1286</v>
      </c>
      <c r="D689" s="115" t="s">
        <v>1485</v>
      </c>
      <c r="E689" s="85" t="s">
        <v>1486</v>
      </c>
      <c r="F689" s="85">
        <v>46387</v>
      </c>
      <c r="G689" s="85" t="str">
        <f>TEXT(Table7[[#This Row],[EXPIRY DATE]],"MMM")</f>
        <v>Dec</v>
      </c>
      <c r="H689" s="85" t="str">
        <f>TEXT(Table7[[#This Row],[EXPIRY DATE]],"YYY")</f>
        <v>2026</v>
      </c>
      <c r="I689" s="84" t="s">
        <v>602</v>
      </c>
      <c r="J689" s="69"/>
    </row>
    <row r="690" spans="1:10" x14ac:dyDescent="0.3">
      <c r="A690" s="84">
        <v>689</v>
      </c>
      <c r="B690" s="84" t="s">
        <v>1359</v>
      </c>
      <c r="C690" s="84" t="s">
        <v>1286</v>
      </c>
      <c r="D690" s="115" t="s">
        <v>1487</v>
      </c>
      <c r="E690" s="85" t="s">
        <v>598</v>
      </c>
      <c r="F690" s="85">
        <v>46387</v>
      </c>
      <c r="G690" s="85" t="str">
        <f>TEXT(Table7[[#This Row],[EXPIRY DATE]],"MMM")</f>
        <v>Dec</v>
      </c>
      <c r="H690" s="85" t="str">
        <f>TEXT(Table7[[#This Row],[EXPIRY DATE]],"YYY")</f>
        <v>2026</v>
      </c>
      <c r="I690" s="84" t="s">
        <v>602</v>
      </c>
      <c r="J690" s="69"/>
    </row>
    <row r="691" spans="1:10" x14ac:dyDescent="0.3">
      <c r="A691" s="84">
        <v>690</v>
      </c>
      <c r="B691" s="84" t="s">
        <v>1408</v>
      </c>
      <c r="C691" s="84" t="s">
        <v>1286</v>
      </c>
      <c r="D691" s="115" t="s">
        <v>1409</v>
      </c>
      <c r="E691" s="85" t="s">
        <v>1488</v>
      </c>
      <c r="F691" s="85">
        <v>46387</v>
      </c>
      <c r="G691" s="85" t="str">
        <f>TEXT(Table7[[#This Row],[EXPIRY DATE]],"MMM")</f>
        <v>Dec</v>
      </c>
      <c r="H691" s="85" t="str">
        <f>TEXT(Table7[[#This Row],[EXPIRY DATE]],"YYY")</f>
        <v>2026</v>
      </c>
      <c r="I691" s="84" t="s">
        <v>602</v>
      </c>
      <c r="J691" s="69"/>
    </row>
    <row r="692" spans="1:10" x14ac:dyDescent="0.3">
      <c r="A692" s="84">
        <v>691</v>
      </c>
      <c r="B692" s="84" t="s">
        <v>1418</v>
      </c>
      <c r="C692" s="84" t="s">
        <v>1286</v>
      </c>
      <c r="D692" s="115" t="s">
        <v>1419</v>
      </c>
      <c r="E692" s="85" t="s">
        <v>598</v>
      </c>
      <c r="F692" s="85">
        <v>46387</v>
      </c>
      <c r="G692" s="85" t="str">
        <f>TEXT(Table7[[#This Row],[EXPIRY DATE]],"MMM")</f>
        <v>Dec</v>
      </c>
      <c r="H692" s="85" t="str">
        <f>TEXT(Table7[[#This Row],[EXPIRY DATE]],"YYY")</f>
        <v>2026</v>
      </c>
      <c r="I692" s="84" t="s">
        <v>602</v>
      </c>
      <c r="J692" s="69"/>
    </row>
    <row r="693" spans="1:10" x14ac:dyDescent="0.3">
      <c r="A693" s="84">
        <v>692</v>
      </c>
      <c r="B693" s="84">
        <v>111012001</v>
      </c>
      <c r="C693" s="84" t="s">
        <v>1286</v>
      </c>
      <c r="D693" s="115" t="s">
        <v>1489</v>
      </c>
      <c r="E693" s="85" t="s">
        <v>1490</v>
      </c>
      <c r="F693" s="85">
        <v>46387</v>
      </c>
      <c r="G693" s="85" t="str">
        <f>TEXT(Table7[[#This Row],[EXPIRY DATE]],"MMM")</f>
        <v>Dec</v>
      </c>
      <c r="H693" s="85" t="str">
        <f>TEXT(Table7[[#This Row],[EXPIRY DATE]],"YYY")</f>
        <v>2026</v>
      </c>
      <c r="I693" s="84" t="s">
        <v>602</v>
      </c>
      <c r="J693" s="69"/>
    </row>
    <row r="694" spans="1:10" ht="20.399999999999999" x14ac:dyDescent="0.3">
      <c r="A694" s="84">
        <v>693</v>
      </c>
      <c r="B694" s="84">
        <v>111001371</v>
      </c>
      <c r="C694" s="84" t="s">
        <v>1286</v>
      </c>
      <c r="D694" s="115" t="s">
        <v>1491</v>
      </c>
      <c r="E694" s="85" t="s">
        <v>598</v>
      </c>
      <c r="F694" s="85">
        <v>46387</v>
      </c>
      <c r="G694" s="85" t="str">
        <f>TEXT(Table7[[#This Row],[EXPIRY DATE]],"MMM")</f>
        <v>Dec</v>
      </c>
      <c r="H694" s="85" t="str">
        <f>TEXT(Table7[[#This Row],[EXPIRY DATE]],"YYY")</f>
        <v>2026</v>
      </c>
      <c r="I694" s="84" t="s">
        <v>602</v>
      </c>
      <c r="J694" s="69"/>
    </row>
    <row r="695" spans="1:10" ht="20.399999999999999" x14ac:dyDescent="0.3">
      <c r="A695" s="84">
        <v>694</v>
      </c>
      <c r="B695" s="84">
        <v>111001213</v>
      </c>
      <c r="C695" s="84" t="s">
        <v>1286</v>
      </c>
      <c r="D695" s="115" t="s">
        <v>1442</v>
      </c>
      <c r="E695" s="85" t="s">
        <v>598</v>
      </c>
      <c r="F695" s="85">
        <v>46387</v>
      </c>
      <c r="G695" s="85" t="str">
        <f>TEXT(Table7[[#This Row],[EXPIRY DATE]],"MMM")</f>
        <v>Dec</v>
      </c>
      <c r="H695" s="85" t="str">
        <f>TEXT(Table7[[#This Row],[EXPIRY DATE]],"YYY")</f>
        <v>2026</v>
      </c>
      <c r="I695" s="84" t="s">
        <v>602</v>
      </c>
      <c r="J695" s="69"/>
    </row>
    <row r="696" spans="1:10" ht="20.399999999999999" x14ac:dyDescent="0.3">
      <c r="A696" s="84">
        <v>695</v>
      </c>
      <c r="B696" s="84">
        <v>111001196</v>
      </c>
      <c r="C696" s="84" t="s">
        <v>1286</v>
      </c>
      <c r="D696" s="115" t="s">
        <v>1443</v>
      </c>
      <c r="E696" s="85" t="s">
        <v>598</v>
      </c>
      <c r="F696" s="85">
        <v>46387</v>
      </c>
      <c r="G696" s="85" t="str">
        <f>TEXT(Table7[[#This Row],[EXPIRY DATE]],"MMM")</f>
        <v>Dec</v>
      </c>
      <c r="H696" s="85" t="str">
        <f>TEXT(Table7[[#This Row],[EXPIRY DATE]],"YYY")</f>
        <v>2026</v>
      </c>
      <c r="I696" s="84" t="s">
        <v>602</v>
      </c>
      <c r="J696" s="69"/>
    </row>
    <row r="697" spans="1:10" ht="20.399999999999999" x14ac:dyDescent="0.3">
      <c r="A697" s="84">
        <v>696</v>
      </c>
      <c r="B697" s="84">
        <v>111001111</v>
      </c>
      <c r="C697" s="84" t="s">
        <v>1286</v>
      </c>
      <c r="D697" s="115" t="s">
        <v>1447</v>
      </c>
      <c r="E697" s="85" t="s">
        <v>598</v>
      </c>
      <c r="F697" s="85">
        <v>46387</v>
      </c>
      <c r="G697" s="85" t="str">
        <f>TEXT(Table7[[#This Row],[EXPIRY DATE]],"MMM")</f>
        <v>Dec</v>
      </c>
      <c r="H697" s="85" t="str">
        <f>TEXT(Table7[[#This Row],[EXPIRY DATE]],"YYY")</f>
        <v>2026</v>
      </c>
      <c r="I697" s="84" t="s">
        <v>602</v>
      </c>
      <c r="J697" s="69"/>
    </row>
    <row r="698" spans="1:10" x14ac:dyDescent="0.3">
      <c r="A698" s="84">
        <v>697</v>
      </c>
      <c r="B698" s="84">
        <v>111001093</v>
      </c>
      <c r="C698" s="84" t="s">
        <v>1286</v>
      </c>
      <c r="D698" s="115" t="s">
        <v>1448</v>
      </c>
      <c r="E698" s="85" t="s">
        <v>598</v>
      </c>
      <c r="F698" s="85">
        <v>46387</v>
      </c>
      <c r="G698" s="85" t="str">
        <f>TEXT(Table7[[#This Row],[EXPIRY DATE]],"MMM")</f>
        <v>Dec</v>
      </c>
      <c r="H698" s="85" t="str">
        <f>TEXT(Table7[[#This Row],[EXPIRY DATE]],"YYY")</f>
        <v>2026</v>
      </c>
      <c r="I698" s="84" t="s">
        <v>602</v>
      </c>
      <c r="J698" s="69"/>
    </row>
    <row r="699" spans="1:10" ht="20.399999999999999" x14ac:dyDescent="0.3">
      <c r="A699" s="84">
        <v>698</v>
      </c>
      <c r="B699" s="84">
        <v>111001020</v>
      </c>
      <c r="C699" s="84" t="s">
        <v>1286</v>
      </c>
      <c r="D699" s="115" t="s">
        <v>1492</v>
      </c>
      <c r="E699" s="85" t="s">
        <v>598</v>
      </c>
      <c r="F699" s="85">
        <v>46387</v>
      </c>
      <c r="G699" s="85" t="str">
        <f>TEXT(Table7[[#This Row],[EXPIRY DATE]],"MMM")</f>
        <v>Dec</v>
      </c>
      <c r="H699" s="85" t="str">
        <f>TEXT(Table7[[#This Row],[EXPIRY DATE]],"YYY")</f>
        <v>2026</v>
      </c>
      <c r="I699" s="84" t="s">
        <v>602</v>
      </c>
      <c r="J699" s="69"/>
    </row>
    <row r="700" spans="1:10" x14ac:dyDescent="0.3">
      <c r="A700" s="84">
        <v>699</v>
      </c>
      <c r="B700" s="84" t="s">
        <v>1493</v>
      </c>
      <c r="C700" s="84" t="s">
        <v>1286</v>
      </c>
      <c r="D700" s="115" t="s">
        <v>1330</v>
      </c>
      <c r="E700" s="85" t="s">
        <v>692</v>
      </c>
      <c r="F700" s="85">
        <v>46395</v>
      </c>
      <c r="G700" s="85" t="str">
        <f>TEXT(Table7[[#This Row],[EXPIRY DATE]],"MMM")</f>
        <v>Jan</v>
      </c>
      <c r="H700" s="85" t="str">
        <f>TEXT(Table7[[#This Row],[EXPIRY DATE]],"YYY")</f>
        <v>2027</v>
      </c>
      <c r="I700" s="84" t="s">
        <v>791</v>
      </c>
      <c r="J700" s="69"/>
    </row>
    <row r="701" spans="1:10" ht="20.399999999999999" x14ac:dyDescent="0.3">
      <c r="A701" s="84">
        <v>700</v>
      </c>
      <c r="B701" s="84" t="s">
        <v>1494</v>
      </c>
      <c r="C701" s="84" t="s">
        <v>1286</v>
      </c>
      <c r="D701" s="115" t="s">
        <v>1319</v>
      </c>
      <c r="E701" s="85" t="s">
        <v>692</v>
      </c>
      <c r="F701" s="85">
        <v>46398</v>
      </c>
      <c r="G701" s="85" t="str">
        <f>TEXT(Table7[[#This Row],[EXPIRY DATE]],"MMM")</f>
        <v>Jan</v>
      </c>
      <c r="H701" s="85" t="str">
        <f>TEXT(Table7[[#This Row],[EXPIRY DATE]],"YYY")</f>
        <v>2027</v>
      </c>
      <c r="I701" s="85" t="s">
        <v>791</v>
      </c>
      <c r="J701" s="69"/>
    </row>
    <row r="702" spans="1:10" x14ac:dyDescent="0.3">
      <c r="A702" s="84">
        <v>701</v>
      </c>
      <c r="B702" s="84" t="s">
        <v>1396</v>
      </c>
      <c r="C702" s="84" t="s">
        <v>1286</v>
      </c>
      <c r="D702" s="115" t="s">
        <v>1397</v>
      </c>
      <c r="E702" s="85" t="s">
        <v>692</v>
      </c>
      <c r="F702" s="85">
        <v>46404</v>
      </c>
      <c r="G702" s="85" t="str">
        <f>TEXT(Table7[[#This Row],[EXPIRY DATE]],"MMM")</f>
        <v>Jan</v>
      </c>
      <c r="H702" s="85" t="str">
        <f>TEXT(Table7[[#This Row],[EXPIRY DATE]],"YYY")</f>
        <v>2027</v>
      </c>
      <c r="I702" s="84" t="s">
        <v>791</v>
      </c>
      <c r="J702" s="69"/>
    </row>
    <row r="703" spans="1:10" ht="30.6" x14ac:dyDescent="0.3">
      <c r="A703" s="84">
        <v>702</v>
      </c>
      <c r="B703" s="84" t="s">
        <v>1495</v>
      </c>
      <c r="C703" s="84" t="s">
        <v>1286</v>
      </c>
      <c r="D703" s="115" t="s">
        <v>1496</v>
      </c>
      <c r="E703" s="85" t="s">
        <v>667</v>
      </c>
      <c r="F703" s="85">
        <v>46405</v>
      </c>
      <c r="G703" s="85" t="str">
        <f>TEXT(Table7[[#This Row],[EXPIRY DATE]],"MMM")</f>
        <v>Jan</v>
      </c>
      <c r="H703" s="85" t="str">
        <f>TEXT(Table7[[#This Row],[EXPIRY DATE]],"YYY")</f>
        <v>2027</v>
      </c>
      <c r="I703" s="85" t="s">
        <v>791</v>
      </c>
      <c r="J703" s="69"/>
    </row>
    <row r="704" spans="1:10" x14ac:dyDescent="0.3">
      <c r="A704" s="84">
        <v>703</v>
      </c>
      <c r="B704" s="84" t="s">
        <v>1464</v>
      </c>
      <c r="C704" s="84" t="s">
        <v>1286</v>
      </c>
      <c r="D704" s="115" t="s">
        <v>1465</v>
      </c>
      <c r="E704" s="85" t="s">
        <v>598</v>
      </c>
      <c r="F704" s="85">
        <v>46415</v>
      </c>
      <c r="G704" s="85" t="str">
        <f>TEXT(Table7[[#This Row],[EXPIRY DATE]],"MMM")</f>
        <v>Jan</v>
      </c>
      <c r="H704" s="85" t="str">
        <f>TEXT(Table7[[#This Row],[EXPIRY DATE]],"YYY")</f>
        <v>2027</v>
      </c>
      <c r="I704" s="85" t="s">
        <v>791</v>
      </c>
      <c r="J704" s="69"/>
    </row>
    <row r="705" spans="1:10" x14ac:dyDescent="0.3">
      <c r="A705" s="84">
        <v>704</v>
      </c>
      <c r="B705" s="84" t="s">
        <v>1380</v>
      </c>
      <c r="C705" s="84" t="s">
        <v>1286</v>
      </c>
      <c r="D705" s="115" t="s">
        <v>1382</v>
      </c>
      <c r="E705" s="85" t="s">
        <v>692</v>
      </c>
      <c r="F705" s="85">
        <v>46416</v>
      </c>
      <c r="G705" s="85" t="str">
        <f>TEXT(Table7[[#This Row],[EXPIRY DATE]],"MMM")</f>
        <v>Jan</v>
      </c>
      <c r="H705" s="85" t="str">
        <f>TEXT(Table7[[#This Row],[EXPIRY DATE]],"YYY")</f>
        <v>2027</v>
      </c>
      <c r="I705" s="84" t="s">
        <v>791</v>
      </c>
      <c r="J705" s="69"/>
    </row>
    <row r="706" spans="1:10" x14ac:dyDescent="0.3">
      <c r="A706" s="84">
        <v>705</v>
      </c>
      <c r="B706" s="84" t="s">
        <v>1383</v>
      </c>
      <c r="C706" s="84" t="s">
        <v>1286</v>
      </c>
      <c r="D706" s="115" t="s">
        <v>1385</v>
      </c>
      <c r="E706" s="85" t="s">
        <v>692</v>
      </c>
      <c r="F706" s="85">
        <v>46416</v>
      </c>
      <c r="G706" s="85" t="str">
        <f>TEXT(Table7[[#This Row],[EXPIRY DATE]],"MMM")</f>
        <v>Jan</v>
      </c>
      <c r="H706" s="85" t="str">
        <f>TEXT(Table7[[#This Row],[EXPIRY DATE]],"YYY")</f>
        <v>2027</v>
      </c>
      <c r="I706" s="84" t="s">
        <v>791</v>
      </c>
      <c r="J706" s="69"/>
    </row>
    <row r="707" spans="1:10" ht="20.399999999999999" x14ac:dyDescent="0.3">
      <c r="A707" s="84">
        <v>706</v>
      </c>
      <c r="B707" s="84" t="s">
        <v>1388</v>
      </c>
      <c r="C707" s="84" t="s">
        <v>1286</v>
      </c>
      <c r="D707" s="115" t="s">
        <v>1497</v>
      </c>
      <c r="E707" s="85" t="s">
        <v>692</v>
      </c>
      <c r="F707" s="85">
        <v>46432</v>
      </c>
      <c r="G707" s="85" t="str">
        <f>TEXT(Table7[[#This Row],[EXPIRY DATE]],"MMM")</f>
        <v>Feb</v>
      </c>
      <c r="H707" s="85" t="str">
        <f>TEXT(Table7[[#This Row],[EXPIRY DATE]],"YYY")</f>
        <v>2027</v>
      </c>
      <c r="I707" s="84" t="s">
        <v>791</v>
      </c>
      <c r="J707" s="69"/>
    </row>
    <row r="708" spans="1:10" x14ac:dyDescent="0.3">
      <c r="A708" s="84">
        <v>707</v>
      </c>
      <c r="B708" s="84" t="s">
        <v>1498</v>
      </c>
      <c r="C708" s="84" t="s">
        <v>1286</v>
      </c>
      <c r="D708" s="115" t="s">
        <v>1499</v>
      </c>
      <c r="E708" s="85" t="s">
        <v>1222</v>
      </c>
      <c r="F708" s="85">
        <v>46479</v>
      </c>
      <c r="G708" s="85" t="s">
        <v>611</v>
      </c>
      <c r="H708" s="85" t="str">
        <f>TEXT(Table7[[#This Row],[EXPIRY DATE]],"YYY")</f>
        <v>2027</v>
      </c>
      <c r="I708" s="84" t="s">
        <v>607</v>
      </c>
      <c r="J708" s="69"/>
    </row>
    <row r="709" spans="1:10" x14ac:dyDescent="0.3">
      <c r="A709" s="84">
        <v>708</v>
      </c>
      <c r="B709" s="84" t="s">
        <v>1500</v>
      </c>
      <c r="C709" s="84" t="s">
        <v>1286</v>
      </c>
      <c r="D709" s="115" t="s">
        <v>1501</v>
      </c>
      <c r="E709" s="85" t="s">
        <v>1502</v>
      </c>
      <c r="F709" s="85">
        <v>46752</v>
      </c>
      <c r="G709" s="85" t="str">
        <f>TEXT(Table7[[#This Row],[EXPIRY DATE]],"MMM")</f>
        <v>Dec</v>
      </c>
      <c r="H709" s="85" t="str">
        <f>TEXT(Table7[[#This Row],[EXPIRY DATE]],"YYY")</f>
        <v>2027</v>
      </c>
      <c r="I709" s="84" t="s">
        <v>602</v>
      </c>
      <c r="J709" s="69"/>
    </row>
    <row r="710" spans="1:10" x14ac:dyDescent="0.3">
      <c r="A710" s="84">
        <v>709</v>
      </c>
      <c r="B710" s="84" t="s">
        <v>1503</v>
      </c>
      <c r="C710" s="84" t="s">
        <v>1286</v>
      </c>
      <c r="D710" s="115" t="s">
        <v>1504</v>
      </c>
      <c r="E710" s="85" t="s">
        <v>1505</v>
      </c>
      <c r="F710" s="85">
        <v>46752</v>
      </c>
      <c r="G710" s="85" t="str">
        <f>TEXT(Table7[[#This Row],[EXPIRY DATE]],"MMM")</f>
        <v>Dec</v>
      </c>
      <c r="H710" s="85" t="str">
        <f>TEXT(Table7[[#This Row],[EXPIRY DATE]],"YYY")</f>
        <v>2027</v>
      </c>
      <c r="I710" s="84" t="s">
        <v>602</v>
      </c>
      <c r="J710" s="69"/>
    </row>
    <row r="711" spans="1:10" x14ac:dyDescent="0.3">
      <c r="A711" s="84">
        <v>710</v>
      </c>
      <c r="B711" s="84" t="s">
        <v>1506</v>
      </c>
      <c r="C711" s="84" t="s">
        <v>1286</v>
      </c>
      <c r="D711" s="115" t="s">
        <v>1507</v>
      </c>
      <c r="E711" s="85" t="s">
        <v>1486</v>
      </c>
      <c r="F711" s="85">
        <v>46752</v>
      </c>
      <c r="G711" s="85" t="str">
        <f>TEXT(Table7[[#This Row],[EXPIRY DATE]],"MMM")</f>
        <v>Dec</v>
      </c>
      <c r="H711" s="85" t="str">
        <f>TEXT(Table7[[#This Row],[EXPIRY DATE]],"YYY")</f>
        <v>2027</v>
      </c>
      <c r="I711" s="84" t="s">
        <v>602</v>
      </c>
      <c r="J711" s="69"/>
    </row>
    <row r="712" spans="1:10" ht="20.399999999999999" x14ac:dyDescent="0.3">
      <c r="A712" s="84">
        <v>711</v>
      </c>
      <c r="B712" s="84" t="s">
        <v>1508</v>
      </c>
      <c r="C712" s="84" t="s">
        <v>1286</v>
      </c>
      <c r="D712" s="115" t="s">
        <v>1509</v>
      </c>
      <c r="E712" s="85" t="s">
        <v>1486</v>
      </c>
      <c r="F712" s="85">
        <v>46752</v>
      </c>
      <c r="G712" s="85" t="str">
        <f>TEXT(Table7[[#This Row],[EXPIRY DATE]],"MMM")</f>
        <v>Dec</v>
      </c>
      <c r="H712" s="85" t="str">
        <f>TEXT(Table7[[#This Row],[EXPIRY DATE]],"YYY")</f>
        <v>2027</v>
      </c>
      <c r="I712" s="84" t="s">
        <v>602</v>
      </c>
      <c r="J712" s="69"/>
    </row>
    <row r="713" spans="1:10" ht="20.399999999999999" x14ac:dyDescent="0.3">
      <c r="A713" s="84">
        <v>712</v>
      </c>
      <c r="B713" s="84" t="s">
        <v>1510</v>
      </c>
      <c r="C713" s="84" t="s">
        <v>1286</v>
      </c>
      <c r="D713" s="115" t="s">
        <v>1511</v>
      </c>
      <c r="E713" s="85" t="s">
        <v>590</v>
      </c>
      <c r="F713" s="85">
        <v>46752</v>
      </c>
      <c r="G713" s="85" t="str">
        <f>TEXT(Table7[[#This Row],[EXPIRY DATE]],"MMM")</f>
        <v>Dec</v>
      </c>
      <c r="H713" s="85" t="str">
        <f>TEXT(Table7[[#This Row],[EXPIRY DATE]],"YYY")</f>
        <v>2027</v>
      </c>
      <c r="I713" s="84" t="s">
        <v>602</v>
      </c>
      <c r="J713" s="69"/>
    </row>
    <row r="714" spans="1:10" ht="20.399999999999999" x14ac:dyDescent="0.3">
      <c r="A714" s="84">
        <v>713</v>
      </c>
      <c r="B714" s="84" t="s">
        <v>1512</v>
      </c>
      <c r="C714" s="84" t="s">
        <v>1286</v>
      </c>
      <c r="D714" s="115" t="s">
        <v>1513</v>
      </c>
      <c r="E714" s="85" t="s">
        <v>1514</v>
      </c>
      <c r="F714" s="85">
        <v>46752</v>
      </c>
      <c r="G714" s="85" t="str">
        <f>TEXT(Table7[[#This Row],[EXPIRY DATE]],"MMM")</f>
        <v>Dec</v>
      </c>
      <c r="H714" s="85" t="str">
        <f>TEXT(Table7[[#This Row],[EXPIRY DATE]],"YYY")</f>
        <v>2027</v>
      </c>
      <c r="I714" s="84" t="s">
        <v>602</v>
      </c>
      <c r="J714" s="69"/>
    </row>
    <row r="715" spans="1:10" ht="20.399999999999999" x14ac:dyDescent="0.3">
      <c r="A715" s="84">
        <v>714</v>
      </c>
      <c r="B715" s="84" t="s">
        <v>1515</v>
      </c>
      <c r="C715" s="84" t="s">
        <v>1286</v>
      </c>
      <c r="D715" s="115" t="s">
        <v>1516</v>
      </c>
      <c r="E715" s="85" t="s">
        <v>1517</v>
      </c>
      <c r="F715" s="85">
        <v>46752</v>
      </c>
      <c r="G715" s="85" t="str">
        <f>TEXT(Table7[[#This Row],[EXPIRY DATE]],"MMM")</f>
        <v>Dec</v>
      </c>
      <c r="H715" s="85" t="str">
        <f>TEXT(Table7[[#This Row],[EXPIRY DATE]],"YYY")</f>
        <v>2027</v>
      </c>
      <c r="I715" s="84" t="s">
        <v>602</v>
      </c>
      <c r="J715" s="69"/>
    </row>
    <row r="716" spans="1:10" ht="20.399999999999999" x14ac:dyDescent="0.3">
      <c r="A716" s="84">
        <v>715</v>
      </c>
      <c r="B716" s="84" t="s">
        <v>1518</v>
      </c>
      <c r="C716" s="84" t="s">
        <v>1286</v>
      </c>
      <c r="D716" s="115" t="s">
        <v>1519</v>
      </c>
      <c r="E716" s="85" t="s">
        <v>1490</v>
      </c>
      <c r="F716" s="85">
        <v>46752</v>
      </c>
      <c r="G716" s="85" t="str">
        <f>TEXT(Table7[[#This Row],[EXPIRY DATE]],"MMM")</f>
        <v>Dec</v>
      </c>
      <c r="H716" s="85" t="str">
        <f>TEXT(Table7[[#This Row],[EXPIRY DATE]],"YYY")</f>
        <v>2027</v>
      </c>
      <c r="I716" s="84" t="s">
        <v>602</v>
      </c>
      <c r="J716" s="69"/>
    </row>
    <row r="717" spans="1:10" x14ac:dyDescent="0.3">
      <c r="A717" s="84">
        <v>716</v>
      </c>
      <c r="B717" s="84" t="s">
        <v>1520</v>
      </c>
      <c r="C717" s="84" t="s">
        <v>1286</v>
      </c>
      <c r="D717" s="115" t="s">
        <v>1521</v>
      </c>
      <c r="E717" s="85" t="s">
        <v>1522</v>
      </c>
      <c r="F717" s="85">
        <v>46752</v>
      </c>
      <c r="G717" s="85" t="str">
        <f>TEXT(Table7[[#This Row],[EXPIRY DATE]],"MMM")</f>
        <v>Dec</v>
      </c>
      <c r="H717" s="85" t="str">
        <f>TEXT(Table7[[#This Row],[EXPIRY DATE]],"YYY")</f>
        <v>2027</v>
      </c>
      <c r="I717" s="84" t="s">
        <v>602</v>
      </c>
      <c r="J717" s="69"/>
    </row>
    <row r="718" spans="1:10" x14ac:dyDescent="0.3">
      <c r="A718" s="84">
        <v>717</v>
      </c>
      <c r="B718" s="84" t="s">
        <v>1523</v>
      </c>
      <c r="C718" s="84" t="s">
        <v>1286</v>
      </c>
      <c r="D718" s="115" t="s">
        <v>1524</v>
      </c>
      <c r="E718" s="85" t="s">
        <v>1525</v>
      </c>
      <c r="F718" s="85">
        <v>46752</v>
      </c>
      <c r="G718" s="85" t="str">
        <f>TEXT(Table7[[#This Row],[EXPIRY DATE]],"MMM")</f>
        <v>Dec</v>
      </c>
      <c r="H718" s="85" t="str">
        <f>TEXT(Table7[[#This Row],[EXPIRY DATE]],"YYY")</f>
        <v>2027</v>
      </c>
      <c r="I718" s="84" t="s">
        <v>602</v>
      </c>
      <c r="J718" s="69"/>
    </row>
    <row r="719" spans="1:10" ht="20.399999999999999" x14ac:dyDescent="0.3">
      <c r="A719" s="84">
        <v>718</v>
      </c>
      <c r="B719" s="84" t="s">
        <v>1526</v>
      </c>
      <c r="C719" s="84" t="s">
        <v>1286</v>
      </c>
      <c r="D719" s="115" t="s">
        <v>1527</v>
      </c>
      <c r="E719" s="85" t="s">
        <v>590</v>
      </c>
      <c r="F719" s="85">
        <v>46752</v>
      </c>
      <c r="G719" s="85" t="str">
        <f>TEXT(Table7[[#This Row],[EXPIRY DATE]],"MMM")</f>
        <v>Dec</v>
      </c>
      <c r="H719" s="85" t="str">
        <f>TEXT(Table7[[#This Row],[EXPIRY DATE]],"YYY")</f>
        <v>2027</v>
      </c>
      <c r="I719" s="84" t="s">
        <v>602</v>
      </c>
      <c r="J719" s="69"/>
    </row>
    <row r="720" spans="1:10" ht="30.6" x14ac:dyDescent="0.3">
      <c r="A720" s="84">
        <v>719</v>
      </c>
      <c r="B720" s="84" t="s">
        <v>1528</v>
      </c>
      <c r="C720" s="84" t="s">
        <v>1286</v>
      </c>
      <c r="D720" s="115" t="s">
        <v>1529</v>
      </c>
      <c r="E720" s="85" t="s">
        <v>590</v>
      </c>
      <c r="F720" s="85">
        <v>46752</v>
      </c>
      <c r="G720" s="85" t="str">
        <f>TEXT(Table7[[#This Row],[EXPIRY DATE]],"MMM")</f>
        <v>Dec</v>
      </c>
      <c r="H720" s="85" t="str">
        <f>TEXT(Table7[[#This Row],[EXPIRY DATE]],"YYY")</f>
        <v>2027</v>
      </c>
      <c r="I720" s="84" t="s">
        <v>602</v>
      </c>
      <c r="J720" s="69"/>
    </row>
    <row r="721" spans="1:10" x14ac:dyDescent="0.3">
      <c r="A721" s="84">
        <v>720</v>
      </c>
      <c r="B721" s="84" t="s">
        <v>1530</v>
      </c>
      <c r="C721" s="92" t="s">
        <v>1286</v>
      </c>
      <c r="D721" s="119" t="s">
        <v>1531</v>
      </c>
      <c r="E721" s="93"/>
      <c r="F721" s="93">
        <v>46752</v>
      </c>
      <c r="G721" s="93" t="str">
        <f>TEXT(Table7[[#This Row],[EXPIRY DATE]],"MMM")</f>
        <v>Dec</v>
      </c>
      <c r="H721" s="93" t="str">
        <f>TEXT(Table7[[#This Row],[EXPIRY DATE]],"YYY")</f>
        <v>2027</v>
      </c>
      <c r="I721" s="92" t="s">
        <v>602</v>
      </c>
      <c r="J721" s="75"/>
    </row>
    <row r="722" spans="1:10" x14ac:dyDescent="0.3">
      <c r="A722" s="84">
        <v>721</v>
      </c>
      <c r="B722" s="84" t="s">
        <v>1532</v>
      </c>
      <c r="C722" s="84" t="s">
        <v>1286</v>
      </c>
      <c r="D722" s="115" t="s">
        <v>1533</v>
      </c>
      <c r="E722" s="85" t="s">
        <v>598</v>
      </c>
      <c r="F722" s="85">
        <v>46752</v>
      </c>
      <c r="G722" s="85" t="str">
        <f>TEXT(Table7[[#This Row],[EXPIRY DATE]],"MMM")</f>
        <v>Dec</v>
      </c>
      <c r="H722" s="85" t="str">
        <f>TEXT(Table7[[#This Row],[EXPIRY DATE]],"YYY")</f>
        <v>2027</v>
      </c>
      <c r="I722" s="84" t="s">
        <v>602</v>
      </c>
      <c r="J722" s="69"/>
    </row>
    <row r="723" spans="1:10" x14ac:dyDescent="0.3">
      <c r="A723" s="84">
        <v>722</v>
      </c>
      <c r="B723" s="84" t="s">
        <v>1534</v>
      </c>
      <c r="C723" s="84" t="s">
        <v>1286</v>
      </c>
      <c r="D723" s="115" t="s">
        <v>1535</v>
      </c>
      <c r="E723" s="85" t="s">
        <v>598</v>
      </c>
      <c r="F723" s="85">
        <v>46752</v>
      </c>
      <c r="G723" s="85" t="str">
        <f>TEXT(Table7[[#This Row],[EXPIRY DATE]],"MMM")</f>
        <v>Dec</v>
      </c>
      <c r="H723" s="85" t="str">
        <f>TEXT(Table7[[#This Row],[EXPIRY DATE]],"YYY")</f>
        <v>2027</v>
      </c>
      <c r="I723" s="84" t="s">
        <v>602</v>
      </c>
      <c r="J723" s="69"/>
    </row>
    <row r="724" spans="1:10" x14ac:dyDescent="0.3">
      <c r="A724" s="84">
        <v>723</v>
      </c>
      <c r="B724" s="84" t="s">
        <v>1420</v>
      </c>
      <c r="C724" s="84" t="s">
        <v>1286</v>
      </c>
      <c r="D724" s="115" t="s">
        <v>1421</v>
      </c>
      <c r="E724" s="85" t="s">
        <v>598</v>
      </c>
      <c r="F724" s="85">
        <v>46752</v>
      </c>
      <c r="G724" s="85" t="str">
        <f>TEXT(Table7[[#This Row],[EXPIRY DATE]],"MMM")</f>
        <v>Dec</v>
      </c>
      <c r="H724" s="85" t="str">
        <f>TEXT(Table7[[#This Row],[EXPIRY DATE]],"YYY")</f>
        <v>2027</v>
      </c>
      <c r="I724" s="84" t="s">
        <v>602</v>
      </c>
      <c r="J724" s="69"/>
    </row>
    <row r="725" spans="1:10" x14ac:dyDescent="0.3">
      <c r="A725" s="84">
        <v>724</v>
      </c>
      <c r="B725" s="80" t="s">
        <v>1424</v>
      </c>
      <c r="C725" s="84" t="s">
        <v>1286</v>
      </c>
      <c r="D725" s="115" t="s">
        <v>1425</v>
      </c>
      <c r="E725" s="85" t="s">
        <v>598</v>
      </c>
      <c r="F725" s="85">
        <v>46752</v>
      </c>
      <c r="G725" s="85" t="str">
        <f>TEXT(Table7[[#This Row],[EXPIRY DATE]],"MMM")</f>
        <v>Dec</v>
      </c>
      <c r="H725" s="85" t="str">
        <f>TEXT(Table7[[#This Row],[EXPIRY DATE]],"YYY")</f>
        <v>2027</v>
      </c>
      <c r="I725" s="84" t="s">
        <v>602</v>
      </c>
      <c r="J725" s="69"/>
    </row>
    <row r="726" spans="1:10" ht="30.6" x14ac:dyDescent="0.3">
      <c r="A726" s="84">
        <v>725</v>
      </c>
      <c r="B726" s="84" t="s">
        <v>1426</v>
      </c>
      <c r="C726" s="84" t="s">
        <v>1286</v>
      </c>
      <c r="D726" s="115" t="s">
        <v>1427</v>
      </c>
      <c r="E726" s="85" t="s">
        <v>598</v>
      </c>
      <c r="F726" s="85">
        <v>46752</v>
      </c>
      <c r="G726" s="85" t="str">
        <f>TEXT(Table7[[#This Row],[EXPIRY DATE]],"MMM")</f>
        <v>Dec</v>
      </c>
      <c r="H726" s="85" t="str">
        <f>TEXT(Table7[[#This Row],[EXPIRY DATE]],"YYY")</f>
        <v>2027</v>
      </c>
      <c r="I726" s="84" t="s">
        <v>602</v>
      </c>
      <c r="J726" s="69"/>
    </row>
    <row r="727" spans="1:10" x14ac:dyDescent="0.3">
      <c r="A727" s="84">
        <v>726</v>
      </c>
      <c r="B727" s="84" t="s">
        <v>1536</v>
      </c>
      <c r="C727" s="84" t="s">
        <v>1286</v>
      </c>
      <c r="D727" s="115" t="s">
        <v>1537</v>
      </c>
      <c r="E727" s="85" t="s">
        <v>590</v>
      </c>
      <c r="F727" s="85">
        <v>46752</v>
      </c>
      <c r="G727" s="85" t="str">
        <f>TEXT(Table7[[#This Row],[EXPIRY DATE]],"MMM")</f>
        <v>Dec</v>
      </c>
      <c r="H727" s="85" t="str">
        <f>TEXT(Table7[[#This Row],[EXPIRY DATE]],"YYY")</f>
        <v>2027</v>
      </c>
      <c r="I727" s="84" t="s">
        <v>602</v>
      </c>
      <c r="J727" s="69"/>
    </row>
    <row r="728" spans="1:10" x14ac:dyDescent="0.3">
      <c r="A728" s="84">
        <v>727</v>
      </c>
      <c r="B728" s="84">
        <v>111011005</v>
      </c>
      <c r="C728" s="84" t="s">
        <v>1286</v>
      </c>
      <c r="D728" s="115" t="s">
        <v>1538</v>
      </c>
      <c r="E728" s="85" t="s">
        <v>1340</v>
      </c>
      <c r="F728" s="85">
        <v>46752</v>
      </c>
      <c r="G728" s="85" t="str">
        <f>TEXT(Table7[[#This Row],[EXPIRY DATE]],"MMM")</f>
        <v>Dec</v>
      </c>
      <c r="H728" s="85" t="str">
        <f>TEXT(Table7[[#This Row],[EXPIRY DATE]],"YYY")</f>
        <v>2027</v>
      </c>
      <c r="I728" s="84" t="s">
        <v>602</v>
      </c>
      <c r="J728" s="69"/>
    </row>
    <row r="729" spans="1:10" x14ac:dyDescent="0.3">
      <c r="A729" s="84">
        <v>728</v>
      </c>
      <c r="B729" s="84">
        <v>111001535</v>
      </c>
      <c r="C729" s="84" t="s">
        <v>1286</v>
      </c>
      <c r="D729" s="115" t="s">
        <v>1433</v>
      </c>
      <c r="E729" s="85" t="s">
        <v>598</v>
      </c>
      <c r="F729" s="85">
        <v>46752</v>
      </c>
      <c r="G729" s="85" t="str">
        <f>TEXT(Table7[[#This Row],[EXPIRY DATE]],"MMM")</f>
        <v>Dec</v>
      </c>
      <c r="H729" s="85" t="str">
        <f>TEXT(Table7[[#This Row],[EXPIRY DATE]],"YYY")</f>
        <v>2027</v>
      </c>
      <c r="I729" s="84" t="s">
        <v>602</v>
      </c>
      <c r="J729" s="69"/>
    </row>
    <row r="730" spans="1:10" x14ac:dyDescent="0.3">
      <c r="A730" s="84">
        <v>729</v>
      </c>
      <c r="B730" s="84">
        <v>111001435</v>
      </c>
      <c r="C730" s="84" t="s">
        <v>1286</v>
      </c>
      <c r="D730" s="115" t="s">
        <v>1407</v>
      </c>
      <c r="E730" s="85" t="s">
        <v>598</v>
      </c>
      <c r="F730" s="85">
        <v>46752</v>
      </c>
      <c r="G730" s="85" t="str">
        <f>TEXT(Table7[[#This Row],[EXPIRY DATE]],"MMM")</f>
        <v>Dec</v>
      </c>
      <c r="H730" s="85" t="str">
        <f>TEXT(Table7[[#This Row],[EXPIRY DATE]],"YYY")</f>
        <v>2027</v>
      </c>
      <c r="I730" s="84" t="s">
        <v>602</v>
      </c>
      <c r="J730" s="69"/>
    </row>
    <row r="731" spans="1:10" x14ac:dyDescent="0.3">
      <c r="A731" s="84">
        <v>730</v>
      </c>
      <c r="B731" s="84">
        <v>111001388</v>
      </c>
      <c r="C731" s="84" t="s">
        <v>1286</v>
      </c>
      <c r="D731" s="115" t="s">
        <v>1434</v>
      </c>
      <c r="E731" s="85" t="s">
        <v>598</v>
      </c>
      <c r="F731" s="85">
        <v>46752</v>
      </c>
      <c r="G731" s="85" t="str">
        <f>TEXT(Table7[[#This Row],[EXPIRY DATE]],"MMM")</f>
        <v>Dec</v>
      </c>
      <c r="H731" s="85" t="str">
        <f>TEXT(Table7[[#This Row],[EXPIRY DATE]],"YYY")</f>
        <v>2027</v>
      </c>
      <c r="I731" s="84" t="s">
        <v>602</v>
      </c>
      <c r="J731" s="69"/>
    </row>
    <row r="732" spans="1:10" x14ac:dyDescent="0.3">
      <c r="A732" s="84">
        <v>731</v>
      </c>
      <c r="B732" s="84">
        <v>111001385</v>
      </c>
      <c r="C732" s="84" t="s">
        <v>1286</v>
      </c>
      <c r="D732" s="115" t="s">
        <v>1435</v>
      </c>
      <c r="E732" s="85" t="s">
        <v>598</v>
      </c>
      <c r="F732" s="85">
        <v>46752</v>
      </c>
      <c r="G732" s="85" t="str">
        <f>TEXT(Table7[[#This Row],[EXPIRY DATE]],"MMM")</f>
        <v>Dec</v>
      </c>
      <c r="H732" s="85" t="str">
        <f>TEXT(Table7[[#This Row],[EXPIRY DATE]],"YYY")</f>
        <v>2027</v>
      </c>
      <c r="I732" s="84" t="s">
        <v>602</v>
      </c>
      <c r="J732" s="69"/>
    </row>
    <row r="733" spans="1:10" ht="20.399999999999999" x14ac:dyDescent="0.3">
      <c r="A733" s="84">
        <v>732</v>
      </c>
      <c r="B733" s="84">
        <v>111001384</v>
      </c>
      <c r="C733" s="84" t="s">
        <v>1286</v>
      </c>
      <c r="D733" s="115" t="s">
        <v>1436</v>
      </c>
      <c r="E733" s="85" t="s">
        <v>598</v>
      </c>
      <c r="F733" s="85">
        <v>46752</v>
      </c>
      <c r="G733" s="85" t="str">
        <f>TEXT(Table7[[#This Row],[EXPIRY DATE]],"MMM")</f>
        <v>Dec</v>
      </c>
      <c r="H733" s="85" t="str">
        <f>TEXT(Table7[[#This Row],[EXPIRY DATE]],"YYY")</f>
        <v>2027</v>
      </c>
      <c r="I733" s="84" t="s">
        <v>602</v>
      </c>
      <c r="J733" s="69"/>
    </row>
    <row r="734" spans="1:10" x14ac:dyDescent="0.3">
      <c r="A734" s="84">
        <v>733</v>
      </c>
      <c r="B734" s="84">
        <v>111001369</v>
      </c>
      <c r="C734" s="84" t="s">
        <v>1286</v>
      </c>
      <c r="D734" s="115" t="s">
        <v>1437</v>
      </c>
      <c r="E734" s="85" t="s">
        <v>598</v>
      </c>
      <c r="F734" s="85">
        <v>46752</v>
      </c>
      <c r="G734" s="85" t="str">
        <f>TEXT(Table7[[#This Row],[EXPIRY DATE]],"MMM")</f>
        <v>Dec</v>
      </c>
      <c r="H734" s="85" t="str">
        <f>TEXT(Table7[[#This Row],[EXPIRY DATE]],"YYY")</f>
        <v>2027</v>
      </c>
      <c r="I734" s="84" t="s">
        <v>602</v>
      </c>
      <c r="J734" s="69"/>
    </row>
    <row r="735" spans="1:10" ht="20.399999999999999" x14ac:dyDescent="0.3">
      <c r="A735" s="84">
        <v>734</v>
      </c>
      <c r="B735" s="84">
        <v>111001362</v>
      </c>
      <c r="C735" s="84" t="s">
        <v>1286</v>
      </c>
      <c r="D735" s="115" t="s">
        <v>1438</v>
      </c>
      <c r="E735" s="85" t="s">
        <v>598</v>
      </c>
      <c r="F735" s="85">
        <v>46752</v>
      </c>
      <c r="G735" s="85" t="str">
        <f>TEXT(Table7[[#This Row],[EXPIRY DATE]],"MMM")</f>
        <v>Dec</v>
      </c>
      <c r="H735" s="85" t="str">
        <f>TEXT(Table7[[#This Row],[EXPIRY DATE]],"YYY")</f>
        <v>2027</v>
      </c>
      <c r="I735" s="84" t="s">
        <v>602</v>
      </c>
      <c r="J735" s="69"/>
    </row>
    <row r="736" spans="1:10" x14ac:dyDescent="0.3">
      <c r="A736" s="84">
        <v>735</v>
      </c>
      <c r="B736" s="84">
        <v>111001315</v>
      </c>
      <c r="C736" s="84" t="s">
        <v>1286</v>
      </c>
      <c r="D736" s="115" t="s">
        <v>1539</v>
      </c>
      <c r="E736" s="85" t="s">
        <v>598</v>
      </c>
      <c r="F736" s="85">
        <v>46752</v>
      </c>
      <c r="G736" s="85" t="str">
        <f>TEXT(Table7[[#This Row],[EXPIRY DATE]],"MMM")</f>
        <v>Dec</v>
      </c>
      <c r="H736" s="85" t="str">
        <f>TEXT(Table7[[#This Row],[EXPIRY DATE]],"YYY")</f>
        <v>2027</v>
      </c>
      <c r="I736" s="84" t="s">
        <v>602</v>
      </c>
      <c r="J736" s="69"/>
    </row>
    <row r="737" spans="1:10" ht="30.6" x14ac:dyDescent="0.3">
      <c r="A737" s="84">
        <v>736</v>
      </c>
      <c r="B737" s="84">
        <v>111001241</v>
      </c>
      <c r="C737" s="84" t="s">
        <v>1286</v>
      </c>
      <c r="D737" s="115" t="s">
        <v>1540</v>
      </c>
      <c r="E737" s="85" t="s">
        <v>598</v>
      </c>
      <c r="F737" s="85">
        <v>46752</v>
      </c>
      <c r="G737" s="85" t="str">
        <f>TEXT(Table7[[#This Row],[EXPIRY DATE]],"MMM")</f>
        <v>Dec</v>
      </c>
      <c r="H737" s="85" t="str">
        <f>TEXT(Table7[[#This Row],[EXPIRY DATE]],"YYY")</f>
        <v>2027</v>
      </c>
      <c r="I737" s="84" t="s">
        <v>602</v>
      </c>
      <c r="J737" s="69"/>
    </row>
    <row r="738" spans="1:10" ht="30.6" x14ac:dyDescent="0.3">
      <c r="A738" s="84">
        <v>737</v>
      </c>
      <c r="B738" s="84">
        <v>111001178</v>
      </c>
      <c r="C738" s="84" t="s">
        <v>1286</v>
      </c>
      <c r="D738" s="115" t="s">
        <v>1541</v>
      </c>
      <c r="E738" s="85" t="s">
        <v>598</v>
      </c>
      <c r="F738" s="85">
        <v>46752</v>
      </c>
      <c r="G738" s="85" t="str">
        <f>TEXT(Table7[[#This Row],[EXPIRY DATE]],"MMM")</f>
        <v>Dec</v>
      </c>
      <c r="H738" s="85" t="str">
        <f>TEXT(Table7[[#This Row],[EXPIRY DATE]],"YYY")</f>
        <v>2027</v>
      </c>
      <c r="I738" s="84" t="s">
        <v>602</v>
      </c>
      <c r="J738" s="69"/>
    </row>
    <row r="739" spans="1:10" ht="20.399999999999999" x14ac:dyDescent="0.3">
      <c r="A739" s="84">
        <v>738</v>
      </c>
      <c r="B739" s="84">
        <v>111001151</v>
      </c>
      <c r="C739" s="84" t="s">
        <v>1286</v>
      </c>
      <c r="D739" s="115" t="s">
        <v>1445</v>
      </c>
      <c r="E739" s="85" t="s">
        <v>598</v>
      </c>
      <c r="F739" s="85">
        <v>46752</v>
      </c>
      <c r="G739" s="85" t="str">
        <f>TEXT(Table7[[#This Row],[EXPIRY DATE]],"MMM")</f>
        <v>Dec</v>
      </c>
      <c r="H739" s="85" t="str">
        <f>TEXT(Table7[[#This Row],[EXPIRY DATE]],"YYY")</f>
        <v>2027</v>
      </c>
      <c r="I739" s="84" t="s">
        <v>602</v>
      </c>
      <c r="J739" s="69"/>
    </row>
    <row r="740" spans="1:10" x14ac:dyDescent="0.3">
      <c r="A740" s="84">
        <v>739</v>
      </c>
      <c r="B740" s="84">
        <v>111001130</v>
      </c>
      <c r="C740" s="84" t="s">
        <v>1286</v>
      </c>
      <c r="D740" s="115" t="s">
        <v>1446</v>
      </c>
      <c r="E740" s="85" t="s">
        <v>598</v>
      </c>
      <c r="F740" s="85">
        <v>46752</v>
      </c>
      <c r="G740" s="85" t="str">
        <f>TEXT(Table7[[#This Row],[EXPIRY DATE]],"MMM")</f>
        <v>Dec</v>
      </c>
      <c r="H740" s="85" t="str">
        <f>TEXT(Table7[[#This Row],[EXPIRY DATE]],"YYY")</f>
        <v>2027</v>
      </c>
      <c r="I740" s="84" t="s">
        <v>602</v>
      </c>
      <c r="J740" s="69"/>
    </row>
    <row r="741" spans="1:10" ht="20.399999999999999" x14ac:dyDescent="0.3">
      <c r="A741" s="84">
        <v>740</v>
      </c>
      <c r="B741" s="84">
        <v>111001080</v>
      </c>
      <c r="C741" s="84" t="s">
        <v>1286</v>
      </c>
      <c r="D741" s="115" t="s">
        <v>1542</v>
      </c>
      <c r="E741" s="85" t="s">
        <v>598</v>
      </c>
      <c r="F741" s="85">
        <v>46752</v>
      </c>
      <c r="G741" s="85" t="str">
        <f>TEXT(Table7[[#This Row],[EXPIRY DATE]],"MMM")</f>
        <v>Dec</v>
      </c>
      <c r="H741" s="85" t="str">
        <f>TEXT(Table7[[#This Row],[EXPIRY DATE]],"YYY")</f>
        <v>2027</v>
      </c>
      <c r="I741" s="84" t="s">
        <v>602</v>
      </c>
      <c r="J741" s="69"/>
    </row>
    <row r="742" spans="1:10" x14ac:dyDescent="0.3">
      <c r="A742" s="84">
        <v>741</v>
      </c>
      <c r="B742" s="84"/>
      <c r="C742" s="84" t="s">
        <v>1286</v>
      </c>
      <c r="D742" s="115" t="s">
        <v>1543</v>
      </c>
      <c r="E742" s="85" t="s">
        <v>758</v>
      </c>
      <c r="F742" s="85">
        <v>46752</v>
      </c>
      <c r="G742" s="85" t="str">
        <f>TEXT(Table7[[#This Row],[EXPIRY DATE]],"MMM")</f>
        <v>Dec</v>
      </c>
      <c r="H742" s="85" t="str">
        <f>TEXT(Table7[[#This Row],[EXPIRY DATE]],"YYY")</f>
        <v>2027</v>
      </c>
      <c r="I742" s="84" t="s">
        <v>602</v>
      </c>
      <c r="J742" s="69"/>
    </row>
    <row r="743" spans="1:10" x14ac:dyDescent="0.3">
      <c r="A743" s="84">
        <v>742</v>
      </c>
      <c r="B743" s="84" t="s">
        <v>1422</v>
      </c>
      <c r="C743" s="84" t="s">
        <v>1286</v>
      </c>
      <c r="D743" s="115" t="s">
        <v>1423</v>
      </c>
      <c r="E743" s="85" t="s">
        <v>590</v>
      </c>
      <c r="F743" s="85">
        <v>47118</v>
      </c>
      <c r="G743" s="85" t="str">
        <f>TEXT(Table7[[#This Row],[EXPIRY DATE]],"MMM")</f>
        <v>Dec</v>
      </c>
      <c r="H743" s="85" t="str">
        <f>TEXT(Table7[[#This Row],[EXPIRY DATE]],"YYY")</f>
        <v>2028</v>
      </c>
      <c r="I743" s="84" t="s">
        <v>602</v>
      </c>
      <c r="J743" s="69"/>
    </row>
    <row r="744" spans="1:10" x14ac:dyDescent="0.3">
      <c r="A744" s="84">
        <v>743</v>
      </c>
      <c r="B744" s="84" t="s">
        <v>1428</v>
      </c>
      <c r="C744" s="84" t="s">
        <v>1286</v>
      </c>
      <c r="D744" s="115" t="s">
        <v>1429</v>
      </c>
      <c r="E744" s="85" t="s">
        <v>598</v>
      </c>
      <c r="F744" s="85">
        <v>47118</v>
      </c>
      <c r="G744" s="85" t="str">
        <f>TEXT(Table7[[#This Row],[EXPIRY DATE]],"MMM")</f>
        <v>Dec</v>
      </c>
      <c r="H744" s="85" t="str">
        <f>TEXT(Table7[[#This Row],[EXPIRY DATE]],"YYY")</f>
        <v>2028</v>
      </c>
      <c r="I744" s="84" t="s">
        <v>602</v>
      </c>
      <c r="J744" s="69"/>
    </row>
    <row r="745" spans="1:10" x14ac:dyDescent="0.3">
      <c r="A745" s="84">
        <v>744</v>
      </c>
      <c r="B745" s="84">
        <v>111001300</v>
      </c>
      <c r="C745" s="84" t="s">
        <v>1286</v>
      </c>
      <c r="D745" s="115" t="s">
        <v>1440</v>
      </c>
      <c r="E745" s="85" t="s">
        <v>598</v>
      </c>
      <c r="F745" s="85">
        <v>47118</v>
      </c>
      <c r="G745" s="85" t="str">
        <f>TEXT(Table7[[#This Row],[EXPIRY DATE]],"MMM")</f>
        <v>Dec</v>
      </c>
      <c r="H745" s="85" t="str">
        <f>TEXT(Table7[[#This Row],[EXPIRY DATE]],"YYY")</f>
        <v>2028</v>
      </c>
      <c r="I745" s="84" t="s">
        <v>602</v>
      </c>
      <c r="J745" s="69"/>
    </row>
    <row r="746" spans="1:10" x14ac:dyDescent="0.3">
      <c r="A746" s="84">
        <v>745</v>
      </c>
      <c r="B746" s="84">
        <v>111001289</v>
      </c>
      <c r="C746" s="84" t="s">
        <v>1286</v>
      </c>
      <c r="D746" s="115" t="s">
        <v>1441</v>
      </c>
      <c r="E746" s="85" t="s">
        <v>598</v>
      </c>
      <c r="F746" s="85">
        <v>47118</v>
      </c>
      <c r="G746" s="85" t="str">
        <f>TEXT(Table7[[#This Row],[EXPIRY DATE]],"MMM")</f>
        <v>Dec</v>
      </c>
      <c r="H746" s="85" t="str">
        <f>TEXT(Table7[[#This Row],[EXPIRY DATE]],"YYY")</f>
        <v>2028</v>
      </c>
      <c r="I746" s="84" t="s">
        <v>602</v>
      </c>
      <c r="J746" s="69"/>
    </row>
    <row r="747" spans="1:10" x14ac:dyDescent="0.3">
      <c r="A747" s="84">
        <v>746</v>
      </c>
      <c r="B747" s="84" t="s">
        <v>1410</v>
      </c>
      <c r="C747" s="84" t="s">
        <v>1286</v>
      </c>
      <c r="D747" s="115" t="s">
        <v>1411</v>
      </c>
      <c r="E747" s="85" t="s">
        <v>605</v>
      </c>
      <c r="F747" s="85">
        <v>47208</v>
      </c>
      <c r="G747" s="85" t="s">
        <v>625</v>
      </c>
      <c r="H747" s="85" t="str">
        <f>TEXT(Table7[[#This Row],[EXPIRY DATE]],"YYY")</f>
        <v>2029</v>
      </c>
      <c r="I747" s="84" t="s">
        <v>602</v>
      </c>
      <c r="J747" s="69"/>
    </row>
    <row r="748" spans="1:10" ht="30.6" x14ac:dyDescent="0.3">
      <c r="A748" s="84">
        <v>747</v>
      </c>
      <c r="B748" s="84" t="s">
        <v>1544</v>
      </c>
      <c r="C748" s="84" t="s">
        <v>1286</v>
      </c>
      <c r="D748" s="115" t="s">
        <v>1545</v>
      </c>
      <c r="E748" s="85"/>
      <c r="F748" s="85">
        <v>47267</v>
      </c>
      <c r="G748" s="85" t="str">
        <f>TEXT(Table7[[#This Row],[EXPIRY DATE]],"MMM")</f>
        <v>May</v>
      </c>
      <c r="H748" s="85" t="str">
        <f>TEXT(Table7[[#This Row],[EXPIRY DATE]],"YYY")</f>
        <v>2029</v>
      </c>
      <c r="I748" s="85" t="s">
        <v>791</v>
      </c>
      <c r="J748" s="69"/>
    </row>
    <row r="749" spans="1:10" x14ac:dyDescent="0.3">
      <c r="A749" s="84">
        <v>748</v>
      </c>
      <c r="B749" s="84" t="s">
        <v>1412</v>
      </c>
      <c r="C749" s="84" t="s">
        <v>1286</v>
      </c>
      <c r="D749" s="115" t="s">
        <v>1413</v>
      </c>
      <c r="E749" s="85" t="s">
        <v>598</v>
      </c>
      <c r="F749" s="85">
        <v>47483</v>
      </c>
      <c r="G749" s="85" t="str">
        <f>TEXT(Table7[[#This Row],[EXPIRY DATE]],"MMM")</f>
        <v>Dec</v>
      </c>
      <c r="H749" s="85" t="str">
        <f>TEXT(Table7[[#This Row],[EXPIRY DATE]],"YYY")</f>
        <v>2029</v>
      </c>
      <c r="I749" s="84" t="s">
        <v>602</v>
      </c>
      <c r="J749" s="69"/>
    </row>
    <row r="750" spans="1:10" x14ac:dyDescent="0.3">
      <c r="A750" s="84">
        <v>749</v>
      </c>
      <c r="B750" s="84" t="s">
        <v>1414</v>
      </c>
      <c r="C750" s="84" t="s">
        <v>1286</v>
      </c>
      <c r="D750" s="115" t="s">
        <v>1415</v>
      </c>
      <c r="E750" s="85" t="s">
        <v>598</v>
      </c>
      <c r="F750" s="85">
        <v>47483</v>
      </c>
      <c r="G750" s="85" t="str">
        <f>TEXT(Table7[[#This Row],[EXPIRY DATE]],"MMM")</f>
        <v>Dec</v>
      </c>
      <c r="H750" s="85" t="str">
        <f>TEXT(Table7[[#This Row],[EXPIRY DATE]],"YYY")</f>
        <v>2029</v>
      </c>
      <c r="I750" s="84" t="s">
        <v>602</v>
      </c>
      <c r="J750" s="69"/>
    </row>
    <row r="751" spans="1:10" ht="30.6" x14ac:dyDescent="0.3">
      <c r="A751" s="84">
        <v>750</v>
      </c>
      <c r="B751" s="84" t="s">
        <v>1546</v>
      </c>
      <c r="C751" s="84" t="s">
        <v>1286</v>
      </c>
      <c r="D751" s="115" t="s">
        <v>1547</v>
      </c>
      <c r="E751" s="85" t="s">
        <v>605</v>
      </c>
      <c r="F751" s="85">
        <v>47483</v>
      </c>
      <c r="G751" s="85" t="s">
        <v>625</v>
      </c>
      <c r="H751" s="85" t="str">
        <f>TEXT(Table7[[#This Row],[EXPIRY DATE]],"YYY")</f>
        <v>2029</v>
      </c>
      <c r="I751" s="84" t="s">
        <v>602</v>
      </c>
      <c r="J751" s="69"/>
    </row>
    <row r="752" spans="1:10" x14ac:dyDescent="0.3">
      <c r="A752" s="84">
        <v>751</v>
      </c>
      <c r="B752" s="84" t="s">
        <v>1416</v>
      </c>
      <c r="C752" s="84" t="s">
        <v>1286</v>
      </c>
      <c r="D752" s="115" t="s">
        <v>1417</v>
      </c>
      <c r="E752" s="85" t="s">
        <v>598</v>
      </c>
      <c r="F752" s="85">
        <v>47483</v>
      </c>
      <c r="G752" s="85" t="str">
        <f>TEXT(Table7[[#This Row],[EXPIRY DATE]],"MMM")</f>
        <v>Dec</v>
      </c>
      <c r="H752" s="85" t="str">
        <f>TEXT(Table7[[#This Row],[EXPIRY DATE]],"YYY")</f>
        <v>2029</v>
      </c>
      <c r="I752" s="84" t="s">
        <v>602</v>
      </c>
      <c r="J752" s="69"/>
    </row>
    <row r="753" spans="1:10" ht="30.6" x14ac:dyDescent="0.3">
      <c r="A753" s="84">
        <v>752</v>
      </c>
      <c r="B753" s="84" t="s">
        <v>1548</v>
      </c>
      <c r="C753" s="84" t="s">
        <v>1286</v>
      </c>
      <c r="D753" s="115" t="s">
        <v>1549</v>
      </c>
      <c r="E753" s="85" t="s">
        <v>605</v>
      </c>
      <c r="F753" s="85">
        <v>47483</v>
      </c>
      <c r="G753" s="85" t="s">
        <v>625</v>
      </c>
      <c r="H753" s="85" t="str">
        <f>TEXT(Table7[[#This Row],[EXPIRY DATE]],"YYY")</f>
        <v>2029</v>
      </c>
      <c r="I753" s="84" t="s">
        <v>602</v>
      </c>
      <c r="J753" s="69"/>
    </row>
    <row r="754" spans="1:10" x14ac:dyDescent="0.3">
      <c r="A754" s="84">
        <v>753</v>
      </c>
      <c r="B754" s="84" t="s">
        <v>1430</v>
      </c>
      <c r="C754" s="84" t="s">
        <v>1286</v>
      </c>
      <c r="D754" s="115" t="s">
        <v>1431</v>
      </c>
      <c r="E754" s="85" t="s">
        <v>598</v>
      </c>
      <c r="F754" s="85">
        <v>47483</v>
      </c>
      <c r="G754" s="85" t="str">
        <f>TEXT(Table7[[#This Row],[EXPIRY DATE]],"MMM")</f>
        <v>Dec</v>
      </c>
      <c r="H754" s="85" t="str">
        <f>TEXT(Table7[[#This Row],[EXPIRY DATE]],"YYY")</f>
        <v>2029</v>
      </c>
      <c r="I754" s="84" t="s">
        <v>602</v>
      </c>
      <c r="J754" s="69"/>
    </row>
    <row r="755" spans="1:10" x14ac:dyDescent="0.3">
      <c r="A755" s="84">
        <v>754</v>
      </c>
      <c r="B755" s="84" t="s">
        <v>1550</v>
      </c>
      <c r="C755" s="92" t="s">
        <v>1286</v>
      </c>
      <c r="D755" s="119" t="s">
        <v>1551</v>
      </c>
      <c r="E755" s="93" t="s">
        <v>613</v>
      </c>
      <c r="F755" s="93" t="s">
        <v>766</v>
      </c>
      <c r="G755" s="93" t="str">
        <f>TEXT(Table7[[#This Row],[EXPIRY DATE]],"MMM")</f>
        <v>CLOSED</v>
      </c>
      <c r="H755" s="93" t="str">
        <f>TEXT(Table7[[#This Row],[EXPIRY DATE]],"YYY")</f>
        <v>CLOSED</v>
      </c>
      <c r="I755" s="93" t="s">
        <v>791</v>
      </c>
      <c r="J755" s="75"/>
    </row>
    <row r="756" spans="1:10" x14ac:dyDescent="0.3">
      <c r="A756" s="84">
        <v>755</v>
      </c>
      <c r="B756" s="84" t="s">
        <v>1552</v>
      </c>
      <c r="C756" s="92" t="s">
        <v>1286</v>
      </c>
      <c r="D756" s="119" t="s">
        <v>1553</v>
      </c>
      <c r="E756" s="93" t="s">
        <v>1096</v>
      </c>
      <c r="F756" s="93" t="s">
        <v>766</v>
      </c>
      <c r="G756" s="93" t="str">
        <f>TEXT(Table7[[#This Row],[EXPIRY DATE]],"MMM")</f>
        <v>CLOSED</v>
      </c>
      <c r="H756" s="93" t="str">
        <f>TEXT(Table7[[#This Row],[EXPIRY DATE]],"YYY")</f>
        <v>CLOSED</v>
      </c>
      <c r="I756" s="93" t="s">
        <v>791</v>
      </c>
      <c r="J756" s="75"/>
    </row>
    <row r="757" spans="1:10" x14ac:dyDescent="0.3">
      <c r="A757" s="84">
        <v>756</v>
      </c>
      <c r="B757" s="84" t="s">
        <v>1554</v>
      </c>
      <c r="C757" s="84" t="s">
        <v>1286</v>
      </c>
      <c r="D757" s="115" t="s">
        <v>1555</v>
      </c>
      <c r="E757" s="85"/>
      <c r="F757" s="85" t="s">
        <v>81</v>
      </c>
      <c r="G757" s="85" t="str">
        <f>TEXT(Table7[[#This Row],[EXPIRY DATE]],"MMM")</f>
        <v>NA</v>
      </c>
      <c r="H757" s="85" t="str">
        <f>TEXT(Table7[[#This Row],[EXPIRY DATE]],"YYY")</f>
        <v>NA</v>
      </c>
      <c r="I757" s="85" t="s">
        <v>791</v>
      </c>
      <c r="J757" s="69"/>
    </row>
    <row r="758" spans="1:10" x14ac:dyDescent="0.3">
      <c r="A758" s="84">
        <v>757</v>
      </c>
      <c r="B758" s="84" t="s">
        <v>1394</v>
      </c>
      <c r="C758" s="84" t="s">
        <v>1286</v>
      </c>
      <c r="D758" s="115" t="s">
        <v>1395</v>
      </c>
      <c r="E758" s="85" t="s">
        <v>692</v>
      </c>
      <c r="F758" s="84" t="s">
        <v>81</v>
      </c>
      <c r="G758" s="85" t="str">
        <f>TEXT(Table7[[#This Row],[EXPIRY DATE]],"MMM")</f>
        <v>NA</v>
      </c>
      <c r="H758" s="85" t="str">
        <f>TEXT(Table7[[#This Row],[EXPIRY DATE]],"YYY")</f>
        <v>NA</v>
      </c>
      <c r="I758" s="84" t="s">
        <v>791</v>
      </c>
      <c r="J758" s="69"/>
    </row>
    <row r="759" spans="1:10" x14ac:dyDescent="0.3">
      <c r="A759" s="84">
        <v>758</v>
      </c>
      <c r="B759" s="84" t="s">
        <v>1530</v>
      </c>
      <c r="C759" s="92" t="s">
        <v>1286</v>
      </c>
      <c r="D759" s="119" t="s">
        <v>1531</v>
      </c>
      <c r="E759" s="93" t="s">
        <v>598</v>
      </c>
      <c r="F759" s="93" t="s">
        <v>766</v>
      </c>
      <c r="G759" s="93" t="str">
        <f>TEXT(Table7[[#This Row],[EXPIRY DATE]],"MMM")</f>
        <v>CLOSED</v>
      </c>
      <c r="H759" s="93" t="str">
        <f>TEXT(Table7[[#This Row],[EXPIRY DATE]],"YYY")</f>
        <v>CLOSED</v>
      </c>
      <c r="I759" s="92" t="s">
        <v>607</v>
      </c>
      <c r="J759" s="75"/>
    </row>
    <row r="760" spans="1:10" x14ac:dyDescent="0.3">
      <c r="A760" s="84">
        <v>759</v>
      </c>
      <c r="B760" s="84">
        <v>111001184</v>
      </c>
      <c r="C760" s="84" t="s">
        <v>1286</v>
      </c>
      <c r="D760" s="115" t="s">
        <v>1444</v>
      </c>
      <c r="E760" s="85" t="s">
        <v>598</v>
      </c>
      <c r="F760" s="85" t="s">
        <v>81</v>
      </c>
      <c r="G760" s="85" t="str">
        <f>TEXT(Table7[[#This Row],[EXPIRY DATE]],"MMM")</f>
        <v>NA</v>
      </c>
      <c r="H760" s="85" t="str">
        <f>TEXT(Table7[[#This Row],[EXPIRY DATE]],"YYY")</f>
        <v>NA</v>
      </c>
      <c r="I760" s="84" t="s">
        <v>602</v>
      </c>
      <c r="J760" s="69"/>
    </row>
    <row r="761" spans="1:10" x14ac:dyDescent="0.3">
      <c r="A761" s="84">
        <v>760</v>
      </c>
      <c r="B761" s="84"/>
      <c r="C761" s="84" t="s">
        <v>1286</v>
      </c>
      <c r="D761" s="115" t="s">
        <v>1543</v>
      </c>
      <c r="E761" s="85" t="s">
        <v>758</v>
      </c>
      <c r="F761" s="85" t="s">
        <v>81</v>
      </c>
      <c r="G761" s="85" t="str">
        <f>TEXT(Table7[[#This Row],[EXPIRY DATE]],"MMM")</f>
        <v>NA</v>
      </c>
      <c r="H761" s="85" t="str">
        <f>TEXT(Table7[[#This Row],[EXPIRY DATE]],"YYY")</f>
        <v>NA</v>
      </c>
      <c r="I761" s="85" t="s">
        <v>791</v>
      </c>
      <c r="J761" s="69"/>
    </row>
    <row r="762" spans="1:10" x14ac:dyDescent="0.3">
      <c r="A762" s="84">
        <v>761</v>
      </c>
      <c r="B762" s="84" t="s">
        <v>1556</v>
      </c>
      <c r="C762" s="84" t="s">
        <v>1557</v>
      </c>
      <c r="D762" s="115" t="s">
        <v>1558</v>
      </c>
      <c r="E762" s="85" t="s">
        <v>605</v>
      </c>
      <c r="F762" s="85">
        <v>45987</v>
      </c>
      <c r="G762" s="85" t="s">
        <v>842</v>
      </c>
      <c r="H762" s="85" t="str">
        <f>TEXT(Table7[[#This Row],[EXPIRY DATE]],"YYY")</f>
        <v>2025</v>
      </c>
      <c r="I762" s="84" t="s">
        <v>791</v>
      </c>
      <c r="J762" s="69"/>
    </row>
    <row r="763" spans="1:10" x14ac:dyDescent="0.3">
      <c r="A763" s="84">
        <v>762</v>
      </c>
      <c r="B763" s="84" t="s">
        <v>1559</v>
      </c>
      <c r="C763" s="84" t="s">
        <v>1557</v>
      </c>
      <c r="D763" s="115" t="s">
        <v>1560</v>
      </c>
      <c r="E763" s="85" t="s">
        <v>590</v>
      </c>
      <c r="F763" s="85">
        <v>46002</v>
      </c>
      <c r="G763" s="85" t="str">
        <f>TEXT(Table7[[#This Row],[EXPIRY DATE]],"MMM")</f>
        <v>Dec</v>
      </c>
      <c r="H763" s="85" t="str">
        <f>TEXT(Table7[[#This Row],[EXPIRY DATE]],"YYY")</f>
        <v>2025</v>
      </c>
      <c r="I763" s="84" t="s">
        <v>791</v>
      </c>
      <c r="J763" s="69"/>
    </row>
    <row r="764" spans="1:10" ht="20.399999999999999" x14ac:dyDescent="0.3">
      <c r="A764" s="84">
        <v>763</v>
      </c>
      <c r="B764" s="84" t="s">
        <v>1561</v>
      </c>
      <c r="C764" s="84" t="s">
        <v>1557</v>
      </c>
      <c r="D764" s="115" t="s">
        <v>1562</v>
      </c>
      <c r="E764" s="85" t="s">
        <v>925</v>
      </c>
      <c r="F764" s="85">
        <v>46045</v>
      </c>
      <c r="G764" s="85" t="str">
        <f>TEXT(Table7[[#This Row],[EXPIRY DATE]],"MMM")</f>
        <v>Jan</v>
      </c>
      <c r="H764" s="85" t="str">
        <f>TEXT(Table7[[#This Row],[EXPIRY DATE]],"YYY")</f>
        <v>2026</v>
      </c>
      <c r="I764" s="85" t="s">
        <v>791</v>
      </c>
      <c r="J764" s="69"/>
    </row>
    <row r="765" spans="1:10" x14ac:dyDescent="0.3">
      <c r="A765" s="84">
        <v>764</v>
      </c>
      <c r="B765" s="84" t="s">
        <v>1563</v>
      </c>
      <c r="C765" s="84" t="s">
        <v>1557</v>
      </c>
      <c r="D765" s="115" t="s">
        <v>1564</v>
      </c>
      <c r="E765" s="85" t="s">
        <v>1565</v>
      </c>
      <c r="F765" s="85">
        <v>46045</v>
      </c>
      <c r="G765" s="85" t="str">
        <f>TEXT(Table7[[#This Row],[EXPIRY DATE]],"MMM")</f>
        <v>Jan</v>
      </c>
      <c r="H765" s="85" t="str">
        <f>TEXT(Table7[[#This Row],[EXPIRY DATE]],"YYY")</f>
        <v>2026</v>
      </c>
      <c r="I765" s="84" t="s">
        <v>791</v>
      </c>
      <c r="J765" s="69"/>
    </row>
    <row r="766" spans="1:10" x14ac:dyDescent="0.3">
      <c r="A766" s="84">
        <v>765</v>
      </c>
      <c r="B766" s="84" t="s">
        <v>1566</v>
      </c>
      <c r="C766" s="84" t="s">
        <v>1557</v>
      </c>
      <c r="D766" s="115" t="s">
        <v>1567</v>
      </c>
      <c r="E766" s="85" t="s">
        <v>1568</v>
      </c>
      <c r="F766" s="85">
        <v>46052</v>
      </c>
      <c r="G766" s="85" t="str">
        <f>TEXT(Table7[[#This Row],[EXPIRY DATE]],"MMM")</f>
        <v>Jan</v>
      </c>
      <c r="H766" s="85" t="str">
        <f>TEXT(Table7[[#This Row],[EXPIRY DATE]],"YYY")</f>
        <v>2026</v>
      </c>
      <c r="I766" s="85" t="s">
        <v>791</v>
      </c>
      <c r="J766" s="69"/>
    </row>
    <row r="767" spans="1:10" ht="40.799999999999997" x14ac:dyDescent="0.3">
      <c r="A767" s="84">
        <v>766</v>
      </c>
      <c r="B767" s="84" t="s">
        <v>1569</v>
      </c>
      <c r="C767" s="84" t="s">
        <v>1557</v>
      </c>
      <c r="D767" s="115" t="s">
        <v>1570</v>
      </c>
      <c r="E767" s="85" t="s">
        <v>1302</v>
      </c>
      <c r="F767" s="85">
        <v>46075</v>
      </c>
      <c r="G767" s="85" t="str">
        <f>TEXT(Table7[[#This Row],[EXPIRY DATE]],"MMM")</f>
        <v>Feb</v>
      </c>
      <c r="H767" s="85" t="str">
        <f>TEXT(Table7[[#This Row],[EXPIRY DATE]],"YYY")</f>
        <v>2026</v>
      </c>
      <c r="I767" s="85" t="s">
        <v>791</v>
      </c>
      <c r="J767" s="69"/>
    </row>
    <row r="768" spans="1:10" x14ac:dyDescent="0.3">
      <c r="A768" s="84">
        <v>767</v>
      </c>
      <c r="B768" s="84" t="s">
        <v>1571</v>
      </c>
      <c r="C768" s="84" t="s">
        <v>1557</v>
      </c>
      <c r="D768" s="115" t="s">
        <v>1572</v>
      </c>
      <c r="E768" s="85" t="s">
        <v>1565</v>
      </c>
      <c r="F768" s="85">
        <v>46147</v>
      </c>
      <c r="G768" s="85" t="str">
        <f>TEXT(Table7[[#This Row],[EXPIRY DATE]],"MMM")</f>
        <v>May</v>
      </c>
      <c r="H768" s="85" t="str">
        <f>TEXT(Table7[[#This Row],[EXPIRY DATE]],"YYY")</f>
        <v>2026</v>
      </c>
      <c r="I768" s="85" t="s">
        <v>791</v>
      </c>
      <c r="J768" s="69"/>
    </row>
    <row r="769" spans="1:10" ht="20.399999999999999" x14ac:dyDescent="0.3">
      <c r="A769" s="84">
        <v>768</v>
      </c>
      <c r="B769" s="84" t="s">
        <v>1573</v>
      </c>
      <c r="C769" s="84" t="s">
        <v>1557</v>
      </c>
      <c r="D769" s="115" t="s">
        <v>1574</v>
      </c>
      <c r="E769" s="85" t="s">
        <v>601</v>
      </c>
      <c r="F769" s="85">
        <v>46264</v>
      </c>
      <c r="G769" s="85" t="str">
        <f>TEXT(Table7[[#This Row],[EXPIRY DATE]],"MMM")</f>
        <v>Aug</v>
      </c>
      <c r="H769" s="85" t="str">
        <f>TEXT(Table7[[#This Row],[EXPIRY DATE]],"YYY")</f>
        <v>2026</v>
      </c>
      <c r="I769" s="85" t="s">
        <v>791</v>
      </c>
      <c r="J769" s="69"/>
    </row>
    <row r="770" spans="1:10" ht="20.399999999999999" x14ac:dyDescent="0.3">
      <c r="A770" s="84">
        <v>769</v>
      </c>
      <c r="B770" s="84" t="s">
        <v>1575</v>
      </c>
      <c r="C770" s="84" t="s">
        <v>1557</v>
      </c>
      <c r="D770" s="115" t="s">
        <v>1576</v>
      </c>
      <c r="E770" s="85" t="s">
        <v>1577</v>
      </c>
      <c r="F770" s="85">
        <v>46279</v>
      </c>
      <c r="G770" s="85" t="str">
        <f>TEXT(Table7[[#This Row],[EXPIRY DATE]],"MMM")</f>
        <v>Sep</v>
      </c>
      <c r="H770" s="85" t="str">
        <f>TEXT(Table7[[#This Row],[EXPIRY DATE]],"YYY")</f>
        <v>2026</v>
      </c>
      <c r="I770" s="85" t="s">
        <v>791</v>
      </c>
      <c r="J770" s="69"/>
    </row>
    <row r="771" spans="1:10" ht="20.399999999999999" x14ac:dyDescent="0.3">
      <c r="A771" s="84">
        <v>770</v>
      </c>
      <c r="B771" s="84" t="s">
        <v>1578</v>
      </c>
      <c r="C771" s="84" t="s">
        <v>1557</v>
      </c>
      <c r="D771" s="115" t="s">
        <v>1579</v>
      </c>
      <c r="E771" s="85" t="s">
        <v>1225</v>
      </c>
      <c r="F771" s="85">
        <v>46280</v>
      </c>
      <c r="G771" s="85" t="str">
        <f>TEXT(Table7[[#This Row],[EXPIRY DATE]],"MMM")</f>
        <v>Sep</v>
      </c>
      <c r="H771" s="85" t="str">
        <f>TEXT(Table7[[#This Row],[EXPIRY DATE]],"YYY")</f>
        <v>2026</v>
      </c>
      <c r="I771" s="85" t="s">
        <v>791</v>
      </c>
      <c r="J771" s="69"/>
    </row>
    <row r="772" spans="1:10" ht="20.399999999999999" x14ac:dyDescent="0.3">
      <c r="A772" s="84">
        <v>771</v>
      </c>
      <c r="B772" s="84" t="s">
        <v>1580</v>
      </c>
      <c r="C772" s="84" t="s">
        <v>1557</v>
      </c>
      <c r="D772" s="115" t="s">
        <v>1581</v>
      </c>
      <c r="E772" s="85" t="s">
        <v>925</v>
      </c>
      <c r="F772" s="85">
        <v>46309</v>
      </c>
      <c r="G772" s="85" t="s">
        <v>901</v>
      </c>
      <c r="H772" s="85" t="str">
        <f>TEXT(Table7[[#This Row],[EXPIRY DATE]],"YYY")</f>
        <v>2026</v>
      </c>
      <c r="I772" s="84" t="s">
        <v>791</v>
      </c>
      <c r="J772" s="69"/>
    </row>
    <row r="773" spans="1:10" x14ac:dyDescent="0.3">
      <c r="A773" s="84">
        <v>772</v>
      </c>
      <c r="B773" s="84" t="s">
        <v>1582</v>
      </c>
      <c r="C773" s="84" t="s">
        <v>1557</v>
      </c>
      <c r="D773" s="115" t="s">
        <v>1583</v>
      </c>
      <c r="E773" s="85" t="s">
        <v>590</v>
      </c>
      <c r="F773" s="85">
        <v>46329</v>
      </c>
      <c r="G773" s="85" t="str">
        <f>TEXT(Table7[[#This Row],[EXPIRY DATE]],"MMM")</f>
        <v>Nov</v>
      </c>
      <c r="H773" s="85" t="str">
        <f>TEXT(Table7[[#This Row],[EXPIRY DATE]],"YYY")</f>
        <v>2026</v>
      </c>
      <c r="I773" s="85" t="s">
        <v>791</v>
      </c>
      <c r="J773" s="69"/>
    </row>
    <row r="774" spans="1:10" ht="30.6" x14ac:dyDescent="0.3">
      <c r="A774" s="84">
        <v>773</v>
      </c>
      <c r="B774" s="84" t="s">
        <v>1584</v>
      </c>
      <c r="C774" s="84" t="s">
        <v>1557</v>
      </c>
      <c r="D774" s="115" t="s">
        <v>1585</v>
      </c>
      <c r="E774" s="85" t="s">
        <v>590</v>
      </c>
      <c r="F774" s="85">
        <v>46335</v>
      </c>
      <c r="G774" s="85" t="str">
        <f>TEXT(Table7[[#This Row],[EXPIRY DATE]],"MMM")</f>
        <v>Nov</v>
      </c>
      <c r="H774" s="85" t="str">
        <f>TEXT(Table7[[#This Row],[EXPIRY DATE]],"YYY")</f>
        <v>2026</v>
      </c>
      <c r="I774" s="85" t="s">
        <v>791</v>
      </c>
      <c r="J774" s="69"/>
    </row>
    <row r="775" spans="1:10" x14ac:dyDescent="0.3">
      <c r="A775" s="84">
        <v>774</v>
      </c>
      <c r="B775" s="84" t="s">
        <v>1586</v>
      </c>
      <c r="C775" s="84" t="s">
        <v>1557</v>
      </c>
      <c r="D775" s="115" t="s">
        <v>1587</v>
      </c>
      <c r="E775" s="85" t="s">
        <v>590</v>
      </c>
      <c r="F775" s="85">
        <v>46335</v>
      </c>
      <c r="G775" s="85" t="str">
        <f>TEXT(Table7[[#This Row],[EXPIRY DATE]],"MMM")</f>
        <v>Nov</v>
      </c>
      <c r="H775" s="85" t="str">
        <f>TEXT(Table7[[#This Row],[EXPIRY DATE]],"YYY")</f>
        <v>2026</v>
      </c>
      <c r="I775" s="85" t="s">
        <v>791</v>
      </c>
      <c r="J775" s="69"/>
    </row>
    <row r="776" spans="1:10" x14ac:dyDescent="0.3">
      <c r="A776" s="84">
        <v>775</v>
      </c>
      <c r="B776" s="84" t="s">
        <v>1588</v>
      </c>
      <c r="C776" s="84" t="s">
        <v>1557</v>
      </c>
      <c r="D776" s="115" t="s">
        <v>1589</v>
      </c>
      <c r="E776" s="85" t="s">
        <v>925</v>
      </c>
      <c r="F776" s="85">
        <v>46346</v>
      </c>
      <c r="G776" s="85" t="str">
        <f>TEXT(Table7[[#This Row],[EXPIRY DATE]],"MMM")</f>
        <v>Nov</v>
      </c>
      <c r="H776" s="85" t="str">
        <f>TEXT(Table7[[#This Row],[EXPIRY DATE]],"YYY")</f>
        <v>2026</v>
      </c>
      <c r="I776" s="84" t="s">
        <v>791</v>
      </c>
      <c r="J776" s="69"/>
    </row>
    <row r="777" spans="1:10" ht="20.399999999999999" x14ac:dyDescent="0.3">
      <c r="A777" s="84">
        <v>776</v>
      </c>
      <c r="B777" s="84" t="s">
        <v>1590</v>
      </c>
      <c r="C777" s="84" t="s">
        <v>1557</v>
      </c>
      <c r="D777" s="115" t="s">
        <v>1591</v>
      </c>
      <c r="E777" s="85" t="s">
        <v>1517</v>
      </c>
      <c r="F777" s="85">
        <v>46352</v>
      </c>
      <c r="G777" s="85" t="str">
        <f>TEXT(Table7[[#This Row],[EXPIRY DATE]],"MMM")</f>
        <v>Nov</v>
      </c>
      <c r="H777" s="85" t="str">
        <f>TEXT(Table7[[#This Row],[EXPIRY DATE]],"YYY")</f>
        <v>2026</v>
      </c>
      <c r="I777" s="85" t="s">
        <v>791</v>
      </c>
      <c r="J777" s="69"/>
    </row>
    <row r="778" spans="1:10" x14ac:dyDescent="0.3">
      <c r="A778" s="84">
        <v>777</v>
      </c>
      <c r="B778" s="84" t="s">
        <v>1592</v>
      </c>
      <c r="C778" s="84" t="s">
        <v>1557</v>
      </c>
      <c r="D778" s="115" t="s">
        <v>1593</v>
      </c>
      <c r="E778" s="85" t="s">
        <v>925</v>
      </c>
      <c r="F778" s="85">
        <v>46371</v>
      </c>
      <c r="G778" s="85" t="str">
        <f>TEXT(Table7[[#This Row],[EXPIRY DATE]],"MMM")</f>
        <v>Dec</v>
      </c>
      <c r="H778" s="85" t="str">
        <f>TEXT(Table7[[#This Row],[EXPIRY DATE]],"YYY")</f>
        <v>2026</v>
      </c>
      <c r="I778" s="85" t="s">
        <v>791</v>
      </c>
      <c r="J778" s="69"/>
    </row>
    <row r="779" spans="1:10" x14ac:dyDescent="0.3">
      <c r="A779" s="84">
        <v>778</v>
      </c>
      <c r="B779" s="84" t="s">
        <v>1594</v>
      </c>
      <c r="C779" s="84" t="s">
        <v>1557</v>
      </c>
      <c r="D779" s="115" t="s">
        <v>1595</v>
      </c>
      <c r="E779" s="85" t="s">
        <v>633</v>
      </c>
      <c r="F779" s="85">
        <v>47738</v>
      </c>
      <c r="G779" s="85" t="str">
        <f>TEXT(Table7[[#This Row],[EXPIRY DATE]],"MMM")</f>
        <v>Sep</v>
      </c>
      <c r="H779" s="85" t="str">
        <f>TEXT(Table7[[#This Row],[EXPIRY DATE]],"YYY")</f>
        <v>2030</v>
      </c>
      <c r="I779" s="85" t="s">
        <v>791</v>
      </c>
      <c r="J779" s="69"/>
    </row>
    <row r="780" spans="1:10" x14ac:dyDescent="0.3">
      <c r="A780" s="84">
        <v>779</v>
      </c>
      <c r="B780" s="84" t="s">
        <v>1596</v>
      </c>
      <c r="C780" s="92" t="s">
        <v>1557</v>
      </c>
      <c r="D780" s="119" t="s">
        <v>1597</v>
      </c>
      <c r="E780" s="93" t="s">
        <v>590</v>
      </c>
      <c r="F780" s="93" t="s">
        <v>766</v>
      </c>
      <c r="G780" s="93" t="str">
        <f>TEXT(Table7[[#This Row],[EXPIRY DATE]],"MMM")</f>
        <v>CLOSED</v>
      </c>
      <c r="H780" s="93" t="str">
        <f>TEXT(Table7[[#This Row],[EXPIRY DATE]],"YYY")</f>
        <v>CLOSED</v>
      </c>
      <c r="I780" s="92" t="s">
        <v>791</v>
      </c>
      <c r="J780" s="75"/>
    </row>
    <row r="781" spans="1:10" x14ac:dyDescent="0.3">
      <c r="A781" s="84">
        <v>780</v>
      </c>
      <c r="B781" s="84" t="s">
        <v>1598</v>
      </c>
      <c r="C781" s="92" t="s">
        <v>1557</v>
      </c>
      <c r="D781" s="119" t="s">
        <v>1599</v>
      </c>
      <c r="E781" s="93" t="s">
        <v>640</v>
      </c>
      <c r="F781" s="93" t="s">
        <v>766</v>
      </c>
      <c r="G781" s="93" t="str">
        <f>TEXT(Table7[[#This Row],[EXPIRY DATE]],"MMM")</f>
        <v>CLOSED</v>
      </c>
      <c r="H781" s="93" t="str">
        <f>TEXT(Table7[[#This Row],[EXPIRY DATE]],"YYY")</f>
        <v>CLOSED</v>
      </c>
      <c r="I781" s="93" t="s">
        <v>791</v>
      </c>
      <c r="J781" s="75"/>
    </row>
    <row r="782" spans="1:10" x14ac:dyDescent="0.3">
      <c r="A782" s="84">
        <v>781</v>
      </c>
      <c r="B782" s="84" t="s">
        <v>1600</v>
      </c>
      <c r="C782" s="84" t="s">
        <v>1601</v>
      </c>
      <c r="D782" s="115" t="s">
        <v>1602</v>
      </c>
      <c r="E782" s="85"/>
      <c r="F782" s="85">
        <v>46344</v>
      </c>
      <c r="G782" s="85" t="str">
        <f>TEXT(Table7[[#This Row],[EXPIRY DATE]],"MMM")</f>
        <v>Nov</v>
      </c>
      <c r="H782" s="85" t="str">
        <f>TEXT(Table7[[#This Row],[EXPIRY DATE]],"YYY")</f>
        <v>2026</v>
      </c>
      <c r="I782" s="85" t="s">
        <v>791</v>
      </c>
      <c r="J782" s="69"/>
    </row>
    <row r="783" spans="1:10" x14ac:dyDescent="0.3">
      <c r="A783" s="84">
        <v>782</v>
      </c>
      <c r="B783" s="84" t="s">
        <v>1603</v>
      </c>
      <c r="C783" s="84" t="s">
        <v>1604</v>
      </c>
      <c r="D783" s="115" t="s">
        <v>1605</v>
      </c>
      <c r="E783" s="85" t="s">
        <v>717</v>
      </c>
      <c r="F783" s="85">
        <v>46339</v>
      </c>
      <c r="G783" s="85" t="str">
        <f>TEXT(Table7[[#This Row],[EXPIRY DATE]],"MMM")</f>
        <v>Nov</v>
      </c>
      <c r="H783" s="85" t="str">
        <f>TEXT(Table7[[#This Row],[EXPIRY DATE]],"YYY")</f>
        <v>2026</v>
      </c>
      <c r="I783" s="84" t="s">
        <v>602</v>
      </c>
      <c r="J783" s="69"/>
    </row>
    <row r="784" spans="1:10" x14ac:dyDescent="0.3">
      <c r="A784" s="84">
        <v>783</v>
      </c>
      <c r="B784" s="84" t="s">
        <v>1606</v>
      </c>
      <c r="C784" s="84" t="s">
        <v>1607</v>
      </c>
      <c r="D784" s="115" t="s">
        <v>1608</v>
      </c>
      <c r="E784" s="85" t="s">
        <v>802</v>
      </c>
      <c r="F784" s="85">
        <v>45973</v>
      </c>
      <c r="G784" s="85" t="str">
        <f>TEXT(Table7[[#This Row],[EXPIRY DATE]],"MMM")</f>
        <v>Nov</v>
      </c>
      <c r="H784" s="85" t="str">
        <f>TEXT(Table7[[#This Row],[EXPIRY DATE]],"YYY")</f>
        <v>2025</v>
      </c>
      <c r="I784" s="84" t="s">
        <v>602</v>
      </c>
      <c r="J784" s="69"/>
    </row>
    <row r="785" spans="1:10" x14ac:dyDescent="0.3">
      <c r="A785" s="84">
        <v>784</v>
      </c>
      <c r="B785" s="84" t="s">
        <v>1606</v>
      </c>
      <c r="C785" s="84" t="s">
        <v>1607</v>
      </c>
      <c r="D785" s="115" t="s">
        <v>1608</v>
      </c>
      <c r="E785" s="85" t="s">
        <v>802</v>
      </c>
      <c r="F785" s="85">
        <v>46022</v>
      </c>
      <c r="G785" s="85" t="str">
        <f>TEXT(Table7[[#This Row],[EXPIRY DATE]],"MMM")</f>
        <v>Dec</v>
      </c>
      <c r="H785" s="85" t="str">
        <f>TEXT(Table7[[#This Row],[EXPIRY DATE]],"YYY")</f>
        <v>2025</v>
      </c>
      <c r="I785" s="84" t="s">
        <v>607</v>
      </c>
      <c r="J785" s="69"/>
    </row>
    <row r="786" spans="1:10" x14ac:dyDescent="0.3">
      <c r="A786" s="84">
        <v>785</v>
      </c>
      <c r="B786" s="84" t="s">
        <v>1609</v>
      </c>
      <c r="C786" s="87" t="s">
        <v>1610</v>
      </c>
      <c r="D786" s="115" t="s">
        <v>1611</v>
      </c>
      <c r="E786" s="85" t="s">
        <v>1225</v>
      </c>
      <c r="F786" s="84"/>
      <c r="G786" s="85" t="s">
        <v>629</v>
      </c>
      <c r="H786" s="85" t="s">
        <v>629</v>
      </c>
      <c r="I786" s="84" t="s">
        <v>602</v>
      </c>
      <c r="J786" s="69"/>
    </row>
    <row r="787" spans="1:10" ht="20.399999999999999" x14ac:dyDescent="0.3">
      <c r="A787" s="84">
        <v>786</v>
      </c>
      <c r="B787" s="84" t="s">
        <v>1208</v>
      </c>
      <c r="C787" s="87" t="s">
        <v>1610</v>
      </c>
      <c r="D787" s="115" t="s">
        <v>1612</v>
      </c>
      <c r="E787" s="85" t="s">
        <v>1210</v>
      </c>
      <c r="F787" s="84"/>
      <c r="G787" s="85" t="s">
        <v>629</v>
      </c>
      <c r="H787" s="85" t="s">
        <v>629</v>
      </c>
      <c r="I787" s="84" t="s">
        <v>602</v>
      </c>
      <c r="J787" s="69"/>
    </row>
    <row r="788" spans="1:10" ht="20.399999999999999" x14ac:dyDescent="0.3">
      <c r="A788" s="84">
        <v>787</v>
      </c>
      <c r="B788" s="84" t="s">
        <v>1208</v>
      </c>
      <c r="C788" s="87" t="s">
        <v>1610</v>
      </c>
      <c r="D788" s="115" t="s">
        <v>1612</v>
      </c>
      <c r="E788" s="85" t="s">
        <v>1210</v>
      </c>
      <c r="F788" s="84"/>
      <c r="G788" s="85" t="s">
        <v>629</v>
      </c>
      <c r="H788" s="85" t="s">
        <v>629</v>
      </c>
      <c r="I788" s="85" t="s">
        <v>791</v>
      </c>
      <c r="J788" s="69"/>
    </row>
    <row r="789" spans="1:10" x14ac:dyDescent="0.3">
      <c r="A789" s="84">
        <v>788</v>
      </c>
      <c r="B789" s="84" t="s">
        <v>1613</v>
      </c>
      <c r="C789" s="87" t="s">
        <v>1610</v>
      </c>
      <c r="D789" s="115" t="s">
        <v>1614</v>
      </c>
      <c r="E789" s="85" t="s">
        <v>1225</v>
      </c>
      <c r="F789" s="84"/>
      <c r="G789" s="85" t="s">
        <v>629</v>
      </c>
      <c r="H789" s="85" t="s">
        <v>629</v>
      </c>
      <c r="I789" s="84" t="s">
        <v>791</v>
      </c>
      <c r="J789" s="69"/>
    </row>
    <row r="790" spans="1:10" x14ac:dyDescent="0.3">
      <c r="A790" s="84">
        <v>789</v>
      </c>
      <c r="B790" s="84" t="s">
        <v>1615</v>
      </c>
      <c r="C790" s="87" t="s">
        <v>1610</v>
      </c>
      <c r="D790" s="115" t="s">
        <v>1616</v>
      </c>
      <c r="E790" s="85" t="s">
        <v>1225</v>
      </c>
      <c r="F790" s="84"/>
      <c r="G790" s="85" t="s">
        <v>629</v>
      </c>
      <c r="H790" s="85" t="s">
        <v>629</v>
      </c>
      <c r="I790" s="84" t="s">
        <v>791</v>
      </c>
      <c r="J790" s="69"/>
    </row>
    <row r="791" spans="1:10" x14ac:dyDescent="0.3">
      <c r="A791" s="84">
        <v>790</v>
      </c>
      <c r="B791" s="84" t="s">
        <v>1617</v>
      </c>
      <c r="C791" s="87" t="s">
        <v>1610</v>
      </c>
      <c r="D791" s="115" t="s">
        <v>1618</v>
      </c>
      <c r="E791" s="85" t="s">
        <v>14</v>
      </c>
      <c r="F791" s="84"/>
      <c r="G791" s="85" t="s">
        <v>629</v>
      </c>
      <c r="H791" s="85" t="s">
        <v>629</v>
      </c>
      <c r="I791" s="85" t="s">
        <v>791</v>
      </c>
      <c r="J791" s="69"/>
    </row>
    <row r="792" spans="1:10" x14ac:dyDescent="0.3">
      <c r="A792" s="84">
        <v>791</v>
      </c>
      <c r="B792" s="84" t="s">
        <v>1619</v>
      </c>
      <c r="C792" s="87" t="s">
        <v>1610</v>
      </c>
      <c r="D792" s="115" t="s">
        <v>1620</v>
      </c>
      <c r="E792" s="85" t="s">
        <v>1179</v>
      </c>
      <c r="F792" s="84"/>
      <c r="G792" s="85" t="s">
        <v>629</v>
      </c>
      <c r="H792" s="85" t="s">
        <v>629</v>
      </c>
      <c r="I792" s="84" t="s">
        <v>791</v>
      </c>
      <c r="J792" s="69"/>
    </row>
    <row r="793" spans="1:10" ht="20.399999999999999" x14ac:dyDescent="0.3">
      <c r="A793" s="84">
        <v>792</v>
      </c>
      <c r="B793" s="84" t="s">
        <v>1621</v>
      </c>
      <c r="C793" s="87" t="s">
        <v>1610</v>
      </c>
      <c r="D793" s="115" t="s">
        <v>1622</v>
      </c>
      <c r="E793" s="85" t="s">
        <v>802</v>
      </c>
      <c r="F793" s="84"/>
      <c r="G793" s="85" t="s">
        <v>629</v>
      </c>
      <c r="H793" s="85" t="s">
        <v>629</v>
      </c>
      <c r="I793" s="84" t="s">
        <v>602</v>
      </c>
      <c r="J793" s="69"/>
    </row>
    <row r="794" spans="1:10" ht="40.799999999999997" x14ac:dyDescent="0.3">
      <c r="A794" s="84">
        <v>793</v>
      </c>
      <c r="B794" s="87" t="s">
        <v>1623</v>
      </c>
      <c r="C794" s="87" t="s">
        <v>1610</v>
      </c>
      <c r="D794" s="116" t="s">
        <v>1624</v>
      </c>
      <c r="E794" s="85" t="s">
        <v>1625</v>
      </c>
      <c r="F794" s="84"/>
      <c r="G794" s="85" t="s">
        <v>629</v>
      </c>
      <c r="H794" s="85" t="s">
        <v>629</v>
      </c>
      <c r="I794" s="85" t="s">
        <v>791</v>
      </c>
      <c r="J794" s="69"/>
    </row>
    <row r="795" spans="1:10" x14ac:dyDescent="0.3">
      <c r="A795" s="84">
        <v>794</v>
      </c>
      <c r="B795" s="84" t="s">
        <v>1626</v>
      </c>
      <c r="C795" s="87" t="s">
        <v>1610</v>
      </c>
      <c r="D795" s="115" t="s">
        <v>1627</v>
      </c>
      <c r="E795" s="85" t="s">
        <v>717</v>
      </c>
      <c r="F795" s="84"/>
      <c r="G795" s="85" t="s">
        <v>629</v>
      </c>
      <c r="H795" s="85" t="s">
        <v>629</v>
      </c>
      <c r="I795" s="84" t="s">
        <v>791</v>
      </c>
      <c r="J795" s="69"/>
    </row>
    <row r="796" spans="1:10" x14ac:dyDescent="0.3">
      <c r="A796" s="84">
        <v>795</v>
      </c>
      <c r="B796" s="84" t="s">
        <v>1628</v>
      </c>
      <c r="C796" s="87" t="s">
        <v>1610</v>
      </c>
      <c r="D796" s="115" t="s">
        <v>1629</v>
      </c>
      <c r="E796" s="85" t="s">
        <v>1630</v>
      </c>
      <c r="F796" s="84"/>
      <c r="G796" s="85" t="s">
        <v>629</v>
      </c>
      <c r="H796" s="85" t="s">
        <v>629</v>
      </c>
      <c r="I796" s="84" t="s">
        <v>791</v>
      </c>
      <c r="J796" s="69"/>
    </row>
    <row r="797" spans="1:10" x14ac:dyDescent="0.3">
      <c r="A797" s="84">
        <v>796</v>
      </c>
      <c r="B797" s="84" t="s">
        <v>1628</v>
      </c>
      <c r="C797" s="87" t="s">
        <v>1610</v>
      </c>
      <c r="D797" s="115" t="s">
        <v>1629</v>
      </c>
      <c r="E797" s="85" t="s">
        <v>1630</v>
      </c>
      <c r="F797" s="84"/>
      <c r="G797" s="85" t="s">
        <v>629</v>
      </c>
      <c r="H797" s="85" t="s">
        <v>629</v>
      </c>
      <c r="I797" s="84" t="s">
        <v>602</v>
      </c>
      <c r="J797" s="69"/>
    </row>
    <row r="798" spans="1:10" x14ac:dyDescent="0.3">
      <c r="A798" s="84">
        <v>797</v>
      </c>
      <c r="B798" s="84" t="s">
        <v>1631</v>
      </c>
      <c r="C798" s="87" t="s">
        <v>1610</v>
      </c>
      <c r="D798" s="115" t="s">
        <v>1632</v>
      </c>
      <c r="E798" s="85" t="s">
        <v>14</v>
      </c>
      <c r="F798" s="84"/>
      <c r="G798" s="85" t="s">
        <v>629</v>
      </c>
      <c r="H798" s="85" t="s">
        <v>629</v>
      </c>
      <c r="I798" s="85" t="s">
        <v>791</v>
      </c>
      <c r="J798" s="69"/>
    </row>
    <row r="799" spans="1:10" x14ac:dyDescent="0.3">
      <c r="A799" s="84">
        <v>798</v>
      </c>
      <c r="B799" s="84" t="s">
        <v>1233</v>
      </c>
      <c r="C799" s="87" t="s">
        <v>1610</v>
      </c>
      <c r="D799" s="115" t="s">
        <v>1633</v>
      </c>
      <c r="E799" s="85" t="s">
        <v>1179</v>
      </c>
      <c r="F799" s="84"/>
      <c r="G799" s="85" t="s">
        <v>629</v>
      </c>
      <c r="H799" s="85" t="s">
        <v>629</v>
      </c>
      <c r="I799" s="84" t="s">
        <v>602</v>
      </c>
      <c r="J799" s="69"/>
    </row>
    <row r="800" spans="1:10" x14ac:dyDescent="0.3">
      <c r="A800" s="84">
        <v>799</v>
      </c>
      <c r="B800" s="84" t="s">
        <v>1634</v>
      </c>
      <c r="C800" s="87" t="s">
        <v>1610</v>
      </c>
      <c r="D800" s="115" t="s">
        <v>1635</v>
      </c>
      <c r="E800" s="85" t="s">
        <v>1636</v>
      </c>
      <c r="F800" s="85">
        <v>45382</v>
      </c>
      <c r="G800" s="85" t="str">
        <f>TEXT(Table7[[#This Row],[EXPIRY DATE]],"MMM")</f>
        <v>Mar</v>
      </c>
      <c r="H800" s="85" t="str">
        <f>TEXT(Table7[[#This Row],[EXPIRY DATE]],"YYY")</f>
        <v>2024</v>
      </c>
      <c r="I800" s="84" t="s">
        <v>607</v>
      </c>
      <c r="J800" s="69"/>
    </row>
    <row r="801" spans="1:10" x14ac:dyDescent="0.3">
      <c r="A801" s="84">
        <v>800</v>
      </c>
      <c r="B801" s="84" t="s">
        <v>1637</v>
      </c>
      <c r="C801" s="87" t="s">
        <v>1610</v>
      </c>
      <c r="D801" s="115" t="s">
        <v>1638</v>
      </c>
      <c r="E801" s="85" t="s">
        <v>1639</v>
      </c>
      <c r="F801" s="85">
        <v>45742</v>
      </c>
      <c r="G801" s="85" t="str">
        <f>TEXT(Table7[[#This Row],[EXPIRY DATE]],"MMM")</f>
        <v>Mar</v>
      </c>
      <c r="H801" s="85" t="str">
        <f>TEXT(Table7[[#This Row],[EXPIRY DATE]],"YYY")</f>
        <v>2025</v>
      </c>
      <c r="I801" s="84" t="s">
        <v>602</v>
      </c>
      <c r="J801" s="69"/>
    </row>
    <row r="802" spans="1:10" ht="20.399999999999999" x14ac:dyDescent="0.3">
      <c r="A802" s="84">
        <v>801</v>
      </c>
      <c r="B802" s="84" t="s">
        <v>1640</v>
      </c>
      <c r="C802" s="87" t="s">
        <v>1610</v>
      </c>
      <c r="D802" s="115" t="s">
        <v>1641</v>
      </c>
      <c r="E802" s="85" t="s">
        <v>922</v>
      </c>
      <c r="F802" s="85">
        <v>45747</v>
      </c>
      <c r="G802" s="85" t="str">
        <f>TEXT(Table7[[#This Row],[EXPIRY DATE]],"MMM")</f>
        <v>Mar</v>
      </c>
      <c r="H802" s="85" t="str">
        <f>TEXT(Table7[[#This Row],[EXPIRY DATE]],"YYY")</f>
        <v>2025</v>
      </c>
      <c r="I802" s="84" t="s">
        <v>607</v>
      </c>
      <c r="J802" s="69"/>
    </row>
    <row r="803" spans="1:10" x14ac:dyDescent="0.3">
      <c r="A803" s="84">
        <v>802</v>
      </c>
      <c r="B803" s="84" t="s">
        <v>1642</v>
      </c>
      <c r="C803" s="87" t="s">
        <v>1610</v>
      </c>
      <c r="D803" s="115" t="s">
        <v>1643</v>
      </c>
      <c r="E803" s="85" t="s">
        <v>931</v>
      </c>
      <c r="F803" s="85">
        <v>45747</v>
      </c>
      <c r="G803" s="85" t="str">
        <f>TEXT(Table7[[#This Row],[EXPIRY DATE]],"MMM")</f>
        <v>Mar</v>
      </c>
      <c r="H803" s="85" t="str">
        <f>TEXT(Table7[[#This Row],[EXPIRY DATE]],"YYY")</f>
        <v>2025</v>
      </c>
      <c r="I803" s="84" t="s">
        <v>839</v>
      </c>
      <c r="J803" s="69"/>
    </row>
    <row r="804" spans="1:10" x14ac:dyDescent="0.3">
      <c r="A804" s="84">
        <v>803</v>
      </c>
      <c r="B804" s="84" t="s">
        <v>1177</v>
      </c>
      <c r="C804" s="87" t="s">
        <v>1610</v>
      </c>
      <c r="D804" s="115" t="s">
        <v>1644</v>
      </c>
      <c r="E804" s="85" t="s">
        <v>817</v>
      </c>
      <c r="F804" s="85">
        <v>45748</v>
      </c>
      <c r="G804" s="85" t="s">
        <v>611</v>
      </c>
      <c r="H804" s="85" t="str">
        <f>TEXT(Table7[[#This Row],[EXPIRY DATE]],"YYY")</f>
        <v>2025</v>
      </c>
      <c r="I804" s="85" t="s">
        <v>607</v>
      </c>
      <c r="J804" s="69"/>
    </row>
    <row r="805" spans="1:10" x14ac:dyDescent="0.3">
      <c r="A805" s="84">
        <v>804</v>
      </c>
      <c r="B805" s="84" t="s">
        <v>1645</v>
      </c>
      <c r="C805" s="87" t="s">
        <v>1610</v>
      </c>
      <c r="D805" s="115" t="s">
        <v>1646</v>
      </c>
      <c r="E805" s="85" t="s">
        <v>601</v>
      </c>
      <c r="F805" s="85">
        <v>45848</v>
      </c>
      <c r="G805" s="85" t="str">
        <f>TEXT(Table7[[#This Row],[EXPIRY DATE]],"MMM")</f>
        <v>Jul</v>
      </c>
      <c r="H805" s="85" t="str">
        <f>TEXT(Table7[[#This Row],[EXPIRY DATE]],"YYY")</f>
        <v>2025</v>
      </c>
      <c r="I805" s="84" t="s">
        <v>602</v>
      </c>
      <c r="J805" s="69"/>
    </row>
    <row r="806" spans="1:10" x14ac:dyDescent="0.3">
      <c r="A806" s="84">
        <v>805</v>
      </c>
      <c r="B806" s="84" t="s">
        <v>1647</v>
      </c>
      <c r="C806" s="87" t="s">
        <v>1610</v>
      </c>
      <c r="D806" s="115" t="s">
        <v>1648</v>
      </c>
      <c r="E806" s="85" t="s">
        <v>601</v>
      </c>
      <c r="F806" s="85">
        <v>45848</v>
      </c>
      <c r="G806" s="85" t="str">
        <f>TEXT(Table7[[#This Row],[EXPIRY DATE]],"MMM")</f>
        <v>Jul</v>
      </c>
      <c r="H806" s="85" t="str">
        <f>TEXT(Table7[[#This Row],[EXPIRY DATE]],"YYY")</f>
        <v>2025</v>
      </c>
      <c r="I806" s="84" t="s">
        <v>602</v>
      </c>
      <c r="J806" s="69"/>
    </row>
    <row r="807" spans="1:10" ht="20.399999999999999" x14ac:dyDescent="0.3">
      <c r="A807" s="84">
        <v>806</v>
      </c>
      <c r="B807" s="84" t="s">
        <v>1649</v>
      </c>
      <c r="C807" s="87" t="s">
        <v>1610</v>
      </c>
      <c r="D807" s="115" t="s">
        <v>1650</v>
      </c>
      <c r="E807" s="85" t="s">
        <v>601</v>
      </c>
      <c r="F807" s="85">
        <v>45848</v>
      </c>
      <c r="G807" s="85" t="str">
        <f>TEXT(Table7[[#This Row],[EXPIRY DATE]],"MMM")</f>
        <v>Jul</v>
      </c>
      <c r="H807" s="85" t="str">
        <f>TEXT(Table7[[#This Row],[EXPIRY DATE]],"YYY")</f>
        <v>2025</v>
      </c>
      <c r="I807" s="84" t="s">
        <v>602</v>
      </c>
      <c r="J807" s="69"/>
    </row>
    <row r="808" spans="1:10" ht="20.399999999999999" x14ac:dyDescent="0.3">
      <c r="A808" s="84">
        <v>807</v>
      </c>
      <c r="B808" s="84" t="s">
        <v>1651</v>
      </c>
      <c r="C808" s="87" t="s">
        <v>1610</v>
      </c>
      <c r="D808" s="115" t="s">
        <v>1652</v>
      </c>
      <c r="E808" s="85" t="s">
        <v>601</v>
      </c>
      <c r="F808" s="85">
        <v>45849</v>
      </c>
      <c r="G808" s="85" t="str">
        <f>TEXT(Table7[[#This Row],[EXPIRY DATE]],"MMM")</f>
        <v>Jul</v>
      </c>
      <c r="H808" s="85" t="str">
        <f>TEXT(Table7[[#This Row],[EXPIRY DATE]],"YYY")</f>
        <v>2025</v>
      </c>
      <c r="I808" s="84" t="s">
        <v>602</v>
      </c>
      <c r="J808" s="69"/>
    </row>
    <row r="809" spans="1:10" ht="20.399999999999999" x14ac:dyDescent="0.3">
      <c r="A809" s="84">
        <v>808</v>
      </c>
      <c r="B809" s="84" t="s">
        <v>1653</v>
      </c>
      <c r="C809" s="87" t="s">
        <v>1610</v>
      </c>
      <c r="D809" s="115" t="s">
        <v>1654</v>
      </c>
      <c r="E809" s="85" t="s">
        <v>601</v>
      </c>
      <c r="F809" s="85">
        <v>45849</v>
      </c>
      <c r="G809" s="85" t="str">
        <f>TEXT(Table7[[#This Row],[EXPIRY DATE]],"MMM")</f>
        <v>Jul</v>
      </c>
      <c r="H809" s="85" t="str">
        <f>TEXT(Table7[[#This Row],[EXPIRY DATE]],"YYY")</f>
        <v>2025</v>
      </c>
      <c r="I809" s="84" t="s">
        <v>602</v>
      </c>
      <c r="J809" s="69"/>
    </row>
    <row r="810" spans="1:10" x14ac:dyDescent="0.3">
      <c r="A810" s="84">
        <v>809</v>
      </c>
      <c r="B810" s="84" t="s">
        <v>1655</v>
      </c>
      <c r="C810" s="87" t="s">
        <v>1610</v>
      </c>
      <c r="D810" s="115" t="s">
        <v>1656</v>
      </c>
      <c r="E810" s="85" t="s">
        <v>601</v>
      </c>
      <c r="F810" s="85">
        <v>45849</v>
      </c>
      <c r="G810" s="85" t="str">
        <f>TEXT(Table7[[#This Row],[EXPIRY DATE]],"MMM")</f>
        <v>Jul</v>
      </c>
      <c r="H810" s="85" t="str">
        <f>TEXT(Table7[[#This Row],[EXPIRY DATE]],"YYY")</f>
        <v>2025</v>
      </c>
      <c r="I810" s="84" t="s">
        <v>602</v>
      </c>
      <c r="J810" s="69"/>
    </row>
    <row r="811" spans="1:10" x14ac:dyDescent="0.3">
      <c r="A811" s="84">
        <v>810</v>
      </c>
      <c r="B811" s="84" t="s">
        <v>1073</v>
      </c>
      <c r="C811" s="87" t="s">
        <v>1610</v>
      </c>
      <c r="D811" s="115" t="s">
        <v>1151</v>
      </c>
      <c r="E811" s="85" t="s">
        <v>802</v>
      </c>
      <c r="F811" s="85">
        <v>45864</v>
      </c>
      <c r="G811" s="85" t="str">
        <f>TEXT(Table7[[#This Row],[EXPIRY DATE]],"MMM")</f>
        <v>Jul</v>
      </c>
      <c r="H811" s="85" t="str">
        <f>TEXT(Table7[[#This Row],[EXPIRY DATE]],"YYY")</f>
        <v>2025</v>
      </c>
      <c r="I811" s="84" t="s">
        <v>602</v>
      </c>
      <c r="J811" s="69"/>
    </row>
    <row r="812" spans="1:10" x14ac:dyDescent="0.3">
      <c r="A812" s="84">
        <v>811</v>
      </c>
      <c r="B812" s="84" t="s">
        <v>1192</v>
      </c>
      <c r="C812" s="87" t="s">
        <v>1610</v>
      </c>
      <c r="D812" s="115" t="s">
        <v>1657</v>
      </c>
      <c r="E812" s="85" t="s">
        <v>1194</v>
      </c>
      <c r="F812" s="85">
        <v>45865</v>
      </c>
      <c r="G812" s="85" t="s">
        <v>944</v>
      </c>
      <c r="H812" s="85" t="str">
        <f>TEXT(Table7[[#This Row],[EXPIRY DATE]],"YYY")</f>
        <v>2025</v>
      </c>
      <c r="I812" s="84" t="s">
        <v>791</v>
      </c>
      <c r="J812" s="69"/>
    </row>
    <row r="813" spans="1:10" x14ac:dyDescent="0.3">
      <c r="A813" s="84">
        <v>812</v>
      </c>
      <c r="B813" s="84" t="s">
        <v>1227</v>
      </c>
      <c r="C813" s="87" t="s">
        <v>1610</v>
      </c>
      <c r="D813" s="115" t="s">
        <v>1658</v>
      </c>
      <c r="E813" s="85" t="s">
        <v>1659</v>
      </c>
      <c r="F813" s="85">
        <v>45885</v>
      </c>
      <c r="G813" s="85" t="str">
        <f>TEXT(Table7[[#This Row],[EXPIRY DATE]],"MMM")</f>
        <v>Aug</v>
      </c>
      <c r="H813" s="85" t="str">
        <f>TEXT(Table7[[#This Row],[EXPIRY DATE]],"YYY")</f>
        <v>2025</v>
      </c>
      <c r="I813" s="84" t="s">
        <v>607</v>
      </c>
      <c r="J813" s="69"/>
    </row>
    <row r="814" spans="1:10" x14ac:dyDescent="0.3">
      <c r="A814" s="84">
        <v>813</v>
      </c>
      <c r="B814" s="84" t="s">
        <v>1660</v>
      </c>
      <c r="C814" s="87" t="s">
        <v>1610</v>
      </c>
      <c r="D814" s="115" t="s">
        <v>1661</v>
      </c>
      <c r="E814" s="85" t="s">
        <v>922</v>
      </c>
      <c r="F814" s="85">
        <v>45888</v>
      </c>
      <c r="G814" s="85" t="str">
        <f>TEXT(Table7[[#This Row],[EXPIRY DATE]],"MMM")</f>
        <v>Aug</v>
      </c>
      <c r="H814" s="85" t="str">
        <f>TEXT(Table7[[#This Row],[EXPIRY DATE]],"YYY")</f>
        <v>2025</v>
      </c>
      <c r="I814" s="84" t="s">
        <v>602</v>
      </c>
      <c r="J814" s="69"/>
    </row>
    <row r="815" spans="1:10" ht="20.399999999999999" x14ac:dyDescent="0.3">
      <c r="A815" s="84">
        <v>814</v>
      </c>
      <c r="B815" s="84" t="s">
        <v>1640</v>
      </c>
      <c r="C815" s="87" t="s">
        <v>1610</v>
      </c>
      <c r="D815" s="115" t="s">
        <v>1641</v>
      </c>
      <c r="E815" s="85" t="s">
        <v>922</v>
      </c>
      <c r="F815" s="85">
        <v>45888</v>
      </c>
      <c r="G815" s="85" t="str">
        <f>TEXT(Table7[[#This Row],[EXPIRY DATE]],"MMM")</f>
        <v>Aug</v>
      </c>
      <c r="H815" s="85" t="str">
        <f>TEXT(Table7[[#This Row],[EXPIRY DATE]],"YYY")</f>
        <v>2025</v>
      </c>
      <c r="I815" s="84" t="s">
        <v>602</v>
      </c>
      <c r="J815" s="69"/>
    </row>
    <row r="816" spans="1:10" x14ac:dyDescent="0.3">
      <c r="A816" s="84">
        <v>815</v>
      </c>
      <c r="B816" s="84" t="s">
        <v>1662</v>
      </c>
      <c r="C816" s="87" t="s">
        <v>1610</v>
      </c>
      <c r="D816" s="115" t="s">
        <v>1663</v>
      </c>
      <c r="E816" s="85" t="s">
        <v>616</v>
      </c>
      <c r="F816" s="85">
        <v>45896</v>
      </c>
      <c r="G816" s="85" t="str">
        <f>TEXT(Table7[[#This Row],[EXPIRY DATE]],"MMM")</f>
        <v>Aug</v>
      </c>
      <c r="H816" s="85" t="str">
        <f>TEXT(Table7[[#This Row],[EXPIRY DATE]],"YYY")</f>
        <v>2025</v>
      </c>
      <c r="I816" s="84" t="s">
        <v>602</v>
      </c>
      <c r="J816" s="69"/>
    </row>
    <row r="817" spans="1:10" x14ac:dyDescent="0.3">
      <c r="A817" s="84">
        <v>816</v>
      </c>
      <c r="B817" s="84" t="s">
        <v>1153</v>
      </c>
      <c r="C817" s="87" t="s">
        <v>1610</v>
      </c>
      <c r="D817" s="115" t="s">
        <v>1664</v>
      </c>
      <c r="E817" s="85" t="s">
        <v>1014</v>
      </c>
      <c r="F817" s="85">
        <v>45902</v>
      </c>
      <c r="G817" s="85" t="str">
        <f>TEXT(Table7[[#This Row],[EXPIRY DATE]],"MMM")</f>
        <v>Sep</v>
      </c>
      <c r="H817" s="85" t="str">
        <f>TEXT(Table7[[#This Row],[EXPIRY DATE]],"YYY")</f>
        <v>2025</v>
      </c>
      <c r="I817" s="84" t="s">
        <v>602</v>
      </c>
      <c r="J817" s="69"/>
    </row>
    <row r="818" spans="1:10" ht="20.399999999999999" x14ac:dyDescent="0.3">
      <c r="A818" s="84">
        <v>817</v>
      </c>
      <c r="B818" s="84" t="s">
        <v>1155</v>
      </c>
      <c r="C818" s="87" t="s">
        <v>1610</v>
      </c>
      <c r="D818" s="115" t="s">
        <v>1156</v>
      </c>
      <c r="E818" s="85" t="s">
        <v>1659</v>
      </c>
      <c r="F818" s="85">
        <v>45921</v>
      </c>
      <c r="G818" s="85" t="str">
        <f>TEXT(Table7[[#This Row],[EXPIRY DATE]],"MMM")</f>
        <v>Sep</v>
      </c>
      <c r="H818" s="85" t="str">
        <f>TEXT(Table7[[#This Row],[EXPIRY DATE]],"YYY")</f>
        <v>2025</v>
      </c>
      <c r="I818" s="84" t="s">
        <v>607</v>
      </c>
      <c r="J818" s="69"/>
    </row>
    <row r="819" spans="1:10" x14ac:dyDescent="0.3">
      <c r="A819" s="84">
        <v>818</v>
      </c>
      <c r="B819" s="84" t="s">
        <v>1186</v>
      </c>
      <c r="C819" s="87" t="s">
        <v>1610</v>
      </c>
      <c r="D819" s="115" t="s">
        <v>1665</v>
      </c>
      <c r="E819" s="85" t="s">
        <v>717</v>
      </c>
      <c r="F819" s="85">
        <v>45929</v>
      </c>
      <c r="G819" s="85" t="s">
        <v>591</v>
      </c>
      <c r="H819" s="85" t="str">
        <f>TEXT(Table7[[#This Row],[EXPIRY DATE]],"YYY")</f>
        <v>2025</v>
      </c>
      <c r="I819" s="84" t="s">
        <v>602</v>
      </c>
      <c r="J819" s="69"/>
    </row>
    <row r="820" spans="1:10" ht="20.399999999999999" x14ac:dyDescent="0.3">
      <c r="A820" s="84">
        <v>819</v>
      </c>
      <c r="B820" s="84" t="s">
        <v>1666</v>
      </c>
      <c r="C820" s="87" t="s">
        <v>1610</v>
      </c>
      <c r="D820" s="115" t="s">
        <v>1667</v>
      </c>
      <c r="E820" s="85" t="s">
        <v>601</v>
      </c>
      <c r="F820" s="85">
        <v>45931</v>
      </c>
      <c r="G820" s="85" t="str">
        <f>TEXT(Table7[[#This Row],[EXPIRY DATE]],"MMM")</f>
        <v>Oct</v>
      </c>
      <c r="H820" s="85" t="str">
        <f>TEXT(Table7[[#This Row],[EXPIRY DATE]],"YYY")</f>
        <v>2025</v>
      </c>
      <c r="I820" s="84" t="s">
        <v>602</v>
      </c>
      <c r="J820" s="69"/>
    </row>
    <row r="821" spans="1:10" x14ac:dyDescent="0.3">
      <c r="A821" s="84">
        <v>820</v>
      </c>
      <c r="B821" s="84" t="s">
        <v>1668</v>
      </c>
      <c r="C821" s="87" t="s">
        <v>1610</v>
      </c>
      <c r="D821" s="115" t="s">
        <v>1669</v>
      </c>
      <c r="E821" s="85" t="s">
        <v>601</v>
      </c>
      <c r="F821" s="85">
        <v>45940</v>
      </c>
      <c r="G821" s="85" t="str">
        <f>TEXT(Table7[[#This Row],[EXPIRY DATE]],"MMM")</f>
        <v>Oct</v>
      </c>
      <c r="H821" s="85" t="str">
        <f>TEXT(Table7[[#This Row],[EXPIRY DATE]],"YYY")</f>
        <v>2025</v>
      </c>
      <c r="I821" s="85" t="s">
        <v>791</v>
      </c>
      <c r="J821" s="69"/>
    </row>
    <row r="822" spans="1:10" x14ac:dyDescent="0.3">
      <c r="A822" s="84">
        <v>821</v>
      </c>
      <c r="B822" s="84" t="s">
        <v>1670</v>
      </c>
      <c r="C822" s="87" t="s">
        <v>1610</v>
      </c>
      <c r="D822" s="115" t="s">
        <v>1671</v>
      </c>
      <c r="E822" s="85" t="s">
        <v>601</v>
      </c>
      <c r="F822" s="85">
        <v>45940</v>
      </c>
      <c r="G822" s="85" t="str">
        <f>TEXT(Table7[[#This Row],[EXPIRY DATE]],"MMM")</f>
        <v>Oct</v>
      </c>
      <c r="H822" s="85" t="str">
        <f>TEXT(Table7[[#This Row],[EXPIRY DATE]],"YYY")</f>
        <v>2025</v>
      </c>
      <c r="I822" s="85" t="s">
        <v>791</v>
      </c>
      <c r="J822" s="69"/>
    </row>
    <row r="823" spans="1:10" x14ac:dyDescent="0.3">
      <c r="A823" s="84">
        <v>822</v>
      </c>
      <c r="B823" s="84" t="s">
        <v>1153</v>
      </c>
      <c r="C823" s="87" t="s">
        <v>1610</v>
      </c>
      <c r="D823" s="115" t="s">
        <v>1664</v>
      </c>
      <c r="E823" s="85" t="s">
        <v>1014</v>
      </c>
      <c r="F823" s="85">
        <v>45950</v>
      </c>
      <c r="G823" s="85" t="str">
        <f>TEXT(Table7[[#This Row],[EXPIRY DATE]],"MMM")</f>
        <v>Oct</v>
      </c>
      <c r="H823" s="85" t="str">
        <f>TEXT(Table7[[#This Row],[EXPIRY DATE]],"YYY")</f>
        <v>2025</v>
      </c>
      <c r="I823" s="85" t="s">
        <v>791</v>
      </c>
      <c r="J823" s="69"/>
    </row>
    <row r="824" spans="1:10" x14ac:dyDescent="0.3">
      <c r="A824" s="84">
        <v>823</v>
      </c>
      <c r="B824" s="84" t="s">
        <v>1018</v>
      </c>
      <c r="C824" s="87" t="s">
        <v>1610</v>
      </c>
      <c r="D824" s="115" t="s">
        <v>1672</v>
      </c>
      <c r="E824" s="85" t="s">
        <v>961</v>
      </c>
      <c r="F824" s="85">
        <v>45953</v>
      </c>
      <c r="G824" s="85" t="str">
        <f>TEXT(Table7[[#This Row],[EXPIRY DATE]],"MMM")</f>
        <v>Oct</v>
      </c>
      <c r="H824" s="85" t="str">
        <f>TEXT(Table7[[#This Row],[EXPIRY DATE]],"YYY")</f>
        <v>2025</v>
      </c>
      <c r="I824" s="84" t="s">
        <v>602</v>
      </c>
      <c r="J824" s="69"/>
    </row>
    <row r="825" spans="1:10" x14ac:dyDescent="0.3">
      <c r="A825" s="84">
        <v>824</v>
      </c>
      <c r="B825" s="84" t="s">
        <v>1162</v>
      </c>
      <c r="C825" s="87" t="s">
        <v>1610</v>
      </c>
      <c r="D825" s="115" t="s">
        <v>1673</v>
      </c>
      <c r="E825" s="85" t="s">
        <v>1164</v>
      </c>
      <c r="F825" s="85">
        <v>45973</v>
      </c>
      <c r="G825" s="85" t="str">
        <f>TEXT(Table7[[#This Row],[EXPIRY DATE]],"MMM")</f>
        <v>Nov</v>
      </c>
      <c r="H825" s="85" t="str">
        <f>TEXT(Table7[[#This Row],[EXPIRY DATE]],"YYY")</f>
        <v>2025</v>
      </c>
      <c r="I825" s="84" t="s">
        <v>602</v>
      </c>
      <c r="J825" s="69"/>
    </row>
    <row r="826" spans="1:10" x14ac:dyDescent="0.3">
      <c r="A826" s="84">
        <v>825</v>
      </c>
      <c r="B826" s="84" t="s">
        <v>1218</v>
      </c>
      <c r="C826" s="87" t="s">
        <v>1610</v>
      </c>
      <c r="D826" s="115" t="s">
        <v>1674</v>
      </c>
      <c r="E826" s="85" t="s">
        <v>1164</v>
      </c>
      <c r="F826" s="85">
        <v>45973</v>
      </c>
      <c r="G826" s="85" t="str">
        <f>TEXT(Table7[[#This Row],[EXPIRY DATE]],"MMM")</f>
        <v>Nov</v>
      </c>
      <c r="H826" s="85" t="str">
        <f>TEXT(Table7[[#This Row],[EXPIRY DATE]],"YYY")</f>
        <v>2025</v>
      </c>
      <c r="I826" s="84" t="s">
        <v>602</v>
      </c>
      <c r="J826" s="69"/>
    </row>
    <row r="827" spans="1:10" x14ac:dyDescent="0.3">
      <c r="A827" s="84">
        <v>826</v>
      </c>
      <c r="B827" s="84" t="s">
        <v>1018</v>
      </c>
      <c r="C827" s="87" t="s">
        <v>1610</v>
      </c>
      <c r="D827" s="115" t="s">
        <v>1672</v>
      </c>
      <c r="E827" s="85" t="s">
        <v>961</v>
      </c>
      <c r="F827" s="85">
        <v>45974</v>
      </c>
      <c r="G827" s="85" t="str">
        <f>TEXT(Table7[[#This Row],[EXPIRY DATE]],"MMM")</f>
        <v>Nov</v>
      </c>
      <c r="H827" s="85" t="str">
        <f>TEXT(Table7[[#This Row],[EXPIRY DATE]],"YYY")</f>
        <v>2025</v>
      </c>
      <c r="I827" s="85" t="s">
        <v>791</v>
      </c>
      <c r="J827" s="69"/>
    </row>
    <row r="828" spans="1:10" x14ac:dyDescent="0.3">
      <c r="A828" s="84">
        <v>827</v>
      </c>
      <c r="B828" s="84" t="s">
        <v>1675</v>
      </c>
      <c r="C828" s="87" t="s">
        <v>1610</v>
      </c>
      <c r="D828" s="115" t="s">
        <v>1676</v>
      </c>
      <c r="E828" s="85"/>
      <c r="F828" s="85">
        <v>45974</v>
      </c>
      <c r="G828" s="85" t="str">
        <f>TEXT(Table7[[#This Row],[EXPIRY DATE]],"MMM")</f>
        <v>Nov</v>
      </c>
      <c r="H828" s="85" t="str">
        <f>TEXT(Table7[[#This Row],[EXPIRY DATE]],"YYY")</f>
        <v>2025</v>
      </c>
      <c r="I828" s="85" t="s">
        <v>791</v>
      </c>
      <c r="J828" s="69"/>
    </row>
    <row r="829" spans="1:10" x14ac:dyDescent="0.3">
      <c r="A829" s="84">
        <v>828</v>
      </c>
      <c r="B829" s="84" t="s">
        <v>1642</v>
      </c>
      <c r="C829" s="87" t="s">
        <v>1610</v>
      </c>
      <c r="D829" s="115" t="s">
        <v>1643</v>
      </c>
      <c r="E829" s="85" t="s">
        <v>931</v>
      </c>
      <c r="F829" s="85">
        <v>45974</v>
      </c>
      <c r="G829" s="85" t="str">
        <f>TEXT(Table7[[#This Row],[EXPIRY DATE]],"MMM")</f>
        <v>Nov</v>
      </c>
      <c r="H829" s="85" t="str">
        <f>TEXT(Table7[[#This Row],[EXPIRY DATE]],"YYY")</f>
        <v>2025</v>
      </c>
      <c r="I829" s="85" t="s">
        <v>791</v>
      </c>
      <c r="J829" s="69"/>
    </row>
    <row r="830" spans="1:10" x14ac:dyDescent="0.3">
      <c r="A830" s="84">
        <v>829</v>
      </c>
      <c r="B830" s="84" t="s">
        <v>1677</v>
      </c>
      <c r="C830" s="87" t="s">
        <v>1610</v>
      </c>
      <c r="D830" s="115" t="s">
        <v>1678</v>
      </c>
      <c r="E830" s="85" t="s">
        <v>931</v>
      </c>
      <c r="F830" s="85">
        <v>45974</v>
      </c>
      <c r="G830" s="85" t="str">
        <f>TEXT(Table7[[#This Row],[EXPIRY DATE]],"MMM")</f>
        <v>Nov</v>
      </c>
      <c r="H830" s="85" t="str">
        <f>TEXT(Table7[[#This Row],[EXPIRY DATE]],"YYY")</f>
        <v>2025</v>
      </c>
      <c r="I830" s="85" t="s">
        <v>791</v>
      </c>
      <c r="J830" s="69"/>
    </row>
    <row r="831" spans="1:10" x14ac:dyDescent="0.3">
      <c r="A831" s="84">
        <v>830</v>
      </c>
      <c r="B831" s="84" t="s">
        <v>1173</v>
      </c>
      <c r="C831" s="87" t="s">
        <v>1610</v>
      </c>
      <c r="D831" s="115" t="s">
        <v>1679</v>
      </c>
      <c r="E831" s="85" t="s">
        <v>1175</v>
      </c>
      <c r="F831" s="85">
        <v>45975</v>
      </c>
      <c r="G831" s="85" t="str">
        <f>TEXT(Table7[[#This Row],[EXPIRY DATE]],"MMM")</f>
        <v>Nov</v>
      </c>
      <c r="H831" s="85" t="str">
        <f>TEXT(Table7[[#This Row],[EXPIRY DATE]],"YYY")</f>
        <v>2025</v>
      </c>
      <c r="I831" s="84" t="s">
        <v>602</v>
      </c>
      <c r="J831" s="69"/>
    </row>
    <row r="832" spans="1:10" x14ac:dyDescent="0.3">
      <c r="A832" s="84">
        <v>831</v>
      </c>
      <c r="B832" s="84" t="s">
        <v>1662</v>
      </c>
      <c r="C832" s="87" t="s">
        <v>1610</v>
      </c>
      <c r="D832" s="115" t="s">
        <v>1663</v>
      </c>
      <c r="E832" s="85"/>
      <c r="F832" s="85">
        <v>45985</v>
      </c>
      <c r="G832" s="85" t="str">
        <f>TEXT(Table7[[#This Row],[EXPIRY DATE]],"MMM")</f>
        <v>Nov</v>
      </c>
      <c r="H832" s="85" t="str">
        <f>TEXT(Table7[[#This Row],[EXPIRY DATE]],"YYY")</f>
        <v>2025</v>
      </c>
      <c r="I832" s="85" t="s">
        <v>791</v>
      </c>
      <c r="J832" s="69"/>
    </row>
    <row r="833" spans="1:10" x14ac:dyDescent="0.3">
      <c r="A833" s="84">
        <v>832</v>
      </c>
      <c r="B833" s="84" t="s">
        <v>1177</v>
      </c>
      <c r="C833" s="87" t="s">
        <v>1610</v>
      </c>
      <c r="D833" s="115" t="s">
        <v>1644</v>
      </c>
      <c r="E833" s="85" t="s">
        <v>1179</v>
      </c>
      <c r="F833" s="85">
        <v>45985</v>
      </c>
      <c r="G833" s="85" t="str">
        <f>TEXT(Table7[[#This Row],[EXPIRY DATE]],"MMM")</f>
        <v>Nov</v>
      </c>
      <c r="H833" s="85" t="str">
        <f>TEXT(Table7[[#This Row],[EXPIRY DATE]],"YYY")</f>
        <v>2025</v>
      </c>
      <c r="I833" s="84" t="s">
        <v>791</v>
      </c>
      <c r="J833" s="69"/>
    </row>
    <row r="834" spans="1:10" x14ac:dyDescent="0.3">
      <c r="A834" s="84">
        <v>833</v>
      </c>
      <c r="B834" s="84" t="s">
        <v>1680</v>
      </c>
      <c r="C834" s="87" t="s">
        <v>1610</v>
      </c>
      <c r="D834" s="115" t="s">
        <v>1681</v>
      </c>
      <c r="E834" s="85" t="s">
        <v>1172</v>
      </c>
      <c r="F834" s="85">
        <v>45988</v>
      </c>
      <c r="G834" s="85" t="str">
        <f>TEXT(Table7[[#This Row],[EXPIRY DATE]],"MMM")</f>
        <v>Nov</v>
      </c>
      <c r="H834" s="85" t="str">
        <f>TEXT(Table7[[#This Row],[EXPIRY DATE]],"YYY")</f>
        <v>2025</v>
      </c>
      <c r="I834" s="85" t="s">
        <v>791</v>
      </c>
      <c r="J834" s="69"/>
    </row>
    <row r="835" spans="1:10" x14ac:dyDescent="0.3">
      <c r="A835" s="84">
        <v>834</v>
      </c>
      <c r="B835" s="84" t="s">
        <v>1682</v>
      </c>
      <c r="C835" s="87" t="s">
        <v>1610</v>
      </c>
      <c r="D835" s="115" t="s">
        <v>1683</v>
      </c>
      <c r="E835" s="85" t="s">
        <v>802</v>
      </c>
      <c r="F835" s="85">
        <v>45991</v>
      </c>
      <c r="G835" s="85" t="str">
        <f>TEXT(Table7[[#This Row],[EXPIRY DATE]],"MMM")</f>
        <v>Nov</v>
      </c>
      <c r="H835" s="85" t="str">
        <f>TEXT(Table7[[#This Row],[EXPIRY DATE]],"YYY")</f>
        <v>2025</v>
      </c>
      <c r="I835" s="85" t="s">
        <v>791</v>
      </c>
      <c r="J835" s="69"/>
    </row>
    <row r="836" spans="1:10" x14ac:dyDescent="0.3">
      <c r="A836" s="84">
        <v>835</v>
      </c>
      <c r="B836" s="84" t="s">
        <v>1684</v>
      </c>
      <c r="C836" s="87" t="s">
        <v>1610</v>
      </c>
      <c r="D836" s="115" t="s">
        <v>1685</v>
      </c>
      <c r="E836" s="85" t="s">
        <v>949</v>
      </c>
      <c r="F836" s="85">
        <v>45996</v>
      </c>
      <c r="G836" s="85" t="str">
        <f>TEXT(Table7[[#This Row],[EXPIRY DATE]],"MMM")</f>
        <v>Dec</v>
      </c>
      <c r="H836" s="85" t="str">
        <f>TEXT(Table7[[#This Row],[EXPIRY DATE]],"YYY")</f>
        <v>2025</v>
      </c>
      <c r="I836" s="85" t="s">
        <v>791</v>
      </c>
      <c r="J836" s="69"/>
    </row>
    <row r="837" spans="1:10" ht="20.399999999999999" x14ac:dyDescent="0.3">
      <c r="A837" s="84">
        <v>836</v>
      </c>
      <c r="B837" s="84" t="s">
        <v>1686</v>
      </c>
      <c r="C837" s="87" t="s">
        <v>1610</v>
      </c>
      <c r="D837" s="115" t="s">
        <v>1687</v>
      </c>
      <c r="E837" s="85" t="s">
        <v>640</v>
      </c>
      <c r="F837" s="85">
        <v>46018</v>
      </c>
      <c r="G837" s="85" t="s">
        <v>625</v>
      </c>
      <c r="H837" s="85" t="str">
        <f>TEXT(Table7[[#This Row],[EXPIRY DATE]],"YYY")</f>
        <v>2025</v>
      </c>
      <c r="I837" s="84" t="s">
        <v>791</v>
      </c>
      <c r="J837" s="69"/>
    </row>
    <row r="838" spans="1:10" x14ac:dyDescent="0.3">
      <c r="A838" s="84">
        <v>837</v>
      </c>
      <c r="B838" s="84" t="s">
        <v>1688</v>
      </c>
      <c r="C838" s="87" t="s">
        <v>1610</v>
      </c>
      <c r="D838" s="115" t="s">
        <v>1689</v>
      </c>
      <c r="E838" s="85" t="s">
        <v>1565</v>
      </c>
      <c r="F838" s="85">
        <v>46022</v>
      </c>
      <c r="G838" s="85" t="s">
        <v>625</v>
      </c>
      <c r="H838" s="85" t="str">
        <f>TEXT(Table7[[#This Row],[EXPIRY DATE]],"YYY")</f>
        <v>2025</v>
      </c>
      <c r="I838" s="84" t="s">
        <v>602</v>
      </c>
      <c r="J838" s="69"/>
    </row>
    <row r="839" spans="1:10" x14ac:dyDescent="0.3">
      <c r="A839" s="84">
        <v>838</v>
      </c>
      <c r="B839" s="84" t="s">
        <v>1190</v>
      </c>
      <c r="C839" s="87" t="s">
        <v>1610</v>
      </c>
      <c r="D839" s="115" t="s">
        <v>1191</v>
      </c>
      <c r="E839" s="85" t="s">
        <v>1565</v>
      </c>
      <c r="F839" s="85">
        <v>46022</v>
      </c>
      <c r="G839" s="85" t="s">
        <v>625</v>
      </c>
      <c r="H839" s="85" t="str">
        <f>TEXT(Table7[[#This Row],[EXPIRY DATE]],"YYY")</f>
        <v>2025</v>
      </c>
      <c r="I839" s="84" t="s">
        <v>602</v>
      </c>
      <c r="J839" s="69"/>
    </row>
    <row r="840" spans="1:10" x14ac:dyDescent="0.3">
      <c r="A840" s="84">
        <v>839</v>
      </c>
      <c r="B840" s="84" t="s">
        <v>1690</v>
      </c>
      <c r="C840" s="87" t="s">
        <v>1610</v>
      </c>
      <c r="D840" s="115" t="s">
        <v>1691</v>
      </c>
      <c r="E840" s="85" t="s">
        <v>1692</v>
      </c>
      <c r="F840" s="85">
        <v>46022</v>
      </c>
      <c r="G840" s="85" t="s">
        <v>625</v>
      </c>
      <c r="H840" s="85" t="str">
        <f>TEXT(Table7[[#This Row],[EXPIRY DATE]],"YYY")</f>
        <v>2025</v>
      </c>
      <c r="I840" s="84" t="s">
        <v>602</v>
      </c>
      <c r="J840" s="69"/>
    </row>
    <row r="841" spans="1:10" x14ac:dyDescent="0.3">
      <c r="A841" s="84">
        <v>840</v>
      </c>
      <c r="B841" s="84" t="s">
        <v>1693</v>
      </c>
      <c r="C841" s="87" t="s">
        <v>1610</v>
      </c>
      <c r="D841" s="115" t="s">
        <v>1694</v>
      </c>
      <c r="E841" s="85" t="s">
        <v>1294</v>
      </c>
      <c r="F841" s="85">
        <v>46022</v>
      </c>
      <c r="G841" s="85" t="s">
        <v>625</v>
      </c>
      <c r="H841" s="85" t="str">
        <f>TEXT(Table7[[#This Row],[EXPIRY DATE]],"YYY")</f>
        <v>2025</v>
      </c>
      <c r="I841" s="84" t="s">
        <v>602</v>
      </c>
      <c r="J841" s="69"/>
    </row>
    <row r="842" spans="1:10" x14ac:dyDescent="0.3">
      <c r="A842" s="84">
        <v>841</v>
      </c>
      <c r="B842" s="84" t="s">
        <v>386</v>
      </c>
      <c r="C842" s="87" t="s">
        <v>1610</v>
      </c>
      <c r="D842" s="115" t="s">
        <v>1695</v>
      </c>
      <c r="E842" s="85" t="s">
        <v>386</v>
      </c>
      <c r="F842" s="85">
        <v>46022</v>
      </c>
      <c r="G842" s="85" t="s">
        <v>625</v>
      </c>
      <c r="H842" s="85" t="str">
        <f>TEXT(Table7[[#This Row],[EXPIRY DATE]],"YYY")</f>
        <v>2025</v>
      </c>
      <c r="I842" s="84" t="s">
        <v>602</v>
      </c>
      <c r="J842" s="69"/>
    </row>
    <row r="843" spans="1:10" x14ac:dyDescent="0.3">
      <c r="A843" s="84">
        <v>842</v>
      </c>
      <c r="B843" s="84" t="s">
        <v>1696</v>
      </c>
      <c r="C843" s="87" t="s">
        <v>1610</v>
      </c>
      <c r="D843" s="115" t="s">
        <v>1697</v>
      </c>
      <c r="E843" s="85" t="s">
        <v>640</v>
      </c>
      <c r="F843" s="85">
        <v>46022</v>
      </c>
      <c r="G843" s="85" t="s">
        <v>625</v>
      </c>
      <c r="H843" s="85" t="str">
        <f>TEXT(Table7[[#This Row],[EXPIRY DATE]],"YYY")</f>
        <v>2025</v>
      </c>
      <c r="I843" s="84" t="s">
        <v>602</v>
      </c>
      <c r="J843" s="69"/>
    </row>
    <row r="844" spans="1:10" x14ac:dyDescent="0.3">
      <c r="A844" s="84">
        <v>843</v>
      </c>
      <c r="B844" s="84" t="s">
        <v>1698</v>
      </c>
      <c r="C844" s="87" t="s">
        <v>1610</v>
      </c>
      <c r="D844" s="115" t="s">
        <v>1699</v>
      </c>
      <c r="E844" s="85" t="s">
        <v>1700</v>
      </c>
      <c r="F844" s="85">
        <v>46022</v>
      </c>
      <c r="G844" s="85" t="s">
        <v>625</v>
      </c>
      <c r="H844" s="85" t="str">
        <f>TEXT(Table7[[#This Row],[EXPIRY DATE]],"YYY")</f>
        <v>2025</v>
      </c>
      <c r="I844" s="84" t="s">
        <v>602</v>
      </c>
      <c r="J844" s="69"/>
    </row>
    <row r="845" spans="1:10" x14ac:dyDescent="0.3">
      <c r="A845" s="84">
        <v>844</v>
      </c>
      <c r="B845" s="84" t="s">
        <v>1701</v>
      </c>
      <c r="C845" s="87" t="s">
        <v>1610</v>
      </c>
      <c r="D845" s="115" t="s">
        <v>1702</v>
      </c>
      <c r="E845" s="85" t="s">
        <v>640</v>
      </c>
      <c r="F845" s="85">
        <v>46022</v>
      </c>
      <c r="G845" s="85" t="s">
        <v>625</v>
      </c>
      <c r="H845" s="85" t="str">
        <f>TEXT(Table7[[#This Row],[EXPIRY DATE]],"YYY")</f>
        <v>2025</v>
      </c>
      <c r="I845" s="84" t="s">
        <v>602</v>
      </c>
      <c r="J845" s="69"/>
    </row>
    <row r="846" spans="1:10" ht="20.399999999999999" x14ac:dyDescent="0.3">
      <c r="A846" s="84">
        <v>845</v>
      </c>
      <c r="B846" s="84" t="s">
        <v>1686</v>
      </c>
      <c r="C846" s="87" t="s">
        <v>1610</v>
      </c>
      <c r="D846" s="115" t="s">
        <v>1687</v>
      </c>
      <c r="E846" s="85" t="s">
        <v>640</v>
      </c>
      <c r="F846" s="85">
        <v>46022</v>
      </c>
      <c r="G846" s="85" t="s">
        <v>625</v>
      </c>
      <c r="H846" s="85" t="str">
        <f>TEXT(Table7[[#This Row],[EXPIRY DATE]],"YYY")</f>
        <v>2025</v>
      </c>
      <c r="I846" s="84" t="s">
        <v>602</v>
      </c>
      <c r="J846" s="69"/>
    </row>
    <row r="847" spans="1:10" x14ac:dyDescent="0.3">
      <c r="A847" s="84">
        <v>846</v>
      </c>
      <c r="B847" s="84" t="s">
        <v>1703</v>
      </c>
      <c r="C847" s="87" t="s">
        <v>1610</v>
      </c>
      <c r="D847" s="115" t="s">
        <v>1704</v>
      </c>
      <c r="E847" s="85" t="s">
        <v>717</v>
      </c>
      <c r="F847" s="85">
        <v>46029</v>
      </c>
      <c r="G847" s="85" t="str">
        <f>TEXT(Table7[[#This Row],[EXPIRY DATE]],"MMM")</f>
        <v>Jan</v>
      </c>
      <c r="H847" s="85" t="str">
        <f>TEXT(Table7[[#This Row],[EXPIRY DATE]],"YYY")</f>
        <v>2026</v>
      </c>
      <c r="I847" s="85" t="s">
        <v>791</v>
      </c>
      <c r="J847" s="69"/>
    </row>
    <row r="848" spans="1:10" ht="30.6" x14ac:dyDescent="0.3">
      <c r="A848" s="84">
        <v>847</v>
      </c>
      <c r="B848" s="84" t="s">
        <v>1197</v>
      </c>
      <c r="C848" s="87" t="s">
        <v>1610</v>
      </c>
      <c r="D848" s="115" t="s">
        <v>1198</v>
      </c>
      <c r="E848" s="85" t="s">
        <v>1014</v>
      </c>
      <c r="F848" s="85">
        <v>46038</v>
      </c>
      <c r="G848" s="85" t="s">
        <v>936</v>
      </c>
      <c r="H848" s="85" t="str">
        <f>TEXT(Table7[[#This Row],[EXPIRY DATE]],"YYY")</f>
        <v>2026</v>
      </c>
      <c r="I848" s="84" t="s">
        <v>791</v>
      </c>
      <c r="J848" s="69"/>
    </row>
    <row r="849" spans="1:10" x14ac:dyDescent="0.3">
      <c r="A849" s="84">
        <v>848</v>
      </c>
      <c r="B849" s="84" t="s">
        <v>1705</v>
      </c>
      <c r="C849" s="87" t="s">
        <v>1610</v>
      </c>
      <c r="D849" s="115" t="s">
        <v>1706</v>
      </c>
      <c r="E849" s="85" t="s">
        <v>717</v>
      </c>
      <c r="F849" s="85">
        <v>46038</v>
      </c>
      <c r="G849" s="85" t="str">
        <f>TEXT(Table7[[#This Row],[EXPIRY DATE]],"MMM")</f>
        <v>Jan</v>
      </c>
      <c r="H849" s="85" t="str">
        <f>TEXT(Table7[[#This Row],[EXPIRY DATE]],"YYY")</f>
        <v>2026</v>
      </c>
      <c r="I849" s="84" t="s">
        <v>791</v>
      </c>
      <c r="J849" s="69"/>
    </row>
    <row r="850" spans="1:10" x14ac:dyDescent="0.3">
      <c r="A850" s="84">
        <v>849</v>
      </c>
      <c r="B850" s="84" t="s">
        <v>1707</v>
      </c>
      <c r="C850" s="87" t="s">
        <v>1610</v>
      </c>
      <c r="D850" s="115" t="s">
        <v>1708</v>
      </c>
      <c r="E850" s="85"/>
      <c r="F850" s="85">
        <v>46038</v>
      </c>
      <c r="G850" s="85" t="str">
        <f>TEXT(Table7[[#This Row],[EXPIRY DATE]],"MMM")</f>
        <v>Jan</v>
      </c>
      <c r="H850" s="85" t="str">
        <f>TEXT(Table7[[#This Row],[EXPIRY DATE]],"YYY")</f>
        <v>2026</v>
      </c>
      <c r="I850" s="84" t="s">
        <v>791</v>
      </c>
      <c r="J850" s="69"/>
    </row>
    <row r="851" spans="1:10" x14ac:dyDescent="0.3">
      <c r="A851" s="84">
        <v>850</v>
      </c>
      <c r="B851" s="84" t="s">
        <v>1709</v>
      </c>
      <c r="C851" s="87" t="s">
        <v>1610</v>
      </c>
      <c r="D851" s="115" t="s">
        <v>1710</v>
      </c>
      <c r="E851" s="85" t="s">
        <v>802</v>
      </c>
      <c r="F851" s="85">
        <v>46039</v>
      </c>
      <c r="G851" s="85" t="str">
        <f>TEXT(Table7[[#This Row],[EXPIRY DATE]],"MMM")</f>
        <v>Jan</v>
      </c>
      <c r="H851" s="85" t="str">
        <f>TEXT(Table7[[#This Row],[EXPIRY DATE]],"YYY")</f>
        <v>2026</v>
      </c>
      <c r="I851" s="84" t="s">
        <v>791</v>
      </c>
      <c r="J851" s="69"/>
    </row>
    <row r="852" spans="1:10" x14ac:dyDescent="0.3">
      <c r="A852" s="84">
        <v>851</v>
      </c>
      <c r="B852" s="84" t="s">
        <v>1190</v>
      </c>
      <c r="C852" s="87" t="s">
        <v>1610</v>
      </c>
      <c r="D852" s="115" t="s">
        <v>1191</v>
      </c>
      <c r="E852" s="85" t="s">
        <v>1565</v>
      </c>
      <c r="F852" s="85">
        <v>46048</v>
      </c>
      <c r="G852" s="85" t="str">
        <f>TEXT(Table7[[#This Row],[EXPIRY DATE]],"MMM")</f>
        <v>Jan</v>
      </c>
      <c r="H852" s="85" t="str">
        <f>TEXT(Table7[[#This Row],[EXPIRY DATE]],"YYY")</f>
        <v>2026</v>
      </c>
      <c r="I852" s="84" t="s">
        <v>791</v>
      </c>
      <c r="J852" s="69"/>
    </row>
    <row r="853" spans="1:10" x14ac:dyDescent="0.3">
      <c r="A853" s="84">
        <v>852</v>
      </c>
      <c r="B853" s="84" t="s">
        <v>1711</v>
      </c>
      <c r="C853" s="87" t="s">
        <v>1610</v>
      </c>
      <c r="D853" s="115" t="s">
        <v>1712</v>
      </c>
      <c r="E853" s="85" t="s">
        <v>717</v>
      </c>
      <c r="F853" s="85">
        <v>46055</v>
      </c>
      <c r="G853" s="85" t="str">
        <f>TEXT(Table7[[#This Row],[EXPIRY DATE]],"MMM")</f>
        <v>Feb</v>
      </c>
      <c r="H853" s="85" t="str">
        <f>TEXT(Table7[[#This Row],[EXPIRY DATE]],"YYY")</f>
        <v>2026</v>
      </c>
      <c r="I853" s="84" t="s">
        <v>602</v>
      </c>
      <c r="J853" s="69"/>
    </row>
    <row r="854" spans="1:10" ht="20.399999999999999" x14ac:dyDescent="0.3">
      <c r="A854" s="84">
        <v>853</v>
      </c>
      <c r="B854" s="84" t="s">
        <v>1216</v>
      </c>
      <c r="C854" s="87" t="s">
        <v>1610</v>
      </c>
      <c r="D854" s="115" t="s">
        <v>1713</v>
      </c>
      <c r="E854" s="85" t="s">
        <v>717</v>
      </c>
      <c r="F854" s="85">
        <v>46055</v>
      </c>
      <c r="G854" s="85" t="str">
        <f>TEXT(Table7[[#This Row],[EXPIRY DATE]],"MMM")</f>
        <v>Feb</v>
      </c>
      <c r="H854" s="85" t="str">
        <f>TEXT(Table7[[#This Row],[EXPIRY DATE]],"YYY")</f>
        <v>2026</v>
      </c>
      <c r="I854" s="84" t="s">
        <v>602</v>
      </c>
      <c r="J854" s="69"/>
    </row>
    <row r="855" spans="1:10" x14ac:dyDescent="0.3">
      <c r="A855" s="84">
        <v>854</v>
      </c>
      <c r="B855" s="84" t="s">
        <v>1670</v>
      </c>
      <c r="C855" s="87" t="s">
        <v>1610</v>
      </c>
      <c r="D855" s="115" t="s">
        <v>1671</v>
      </c>
      <c r="E855" s="85" t="s">
        <v>601</v>
      </c>
      <c r="F855" s="85">
        <v>46055</v>
      </c>
      <c r="G855" s="85" t="str">
        <f>TEXT(Table7[[#This Row],[EXPIRY DATE]],"MMM")</f>
        <v>Feb</v>
      </c>
      <c r="H855" s="85" t="str">
        <f>TEXT(Table7[[#This Row],[EXPIRY DATE]],"YYY")</f>
        <v>2026</v>
      </c>
      <c r="I855" s="84" t="s">
        <v>602</v>
      </c>
      <c r="J855" s="69"/>
    </row>
    <row r="856" spans="1:10" ht="30.6" x14ac:dyDescent="0.3">
      <c r="A856" s="84">
        <v>855</v>
      </c>
      <c r="B856" s="84" t="s">
        <v>1714</v>
      </c>
      <c r="C856" s="87" t="s">
        <v>1610</v>
      </c>
      <c r="D856" s="115" t="s">
        <v>1715</v>
      </c>
      <c r="E856" s="85" t="s">
        <v>717</v>
      </c>
      <c r="F856" s="85">
        <v>46055</v>
      </c>
      <c r="G856" s="85" t="str">
        <f>TEXT(Table7[[#This Row],[EXPIRY DATE]],"MMM")</f>
        <v>Feb</v>
      </c>
      <c r="H856" s="85" t="str">
        <f>TEXT(Table7[[#This Row],[EXPIRY DATE]],"YYY")</f>
        <v>2026</v>
      </c>
      <c r="I856" s="84" t="s">
        <v>602</v>
      </c>
      <c r="J856" s="69"/>
    </row>
    <row r="857" spans="1:10" x14ac:dyDescent="0.3">
      <c r="A857" s="84">
        <v>856</v>
      </c>
      <c r="B857" s="84" t="s">
        <v>1716</v>
      </c>
      <c r="C857" s="87" t="s">
        <v>1610</v>
      </c>
      <c r="D857" s="115" t="s">
        <v>1717</v>
      </c>
      <c r="E857" s="85" t="s">
        <v>717</v>
      </c>
      <c r="F857" s="85">
        <v>46055</v>
      </c>
      <c r="G857" s="85" t="str">
        <f>TEXT(Table7[[#This Row],[EXPIRY DATE]],"MMM")</f>
        <v>Feb</v>
      </c>
      <c r="H857" s="85" t="str">
        <f>TEXT(Table7[[#This Row],[EXPIRY DATE]],"YYY")</f>
        <v>2026</v>
      </c>
      <c r="I857" s="84" t="s">
        <v>602</v>
      </c>
      <c r="J857" s="69"/>
    </row>
    <row r="858" spans="1:10" x14ac:dyDescent="0.3">
      <c r="A858" s="84">
        <v>857</v>
      </c>
      <c r="B858" s="84" t="s">
        <v>1703</v>
      </c>
      <c r="C858" s="87" t="s">
        <v>1610</v>
      </c>
      <c r="D858" s="115" t="s">
        <v>1718</v>
      </c>
      <c r="E858" s="85" t="s">
        <v>717</v>
      </c>
      <c r="F858" s="85">
        <v>46055</v>
      </c>
      <c r="G858" s="85" t="str">
        <f>TEXT(Table7[[#This Row],[EXPIRY DATE]],"MMM")</f>
        <v>Feb</v>
      </c>
      <c r="H858" s="85" t="str">
        <f>TEXT(Table7[[#This Row],[EXPIRY DATE]],"YYY")</f>
        <v>2026</v>
      </c>
      <c r="I858" s="84" t="s">
        <v>602</v>
      </c>
      <c r="J858" s="69"/>
    </row>
    <row r="859" spans="1:10" x14ac:dyDescent="0.3">
      <c r="A859" s="84">
        <v>858</v>
      </c>
      <c r="B859" s="84" t="s">
        <v>1668</v>
      </c>
      <c r="C859" s="87" t="s">
        <v>1610</v>
      </c>
      <c r="D859" s="115" t="s">
        <v>1719</v>
      </c>
      <c r="E859" s="85" t="s">
        <v>601</v>
      </c>
      <c r="F859" s="85">
        <v>46056</v>
      </c>
      <c r="G859" s="85" t="str">
        <f>TEXT(Table7[[#This Row],[EXPIRY DATE]],"MMM")</f>
        <v>Feb</v>
      </c>
      <c r="H859" s="85" t="str">
        <f>TEXT(Table7[[#This Row],[EXPIRY DATE]],"YYY")</f>
        <v>2026</v>
      </c>
      <c r="I859" s="84" t="s">
        <v>602</v>
      </c>
      <c r="J859" s="69"/>
    </row>
    <row r="860" spans="1:10" x14ac:dyDescent="0.3">
      <c r="A860" s="84">
        <v>859</v>
      </c>
      <c r="B860" s="84" t="s">
        <v>1720</v>
      </c>
      <c r="C860" s="87" t="s">
        <v>1610</v>
      </c>
      <c r="D860" s="115" t="s">
        <v>1721</v>
      </c>
      <c r="E860" s="85" t="s">
        <v>717</v>
      </c>
      <c r="F860" s="85">
        <v>46056</v>
      </c>
      <c r="G860" s="85" t="str">
        <f>TEXT(Table7[[#This Row],[EXPIRY DATE]],"MMM")</f>
        <v>Feb</v>
      </c>
      <c r="H860" s="85" t="str">
        <f>TEXT(Table7[[#This Row],[EXPIRY DATE]],"YYY")</f>
        <v>2026</v>
      </c>
      <c r="I860" s="84" t="s">
        <v>791</v>
      </c>
      <c r="J860" s="69"/>
    </row>
    <row r="861" spans="1:10" x14ac:dyDescent="0.3">
      <c r="A861" s="84">
        <v>860</v>
      </c>
      <c r="B861" s="84" t="s">
        <v>1722</v>
      </c>
      <c r="C861" s="87" t="s">
        <v>1610</v>
      </c>
      <c r="D861" s="115" t="s">
        <v>1723</v>
      </c>
      <c r="E861" s="85" t="s">
        <v>1179</v>
      </c>
      <c r="F861" s="85">
        <v>46060</v>
      </c>
      <c r="G861" s="85" t="s">
        <v>887</v>
      </c>
      <c r="H861" s="85" t="str">
        <f>TEXT(Table7[[#This Row],[EXPIRY DATE]],"YYY")</f>
        <v>2026</v>
      </c>
      <c r="I861" s="84" t="s">
        <v>791</v>
      </c>
      <c r="J861" s="69"/>
    </row>
    <row r="862" spans="1:10" x14ac:dyDescent="0.3">
      <c r="A862" s="84">
        <v>861</v>
      </c>
      <c r="B862" s="84" t="s">
        <v>1203</v>
      </c>
      <c r="C862" s="87" t="s">
        <v>1610</v>
      </c>
      <c r="D862" s="115" t="s">
        <v>1204</v>
      </c>
      <c r="E862" s="85" t="s">
        <v>1164</v>
      </c>
      <c r="F862" s="85">
        <v>46065</v>
      </c>
      <c r="G862" s="85" t="s">
        <v>887</v>
      </c>
      <c r="H862" s="85" t="str">
        <f>TEXT(Table7[[#This Row],[EXPIRY DATE]],"YYY")</f>
        <v>2026</v>
      </c>
      <c r="I862" s="84" t="s">
        <v>602</v>
      </c>
      <c r="J862" s="69"/>
    </row>
    <row r="863" spans="1:10" x14ac:dyDescent="0.3">
      <c r="A863" s="84">
        <v>862</v>
      </c>
      <c r="B863" s="84" t="s">
        <v>1711</v>
      </c>
      <c r="C863" s="87" t="s">
        <v>1610</v>
      </c>
      <c r="D863" s="115" t="s">
        <v>1712</v>
      </c>
      <c r="E863" s="85" t="s">
        <v>717</v>
      </c>
      <c r="F863" s="85">
        <v>46071</v>
      </c>
      <c r="G863" s="85" t="str">
        <f>TEXT(Table7[[#This Row],[EXPIRY DATE]],"MMM")</f>
        <v>Feb</v>
      </c>
      <c r="H863" s="85" t="str">
        <f>TEXT(Table7[[#This Row],[EXPIRY DATE]],"YYY")</f>
        <v>2026</v>
      </c>
      <c r="I863" s="85" t="s">
        <v>791</v>
      </c>
      <c r="J863" s="69"/>
    </row>
    <row r="864" spans="1:10" x14ac:dyDescent="0.3">
      <c r="A864" s="84">
        <v>863</v>
      </c>
      <c r="B864" s="84" t="s">
        <v>1716</v>
      </c>
      <c r="C864" s="87" t="s">
        <v>1610</v>
      </c>
      <c r="D864" s="115" t="s">
        <v>1717</v>
      </c>
      <c r="E864" s="85" t="s">
        <v>717</v>
      </c>
      <c r="F864" s="85">
        <v>46071</v>
      </c>
      <c r="G864" s="85" t="str">
        <f>TEXT(Table7[[#This Row],[EXPIRY DATE]],"MMM")</f>
        <v>Feb</v>
      </c>
      <c r="H864" s="85" t="str">
        <f>TEXT(Table7[[#This Row],[EXPIRY DATE]],"YYY")</f>
        <v>2026</v>
      </c>
      <c r="I864" s="85" t="s">
        <v>791</v>
      </c>
      <c r="J864" s="69"/>
    </row>
    <row r="865" spans="1:10" x14ac:dyDescent="0.3">
      <c r="A865" s="84">
        <v>864</v>
      </c>
      <c r="B865" s="84" t="s">
        <v>1724</v>
      </c>
      <c r="C865" s="84" t="s">
        <v>1610</v>
      </c>
      <c r="D865" s="115" t="s">
        <v>1725</v>
      </c>
      <c r="E865" s="85" t="s">
        <v>598</v>
      </c>
      <c r="F865" s="85">
        <v>46074</v>
      </c>
      <c r="G865" s="85" t="str">
        <f>TEXT(Table7[[#This Row],[EXPIRY DATE]],"MMM")</f>
        <v>Feb</v>
      </c>
      <c r="H865" s="85" t="str">
        <f>TEXT(Table7[[#This Row],[EXPIRY DATE]],"YYY")</f>
        <v>2026</v>
      </c>
      <c r="I865" s="84" t="s">
        <v>791</v>
      </c>
      <c r="J865" s="69"/>
    </row>
    <row r="866" spans="1:10" x14ac:dyDescent="0.3">
      <c r="A866" s="84">
        <v>865</v>
      </c>
      <c r="B866" s="84" t="s">
        <v>1690</v>
      </c>
      <c r="C866" s="87" t="s">
        <v>1610</v>
      </c>
      <c r="D866" s="115" t="s">
        <v>1691</v>
      </c>
      <c r="E866" s="85" t="s">
        <v>1692</v>
      </c>
      <c r="F866" s="85">
        <v>46080</v>
      </c>
      <c r="G866" s="85" t="str">
        <f>TEXT(Table7[[#This Row],[EXPIRY DATE]],"MMM")</f>
        <v>Feb</v>
      </c>
      <c r="H866" s="85" t="str">
        <f>TEXT(Table7[[#This Row],[EXPIRY DATE]],"YYY")</f>
        <v>2026</v>
      </c>
      <c r="I866" s="84" t="s">
        <v>791</v>
      </c>
      <c r="J866" s="69"/>
    </row>
    <row r="867" spans="1:10" x14ac:dyDescent="0.3">
      <c r="A867" s="84">
        <v>866</v>
      </c>
      <c r="B867" s="84" t="s">
        <v>1726</v>
      </c>
      <c r="C867" s="87" t="s">
        <v>1610</v>
      </c>
      <c r="D867" s="115" t="s">
        <v>1727</v>
      </c>
      <c r="E867" s="85"/>
      <c r="F867" s="85">
        <v>46080</v>
      </c>
      <c r="G867" s="85" t="str">
        <f>TEXT(Table7[[#This Row],[EXPIRY DATE]],"MMM")</f>
        <v>Feb</v>
      </c>
      <c r="H867" s="85" t="str">
        <f>TEXT(Table7[[#This Row],[EXPIRY DATE]],"YYY")</f>
        <v>2026</v>
      </c>
      <c r="I867" s="84" t="s">
        <v>791</v>
      </c>
      <c r="J867" s="69"/>
    </row>
    <row r="868" spans="1:10" ht="20.399999999999999" x14ac:dyDescent="0.3">
      <c r="A868" s="84">
        <v>867</v>
      </c>
      <c r="B868" s="84" t="s">
        <v>1651</v>
      </c>
      <c r="C868" s="87" t="s">
        <v>1610</v>
      </c>
      <c r="D868" s="115" t="s">
        <v>1652</v>
      </c>
      <c r="E868" s="85" t="s">
        <v>601</v>
      </c>
      <c r="F868" s="85">
        <v>46081</v>
      </c>
      <c r="G868" s="85" t="str">
        <f>TEXT(Table7[[#This Row],[EXPIRY DATE]],"MMM")</f>
        <v>Feb</v>
      </c>
      <c r="H868" s="85" t="str">
        <f>TEXT(Table7[[#This Row],[EXPIRY DATE]],"YYY")</f>
        <v>2026</v>
      </c>
      <c r="I868" s="85" t="s">
        <v>791</v>
      </c>
      <c r="J868" s="69"/>
    </row>
    <row r="869" spans="1:10" x14ac:dyDescent="0.3">
      <c r="A869" s="84">
        <v>868</v>
      </c>
      <c r="B869" s="84" t="s">
        <v>1728</v>
      </c>
      <c r="C869" s="87" t="s">
        <v>1610</v>
      </c>
      <c r="D869" s="115" t="s">
        <v>1729</v>
      </c>
      <c r="E869" s="85" t="s">
        <v>601</v>
      </c>
      <c r="F869" s="85">
        <v>46081</v>
      </c>
      <c r="G869" s="85" t="str">
        <f>TEXT(Table7[[#This Row],[EXPIRY DATE]],"MMM")</f>
        <v>Feb</v>
      </c>
      <c r="H869" s="85" t="str">
        <f>TEXT(Table7[[#This Row],[EXPIRY DATE]],"YYY")</f>
        <v>2026</v>
      </c>
      <c r="I869" s="85" t="s">
        <v>791</v>
      </c>
      <c r="J869" s="69"/>
    </row>
    <row r="870" spans="1:10" ht="20.399999999999999" x14ac:dyDescent="0.3">
      <c r="A870" s="84">
        <v>869</v>
      </c>
      <c r="B870" s="84" t="s">
        <v>1649</v>
      </c>
      <c r="C870" s="87" t="s">
        <v>1610</v>
      </c>
      <c r="D870" s="115" t="s">
        <v>1650</v>
      </c>
      <c r="E870" s="85" t="s">
        <v>601</v>
      </c>
      <c r="F870" s="85">
        <v>46081</v>
      </c>
      <c r="G870" s="85" t="str">
        <f>TEXT(Table7[[#This Row],[EXPIRY DATE]],"MMM")</f>
        <v>Feb</v>
      </c>
      <c r="H870" s="85" t="str">
        <f>TEXT(Table7[[#This Row],[EXPIRY DATE]],"YYY")</f>
        <v>2026</v>
      </c>
      <c r="I870" s="85" t="s">
        <v>791</v>
      </c>
      <c r="J870" s="69"/>
    </row>
    <row r="871" spans="1:10" x14ac:dyDescent="0.3">
      <c r="A871" s="84">
        <v>870</v>
      </c>
      <c r="B871" s="84" t="s">
        <v>1634</v>
      </c>
      <c r="C871" s="87" t="s">
        <v>1610</v>
      </c>
      <c r="D871" s="115" t="s">
        <v>1635</v>
      </c>
      <c r="E871" s="85" t="s">
        <v>1636</v>
      </c>
      <c r="F871" s="85">
        <v>46087</v>
      </c>
      <c r="G871" s="85" t="str">
        <f>TEXT(Table7[[#This Row],[EXPIRY DATE]],"MMM")</f>
        <v>Mar</v>
      </c>
      <c r="H871" s="85" t="str">
        <f>TEXT(Table7[[#This Row],[EXPIRY DATE]],"YYY")</f>
        <v>2026</v>
      </c>
      <c r="I871" s="85" t="s">
        <v>791</v>
      </c>
      <c r="J871" s="69"/>
    </row>
    <row r="872" spans="1:10" x14ac:dyDescent="0.3">
      <c r="A872" s="84">
        <v>871</v>
      </c>
      <c r="B872" s="84" t="s">
        <v>1645</v>
      </c>
      <c r="C872" s="87" t="s">
        <v>1610</v>
      </c>
      <c r="D872" s="115" t="s">
        <v>1646</v>
      </c>
      <c r="E872" s="85" t="s">
        <v>601</v>
      </c>
      <c r="F872" s="85">
        <v>46109</v>
      </c>
      <c r="G872" s="85" t="str">
        <f>TEXT(Table7[[#This Row],[EXPIRY DATE]],"MMM")</f>
        <v>Mar</v>
      </c>
      <c r="H872" s="85" t="str">
        <f>TEXT(Table7[[#This Row],[EXPIRY DATE]],"YYY")</f>
        <v>2026</v>
      </c>
      <c r="I872" s="85" t="s">
        <v>791</v>
      </c>
      <c r="J872" s="69"/>
    </row>
    <row r="873" spans="1:10" x14ac:dyDescent="0.3">
      <c r="A873" s="84">
        <v>872</v>
      </c>
      <c r="B873" s="84" t="s">
        <v>1203</v>
      </c>
      <c r="C873" s="87" t="s">
        <v>1610</v>
      </c>
      <c r="D873" s="115" t="s">
        <v>1204</v>
      </c>
      <c r="E873" s="85" t="s">
        <v>1164</v>
      </c>
      <c r="F873" s="85">
        <v>46109</v>
      </c>
      <c r="G873" s="85" t="s">
        <v>606</v>
      </c>
      <c r="H873" s="85" t="str">
        <f>TEXT(Table7[[#This Row],[EXPIRY DATE]],"YYY")</f>
        <v>2026</v>
      </c>
      <c r="I873" s="84" t="s">
        <v>791</v>
      </c>
      <c r="J873" s="69"/>
    </row>
    <row r="874" spans="1:10" x14ac:dyDescent="0.3">
      <c r="A874" s="84">
        <v>873</v>
      </c>
      <c r="B874" s="84" t="s">
        <v>1162</v>
      </c>
      <c r="C874" s="87" t="s">
        <v>1610</v>
      </c>
      <c r="D874" s="115" t="s">
        <v>1673</v>
      </c>
      <c r="E874" s="85" t="s">
        <v>1164</v>
      </c>
      <c r="F874" s="85">
        <v>46112</v>
      </c>
      <c r="G874" s="85" t="str">
        <f>TEXT(Table7[[#This Row],[EXPIRY DATE]],"MMM")</f>
        <v>Mar</v>
      </c>
      <c r="H874" s="85" t="str">
        <f>TEXT(Table7[[#This Row],[EXPIRY DATE]],"YYY")</f>
        <v>2026</v>
      </c>
      <c r="I874" s="84" t="s">
        <v>607</v>
      </c>
      <c r="J874" s="69"/>
    </row>
    <row r="875" spans="1:10" ht="20.399999999999999" x14ac:dyDescent="0.3">
      <c r="A875" s="84">
        <v>874</v>
      </c>
      <c r="B875" s="84" t="s">
        <v>1730</v>
      </c>
      <c r="C875" s="87" t="s">
        <v>1610</v>
      </c>
      <c r="D875" s="115" t="s">
        <v>1731</v>
      </c>
      <c r="E875" s="85" t="s">
        <v>1732</v>
      </c>
      <c r="F875" s="85">
        <v>46112</v>
      </c>
      <c r="G875" s="85" t="str">
        <f>TEXT(Table7[[#This Row],[EXPIRY DATE]],"MMM")</f>
        <v>Mar</v>
      </c>
      <c r="H875" s="85" t="str">
        <f>TEXT(Table7[[#This Row],[EXPIRY DATE]],"YYY")</f>
        <v>2026</v>
      </c>
      <c r="I875" s="84" t="s">
        <v>845</v>
      </c>
      <c r="J875" s="69"/>
    </row>
    <row r="876" spans="1:10" x14ac:dyDescent="0.3">
      <c r="A876" s="84">
        <v>875</v>
      </c>
      <c r="B876" s="84" t="s">
        <v>1722</v>
      </c>
      <c r="C876" s="87" t="s">
        <v>1610</v>
      </c>
      <c r="D876" s="115" t="s">
        <v>1733</v>
      </c>
      <c r="E876" s="85" t="s">
        <v>1179</v>
      </c>
      <c r="F876" s="85">
        <v>46112</v>
      </c>
      <c r="G876" s="85" t="s">
        <v>606</v>
      </c>
      <c r="H876" s="85" t="str">
        <f>TEXT(Table7[[#This Row],[EXPIRY DATE]],"YYY")</f>
        <v>2026</v>
      </c>
      <c r="I876" s="84" t="s">
        <v>602</v>
      </c>
      <c r="J876" s="69"/>
    </row>
    <row r="877" spans="1:10" x14ac:dyDescent="0.3">
      <c r="A877" s="84">
        <v>876</v>
      </c>
      <c r="B877" s="84" t="s">
        <v>1229</v>
      </c>
      <c r="C877" s="87" t="s">
        <v>1610</v>
      </c>
      <c r="D877" s="115" t="s">
        <v>1734</v>
      </c>
      <c r="E877" s="85" t="s">
        <v>1179</v>
      </c>
      <c r="F877" s="85">
        <v>46112</v>
      </c>
      <c r="G877" s="85" t="s">
        <v>606</v>
      </c>
      <c r="H877" s="85" t="str">
        <f>TEXT(Table7[[#This Row],[EXPIRY DATE]],"YYY")</f>
        <v>2026</v>
      </c>
      <c r="I877" s="84" t="s">
        <v>602</v>
      </c>
      <c r="J877" s="69"/>
    </row>
    <row r="878" spans="1:10" x14ac:dyDescent="0.3">
      <c r="A878" s="84">
        <v>877</v>
      </c>
      <c r="B878" s="84" t="s">
        <v>1735</v>
      </c>
      <c r="C878" s="84" t="s">
        <v>1610</v>
      </c>
      <c r="D878" s="115" t="s">
        <v>1736</v>
      </c>
      <c r="E878" s="85" t="s">
        <v>595</v>
      </c>
      <c r="F878" s="85">
        <v>46112</v>
      </c>
      <c r="G878" s="85" t="s">
        <v>606</v>
      </c>
      <c r="H878" s="85" t="str">
        <f>TEXT(Table7[[#This Row],[EXPIRY DATE]],"YYY")</f>
        <v>2026</v>
      </c>
      <c r="I878" s="84" t="s">
        <v>602</v>
      </c>
      <c r="J878" s="69"/>
    </row>
    <row r="879" spans="1:10" x14ac:dyDescent="0.3">
      <c r="A879" s="84">
        <v>878</v>
      </c>
      <c r="B879" s="84" t="s">
        <v>1735</v>
      </c>
      <c r="C879" s="84" t="s">
        <v>1610</v>
      </c>
      <c r="D879" s="115" t="s">
        <v>1736</v>
      </c>
      <c r="E879" s="85" t="s">
        <v>595</v>
      </c>
      <c r="F879" s="85">
        <v>46112</v>
      </c>
      <c r="G879" s="85" t="s">
        <v>606</v>
      </c>
      <c r="H879" s="85" t="str">
        <f>TEXT(Table7[[#This Row],[EXPIRY DATE]],"YYY")</f>
        <v>2026</v>
      </c>
      <c r="I879" s="84" t="s">
        <v>839</v>
      </c>
      <c r="J879" s="69"/>
    </row>
    <row r="880" spans="1:10" x14ac:dyDescent="0.3">
      <c r="A880" s="84">
        <v>879</v>
      </c>
      <c r="B880" s="84" t="s">
        <v>1737</v>
      </c>
      <c r="C880" s="87" t="s">
        <v>1610</v>
      </c>
      <c r="D880" s="115" t="s">
        <v>1738</v>
      </c>
      <c r="E880" s="85" t="s">
        <v>1179</v>
      </c>
      <c r="F880" s="85">
        <v>46112</v>
      </c>
      <c r="G880" s="85" t="s">
        <v>606</v>
      </c>
      <c r="H880" s="85" t="str">
        <f>TEXT(Table7[[#This Row],[EXPIRY DATE]],"YYY")</f>
        <v>2026</v>
      </c>
      <c r="I880" s="84" t="s">
        <v>602</v>
      </c>
      <c r="J880" s="69"/>
    </row>
    <row r="881" spans="1:10" x14ac:dyDescent="0.3">
      <c r="A881" s="84">
        <v>880</v>
      </c>
      <c r="B881" s="84" t="s">
        <v>1203</v>
      </c>
      <c r="C881" s="87" t="s">
        <v>1610</v>
      </c>
      <c r="D881" s="115" t="s">
        <v>1204</v>
      </c>
      <c r="E881" s="85" t="s">
        <v>1164</v>
      </c>
      <c r="F881" s="85">
        <v>46112</v>
      </c>
      <c r="G881" s="85" t="s">
        <v>606</v>
      </c>
      <c r="H881" s="85" t="str">
        <f>TEXT(Table7[[#This Row],[EXPIRY DATE]],"YYY")</f>
        <v>2026</v>
      </c>
      <c r="I881" s="84" t="s">
        <v>607</v>
      </c>
      <c r="J881" s="69"/>
    </row>
    <row r="882" spans="1:10" ht="20.399999999999999" x14ac:dyDescent="0.3">
      <c r="A882" s="84">
        <v>881</v>
      </c>
      <c r="B882" s="84" t="s">
        <v>1739</v>
      </c>
      <c r="C882" s="87" t="s">
        <v>1610</v>
      </c>
      <c r="D882" s="115" t="s">
        <v>1740</v>
      </c>
      <c r="E882" s="85" t="s">
        <v>652</v>
      </c>
      <c r="F882" s="85">
        <v>46112</v>
      </c>
      <c r="G882" s="85" t="str">
        <f>TEXT(Table7[[#This Row],[EXPIRY DATE]],"MMM")</f>
        <v>Mar</v>
      </c>
      <c r="H882" s="85" t="str">
        <f>TEXT(Table7[[#This Row],[EXPIRY DATE]],"YYY")</f>
        <v>2026</v>
      </c>
      <c r="I882" s="84" t="s">
        <v>602</v>
      </c>
      <c r="J882" s="69"/>
    </row>
    <row r="883" spans="1:10" x14ac:dyDescent="0.3">
      <c r="A883" s="84">
        <v>882</v>
      </c>
      <c r="B883" s="84" t="s">
        <v>1741</v>
      </c>
      <c r="C883" s="87" t="s">
        <v>1610</v>
      </c>
      <c r="D883" s="115" t="s">
        <v>1742</v>
      </c>
      <c r="E883" s="85" t="s">
        <v>652</v>
      </c>
      <c r="F883" s="85">
        <v>46112</v>
      </c>
      <c r="G883" s="85" t="str">
        <f>TEXT(Table7[[#This Row],[EXPIRY DATE]],"MMM")</f>
        <v>Mar</v>
      </c>
      <c r="H883" s="85" t="str">
        <f>TEXT(Table7[[#This Row],[EXPIRY DATE]],"YYY")</f>
        <v>2026</v>
      </c>
      <c r="I883" s="84" t="s">
        <v>602</v>
      </c>
      <c r="J883" s="69"/>
    </row>
    <row r="884" spans="1:10" x14ac:dyDescent="0.3">
      <c r="A884" s="84">
        <v>883</v>
      </c>
      <c r="B884" s="84" t="s">
        <v>1218</v>
      </c>
      <c r="C884" s="87" t="s">
        <v>1610</v>
      </c>
      <c r="D884" s="115" t="s">
        <v>1674</v>
      </c>
      <c r="E884" s="85" t="s">
        <v>1164</v>
      </c>
      <c r="F884" s="85">
        <v>46112</v>
      </c>
      <c r="G884" s="85" t="str">
        <f>TEXT(Table7[[#This Row],[EXPIRY DATE]],"MMM")</f>
        <v>Mar</v>
      </c>
      <c r="H884" s="85" t="str">
        <f>TEXT(Table7[[#This Row],[EXPIRY DATE]],"YYY")</f>
        <v>2026</v>
      </c>
      <c r="I884" s="84" t="s">
        <v>607</v>
      </c>
      <c r="J884" s="69"/>
    </row>
    <row r="885" spans="1:10" x14ac:dyDescent="0.3">
      <c r="A885" s="84">
        <v>884</v>
      </c>
      <c r="B885" s="84" t="s">
        <v>1743</v>
      </c>
      <c r="C885" s="87" t="s">
        <v>1610</v>
      </c>
      <c r="D885" s="115" t="s">
        <v>1744</v>
      </c>
      <c r="E885" s="85" t="s">
        <v>1179</v>
      </c>
      <c r="F885" s="85">
        <v>46112</v>
      </c>
      <c r="G885" s="85" t="s">
        <v>606</v>
      </c>
      <c r="H885" s="85" t="str">
        <f>TEXT(Table7[[#This Row],[EXPIRY DATE]],"YYY")</f>
        <v>2026</v>
      </c>
      <c r="I885" s="84" t="s">
        <v>602</v>
      </c>
      <c r="J885" s="69"/>
    </row>
    <row r="886" spans="1:10" x14ac:dyDescent="0.3">
      <c r="A886" s="84">
        <v>885</v>
      </c>
      <c r="B886" s="84" t="s">
        <v>1745</v>
      </c>
      <c r="C886" s="87" t="s">
        <v>1610</v>
      </c>
      <c r="D886" s="115" t="s">
        <v>1746</v>
      </c>
      <c r="E886" s="85" t="s">
        <v>1179</v>
      </c>
      <c r="F886" s="85">
        <v>46112</v>
      </c>
      <c r="G886" s="85" t="s">
        <v>606</v>
      </c>
      <c r="H886" s="85" t="str">
        <f>TEXT(Table7[[#This Row],[EXPIRY DATE]],"YYY")</f>
        <v>2026</v>
      </c>
      <c r="I886" s="84" t="s">
        <v>602</v>
      </c>
      <c r="J886" s="69"/>
    </row>
    <row r="887" spans="1:10" ht="20.399999999999999" x14ac:dyDescent="0.3">
      <c r="A887" s="84">
        <v>886</v>
      </c>
      <c r="B887" s="84" t="s">
        <v>1747</v>
      </c>
      <c r="C887" s="87" t="s">
        <v>1610</v>
      </c>
      <c r="D887" s="115" t="s">
        <v>1748</v>
      </c>
      <c r="E887" s="85" t="s">
        <v>1179</v>
      </c>
      <c r="F887" s="85">
        <v>46112</v>
      </c>
      <c r="G887" s="85" t="s">
        <v>606</v>
      </c>
      <c r="H887" s="85" t="str">
        <f>TEXT(Table7[[#This Row],[EXPIRY DATE]],"YYY")</f>
        <v>2026</v>
      </c>
      <c r="I887" s="84" t="s">
        <v>602</v>
      </c>
      <c r="J887" s="69"/>
    </row>
    <row r="888" spans="1:10" ht="20.399999999999999" x14ac:dyDescent="0.3">
      <c r="A888" s="84">
        <v>887</v>
      </c>
      <c r="B888" s="84" t="s">
        <v>1653</v>
      </c>
      <c r="C888" s="87" t="s">
        <v>1610</v>
      </c>
      <c r="D888" s="115" t="s">
        <v>1654</v>
      </c>
      <c r="E888" s="85" t="s">
        <v>601</v>
      </c>
      <c r="F888" s="85">
        <v>46122</v>
      </c>
      <c r="G888" s="85" t="str">
        <f>TEXT(Table7[[#This Row],[EXPIRY DATE]],"MMM")</f>
        <v>Apr</v>
      </c>
      <c r="H888" s="85" t="str">
        <f>TEXT(Table7[[#This Row],[EXPIRY DATE]],"YYY")</f>
        <v>2026</v>
      </c>
      <c r="I888" s="85" t="s">
        <v>791</v>
      </c>
      <c r="J888" s="69"/>
    </row>
    <row r="889" spans="1:10" x14ac:dyDescent="0.3">
      <c r="A889" s="84">
        <v>888</v>
      </c>
      <c r="B889" s="84" t="s">
        <v>1655</v>
      </c>
      <c r="C889" s="87" t="s">
        <v>1610</v>
      </c>
      <c r="D889" s="115" t="s">
        <v>1656</v>
      </c>
      <c r="E889" s="85" t="s">
        <v>601</v>
      </c>
      <c r="F889" s="85">
        <v>46138</v>
      </c>
      <c r="G889" s="85" t="str">
        <f>TEXT(Table7[[#This Row],[EXPIRY DATE]],"MMM")</f>
        <v>Apr</v>
      </c>
      <c r="H889" s="85" t="str">
        <f>TEXT(Table7[[#This Row],[EXPIRY DATE]],"YYY")</f>
        <v>2026</v>
      </c>
      <c r="I889" s="85" t="s">
        <v>791</v>
      </c>
      <c r="J889" s="69"/>
    </row>
    <row r="890" spans="1:10" x14ac:dyDescent="0.3">
      <c r="A890" s="84">
        <v>889</v>
      </c>
      <c r="B890" s="84" t="s">
        <v>1647</v>
      </c>
      <c r="C890" s="87" t="s">
        <v>1610</v>
      </c>
      <c r="D890" s="115" t="s">
        <v>1648</v>
      </c>
      <c r="E890" s="85" t="s">
        <v>601</v>
      </c>
      <c r="F890" s="85">
        <v>46138</v>
      </c>
      <c r="G890" s="85" t="str">
        <f>TEXT(Table7[[#This Row],[EXPIRY DATE]],"MMM")</f>
        <v>Apr</v>
      </c>
      <c r="H890" s="85" t="str">
        <f>TEXT(Table7[[#This Row],[EXPIRY DATE]],"YYY")</f>
        <v>2026</v>
      </c>
      <c r="I890" s="85" t="s">
        <v>791</v>
      </c>
      <c r="J890" s="69"/>
    </row>
    <row r="891" spans="1:10" x14ac:dyDescent="0.3">
      <c r="A891" s="84">
        <v>890</v>
      </c>
      <c r="B891" s="84" t="s">
        <v>1162</v>
      </c>
      <c r="C891" s="87" t="s">
        <v>1610</v>
      </c>
      <c r="D891" s="115" t="s">
        <v>1673</v>
      </c>
      <c r="E891" s="85" t="s">
        <v>1164</v>
      </c>
      <c r="F891" s="85">
        <v>46150</v>
      </c>
      <c r="G891" s="85" t="str">
        <f>TEXT(Table7[[#This Row],[EXPIRY DATE]],"MMM")</f>
        <v>May</v>
      </c>
      <c r="H891" s="85" t="str">
        <f>TEXT(Table7[[#This Row],[EXPIRY DATE]],"YYY")</f>
        <v>2026</v>
      </c>
      <c r="I891" s="85" t="s">
        <v>791</v>
      </c>
      <c r="J891" s="69"/>
    </row>
    <row r="892" spans="1:10" x14ac:dyDescent="0.3">
      <c r="A892" s="84">
        <v>891</v>
      </c>
      <c r="B892" s="84" t="s">
        <v>1749</v>
      </c>
      <c r="C892" s="87" t="s">
        <v>1610</v>
      </c>
      <c r="D892" s="115" t="s">
        <v>1750</v>
      </c>
      <c r="E892" s="85" t="s">
        <v>1751</v>
      </c>
      <c r="F892" s="85">
        <v>46152</v>
      </c>
      <c r="G892" s="85" t="str">
        <f>TEXT(Table7[[#This Row],[EXPIRY DATE]],"MMM")</f>
        <v>May</v>
      </c>
      <c r="H892" s="85" t="str">
        <f>TEXT(Table7[[#This Row],[EXPIRY DATE]],"YYY")</f>
        <v>2026</v>
      </c>
      <c r="I892" s="85" t="s">
        <v>791</v>
      </c>
      <c r="J892" s="69"/>
    </row>
    <row r="893" spans="1:10" x14ac:dyDescent="0.3">
      <c r="A893" s="84">
        <v>892</v>
      </c>
      <c r="B893" s="84" t="s">
        <v>1218</v>
      </c>
      <c r="C893" s="87" t="s">
        <v>1610</v>
      </c>
      <c r="D893" s="115" t="s">
        <v>1674</v>
      </c>
      <c r="E893" s="85" t="s">
        <v>1164</v>
      </c>
      <c r="F893" s="85">
        <v>46152</v>
      </c>
      <c r="G893" s="85" t="str">
        <f>TEXT(Table7[[#This Row],[EXPIRY DATE]],"MMM")</f>
        <v>May</v>
      </c>
      <c r="H893" s="85" t="str">
        <f>TEXT(Table7[[#This Row],[EXPIRY DATE]],"YYY")</f>
        <v>2026</v>
      </c>
      <c r="I893" s="85" t="s">
        <v>791</v>
      </c>
      <c r="J893" s="69"/>
    </row>
    <row r="894" spans="1:10" ht="20.399999999999999" x14ac:dyDescent="0.3">
      <c r="A894" s="84">
        <v>893</v>
      </c>
      <c r="B894" s="84" t="s">
        <v>1730</v>
      </c>
      <c r="C894" s="87" t="s">
        <v>1610</v>
      </c>
      <c r="D894" s="115" t="s">
        <v>1731</v>
      </c>
      <c r="E894" s="85" t="s">
        <v>1732</v>
      </c>
      <c r="F894" s="85">
        <v>46172</v>
      </c>
      <c r="G894" s="85" t="str">
        <f>TEXT(Table7[[#This Row],[EXPIRY DATE]],"MMM")</f>
        <v>May</v>
      </c>
      <c r="H894" s="85" t="str">
        <f>TEXT(Table7[[#This Row],[EXPIRY DATE]],"YYY")</f>
        <v>2026</v>
      </c>
      <c r="I894" s="85" t="s">
        <v>791</v>
      </c>
      <c r="J894" s="69"/>
    </row>
    <row r="895" spans="1:10" x14ac:dyDescent="0.3">
      <c r="A895" s="84">
        <v>894</v>
      </c>
      <c r="B895" s="84" t="s">
        <v>1724</v>
      </c>
      <c r="C895" s="84" t="s">
        <v>1610</v>
      </c>
      <c r="D895" s="115" t="s">
        <v>1725</v>
      </c>
      <c r="E895" s="85" t="s">
        <v>598</v>
      </c>
      <c r="F895" s="85">
        <v>46173</v>
      </c>
      <c r="G895" s="85" t="str">
        <f>TEXT(Table7[[#This Row],[EXPIRY DATE]],"MMM")</f>
        <v>May</v>
      </c>
      <c r="H895" s="85" t="str">
        <f>TEXT(Table7[[#This Row],[EXPIRY DATE]],"YYY")</f>
        <v>2026</v>
      </c>
      <c r="I895" s="84" t="s">
        <v>1215</v>
      </c>
      <c r="J895" s="69"/>
    </row>
    <row r="896" spans="1:10" x14ac:dyDescent="0.3">
      <c r="A896" s="84">
        <v>895</v>
      </c>
      <c r="B896" s="84" t="s">
        <v>1682</v>
      </c>
      <c r="C896" s="87" t="s">
        <v>1610</v>
      </c>
      <c r="D896" s="115" t="s">
        <v>1683</v>
      </c>
      <c r="E896" s="85" t="s">
        <v>802</v>
      </c>
      <c r="F896" s="85">
        <v>46173</v>
      </c>
      <c r="G896" s="85" t="str">
        <f>TEXT(Table7[[#This Row],[EXPIRY DATE]],"MMM")</f>
        <v>May</v>
      </c>
      <c r="H896" s="85" t="str">
        <f>TEXT(Table7[[#This Row],[EXPIRY DATE]],"YYY")</f>
        <v>2026</v>
      </c>
      <c r="I896" s="84" t="s">
        <v>1215</v>
      </c>
      <c r="J896" s="69"/>
    </row>
    <row r="897" spans="1:10" x14ac:dyDescent="0.3">
      <c r="A897" s="84">
        <v>896</v>
      </c>
      <c r="B897" s="84" t="s">
        <v>1752</v>
      </c>
      <c r="C897" s="87" t="s">
        <v>1610</v>
      </c>
      <c r="D897" s="115" t="s">
        <v>1753</v>
      </c>
      <c r="E897" s="85" t="s">
        <v>605</v>
      </c>
      <c r="F897" s="85">
        <v>46173</v>
      </c>
      <c r="G897" s="85" t="str">
        <f>TEXT(Table7[[#This Row],[EXPIRY DATE]],"MMM")</f>
        <v>May</v>
      </c>
      <c r="H897" s="85" t="str">
        <f>TEXT(Table7[[#This Row],[EXPIRY DATE]],"YYY")</f>
        <v>2026</v>
      </c>
      <c r="I897" s="84" t="s">
        <v>1215</v>
      </c>
      <c r="J897" s="69"/>
    </row>
    <row r="898" spans="1:10" x14ac:dyDescent="0.3">
      <c r="A898" s="84">
        <v>897</v>
      </c>
      <c r="B898" s="84" t="s">
        <v>1642</v>
      </c>
      <c r="C898" s="87" t="s">
        <v>1610</v>
      </c>
      <c r="D898" s="115" t="s">
        <v>1643</v>
      </c>
      <c r="E898" s="85" t="s">
        <v>14</v>
      </c>
      <c r="F898" s="85">
        <v>46173</v>
      </c>
      <c r="G898" s="85" t="str">
        <f>TEXT(Table7[[#This Row],[EXPIRY DATE]],"MMM")</f>
        <v>May</v>
      </c>
      <c r="H898" s="85" t="str">
        <f>TEXT(Table7[[#This Row],[EXPIRY DATE]],"YYY")</f>
        <v>2026</v>
      </c>
      <c r="I898" s="84" t="s">
        <v>1215</v>
      </c>
      <c r="J898" s="69"/>
    </row>
    <row r="899" spans="1:10" x14ac:dyDescent="0.3">
      <c r="A899" s="84">
        <v>898</v>
      </c>
      <c r="B899" s="84" t="s">
        <v>1752</v>
      </c>
      <c r="C899" s="87" t="s">
        <v>1610</v>
      </c>
      <c r="D899" s="115" t="s">
        <v>1753</v>
      </c>
      <c r="E899" s="85" t="s">
        <v>605</v>
      </c>
      <c r="F899" s="85">
        <v>46179</v>
      </c>
      <c r="G899" s="85" t="str">
        <f>TEXT(Table7[[#This Row],[EXPIRY DATE]],"MMM")</f>
        <v>Jun</v>
      </c>
      <c r="H899" s="85" t="str">
        <f>TEXT(Table7[[#This Row],[EXPIRY DATE]],"YYY")</f>
        <v>2026</v>
      </c>
      <c r="I899" s="85" t="s">
        <v>791</v>
      </c>
      <c r="J899" s="69"/>
    </row>
    <row r="900" spans="1:10" x14ac:dyDescent="0.3">
      <c r="A900" s="84">
        <v>899</v>
      </c>
      <c r="B900" s="84" t="s">
        <v>1696</v>
      </c>
      <c r="C900" s="87" t="s">
        <v>1610</v>
      </c>
      <c r="D900" s="115" t="s">
        <v>1697</v>
      </c>
      <c r="E900" s="85" t="s">
        <v>640</v>
      </c>
      <c r="F900" s="85">
        <v>46186</v>
      </c>
      <c r="G900" s="85" t="s">
        <v>1139</v>
      </c>
      <c r="H900" s="85" t="str">
        <f>TEXT(Table7[[#This Row],[EXPIRY DATE]],"YYY")</f>
        <v>2026</v>
      </c>
      <c r="I900" s="84" t="s">
        <v>791</v>
      </c>
      <c r="J900" s="69"/>
    </row>
    <row r="901" spans="1:10" x14ac:dyDescent="0.3">
      <c r="A901" s="84">
        <v>900</v>
      </c>
      <c r="B901" s="84" t="s">
        <v>1637</v>
      </c>
      <c r="C901" s="87" t="s">
        <v>1610</v>
      </c>
      <c r="D901" s="115" t="s">
        <v>1638</v>
      </c>
      <c r="E901" s="85" t="s">
        <v>802</v>
      </c>
      <c r="F901" s="85">
        <v>46188</v>
      </c>
      <c r="G901" s="85" t="str">
        <f>TEXT(Table7[[#This Row],[EXPIRY DATE]],"MMM")</f>
        <v>Jun</v>
      </c>
      <c r="H901" s="85" t="str">
        <f>TEXT(Table7[[#This Row],[EXPIRY DATE]],"YYY")</f>
        <v>2026</v>
      </c>
      <c r="I901" s="85" t="s">
        <v>791</v>
      </c>
      <c r="J901" s="69"/>
    </row>
    <row r="902" spans="1:10" x14ac:dyDescent="0.3">
      <c r="A902" s="84">
        <v>901</v>
      </c>
      <c r="B902" s="84" t="s">
        <v>1754</v>
      </c>
      <c r="C902" s="87" t="s">
        <v>1610</v>
      </c>
      <c r="D902" s="115" t="s">
        <v>1755</v>
      </c>
      <c r="E902" s="85" t="s">
        <v>613</v>
      </c>
      <c r="F902" s="85">
        <v>46193</v>
      </c>
      <c r="G902" s="85" t="str">
        <f>TEXT(Table7[[#This Row],[EXPIRY DATE]],"MMM")</f>
        <v>Jun</v>
      </c>
      <c r="H902" s="85" t="str">
        <f>TEXT(Table7[[#This Row],[EXPIRY DATE]],"YYY")</f>
        <v>2026</v>
      </c>
      <c r="I902" s="85" t="s">
        <v>791</v>
      </c>
      <c r="J902" s="69"/>
    </row>
    <row r="903" spans="1:10" x14ac:dyDescent="0.3">
      <c r="A903" s="84">
        <v>902</v>
      </c>
      <c r="B903" s="84" t="s">
        <v>1660</v>
      </c>
      <c r="C903" s="87" t="s">
        <v>1610</v>
      </c>
      <c r="D903" s="115" t="s">
        <v>1661</v>
      </c>
      <c r="E903" s="85" t="s">
        <v>922</v>
      </c>
      <c r="F903" s="85">
        <v>46253</v>
      </c>
      <c r="G903" s="85" t="str">
        <f>TEXT(Table7[[#This Row],[EXPIRY DATE]],"MMM")</f>
        <v>Aug</v>
      </c>
      <c r="H903" s="85" t="str">
        <f>TEXT(Table7[[#This Row],[EXPIRY DATE]],"YYY")</f>
        <v>2026</v>
      </c>
      <c r="I903" s="85" t="s">
        <v>791</v>
      </c>
      <c r="J903" s="69"/>
    </row>
    <row r="904" spans="1:10" ht="20.399999999999999" x14ac:dyDescent="0.3">
      <c r="A904" s="84">
        <v>903</v>
      </c>
      <c r="B904" s="84" t="s">
        <v>1640</v>
      </c>
      <c r="C904" s="87" t="s">
        <v>1610</v>
      </c>
      <c r="D904" s="115" t="s">
        <v>1641</v>
      </c>
      <c r="E904" s="85" t="s">
        <v>922</v>
      </c>
      <c r="F904" s="85">
        <v>46253</v>
      </c>
      <c r="G904" s="85" t="str">
        <f>TEXT(Table7[[#This Row],[EXPIRY DATE]],"MMM")</f>
        <v>Aug</v>
      </c>
      <c r="H904" s="85" t="str">
        <f>TEXT(Table7[[#This Row],[EXPIRY DATE]],"YYY")</f>
        <v>2026</v>
      </c>
      <c r="I904" s="85" t="s">
        <v>791</v>
      </c>
      <c r="J904" s="69"/>
    </row>
    <row r="905" spans="1:10" x14ac:dyDescent="0.3">
      <c r="A905" s="84">
        <v>904</v>
      </c>
      <c r="B905" s="84" t="s">
        <v>1073</v>
      </c>
      <c r="C905" s="87" t="s">
        <v>1610</v>
      </c>
      <c r="D905" s="115" t="s">
        <v>1151</v>
      </c>
      <c r="E905" s="85" t="s">
        <v>802</v>
      </c>
      <c r="F905" s="85">
        <v>46255</v>
      </c>
      <c r="G905" s="85" t="str">
        <f>TEXT(Table7[[#This Row],[EXPIRY DATE]],"MMM")</f>
        <v>Aug</v>
      </c>
      <c r="H905" s="85" t="str">
        <f>TEXT(Table7[[#This Row],[EXPIRY DATE]],"YYY")</f>
        <v>2026</v>
      </c>
      <c r="I905" s="85" t="s">
        <v>791</v>
      </c>
      <c r="J905" s="69"/>
    </row>
    <row r="906" spans="1:10" ht="20.399999999999999" x14ac:dyDescent="0.3">
      <c r="A906" s="84">
        <v>905</v>
      </c>
      <c r="B906" s="84" t="s">
        <v>1756</v>
      </c>
      <c r="C906" s="87" t="s">
        <v>1610</v>
      </c>
      <c r="D906" s="115" t="s">
        <v>1757</v>
      </c>
      <c r="E906" s="85" t="s">
        <v>616</v>
      </c>
      <c r="F906" s="85">
        <v>46259</v>
      </c>
      <c r="G906" s="85" t="s">
        <v>897</v>
      </c>
      <c r="H906" s="85" t="str">
        <f>TEXT(Table7[[#This Row],[EXPIRY DATE]],"YYY")</f>
        <v>2026</v>
      </c>
      <c r="I906" s="84" t="s">
        <v>791</v>
      </c>
      <c r="J906" s="69"/>
    </row>
    <row r="907" spans="1:10" x14ac:dyDescent="0.3">
      <c r="A907" s="84">
        <v>906</v>
      </c>
      <c r="B907" s="84" t="s">
        <v>1758</v>
      </c>
      <c r="C907" s="87" t="s">
        <v>1610</v>
      </c>
      <c r="D907" s="115" t="s">
        <v>1759</v>
      </c>
      <c r="E907" s="85" t="s">
        <v>1760</v>
      </c>
      <c r="F907" s="85">
        <v>46263</v>
      </c>
      <c r="G907" s="85" t="s">
        <v>897</v>
      </c>
      <c r="H907" s="85" t="str">
        <f>TEXT(Table7[[#This Row],[EXPIRY DATE]],"YYY")</f>
        <v>2026</v>
      </c>
      <c r="I907" s="84" t="s">
        <v>791</v>
      </c>
      <c r="J907" s="69"/>
    </row>
    <row r="908" spans="1:10" x14ac:dyDescent="0.3">
      <c r="A908" s="84">
        <v>907</v>
      </c>
      <c r="B908" s="84" t="s">
        <v>1147</v>
      </c>
      <c r="C908" s="87" t="s">
        <v>1610</v>
      </c>
      <c r="D908" s="115" t="s">
        <v>1761</v>
      </c>
      <c r="E908" s="85" t="s">
        <v>1096</v>
      </c>
      <c r="F908" s="85">
        <v>46267</v>
      </c>
      <c r="G908" s="85" t="str">
        <f>TEXT(Table7[[#This Row],[EXPIRY DATE]],"MMM")</f>
        <v>Sep</v>
      </c>
      <c r="H908" s="85" t="str">
        <f>TEXT(Table7[[#This Row],[EXPIRY DATE]],"YYY")</f>
        <v>2026</v>
      </c>
      <c r="I908" s="85" t="s">
        <v>791</v>
      </c>
      <c r="J908" s="69"/>
    </row>
    <row r="909" spans="1:10" ht="20.399999999999999" x14ac:dyDescent="0.3">
      <c r="A909" s="84">
        <v>908</v>
      </c>
      <c r="B909" s="84" t="s">
        <v>1666</v>
      </c>
      <c r="C909" s="87" t="s">
        <v>1610</v>
      </c>
      <c r="D909" s="115" t="s">
        <v>1667</v>
      </c>
      <c r="E909" s="85" t="s">
        <v>601</v>
      </c>
      <c r="F909" s="85">
        <v>46267</v>
      </c>
      <c r="G909" s="85" t="str">
        <f>TEXT(Table7[[#This Row],[EXPIRY DATE]],"MMM")</f>
        <v>Sep</v>
      </c>
      <c r="H909" s="85" t="str">
        <f>TEXT(Table7[[#This Row],[EXPIRY DATE]],"YYY")</f>
        <v>2026</v>
      </c>
      <c r="I909" s="85" t="s">
        <v>791</v>
      </c>
      <c r="J909" s="69"/>
    </row>
    <row r="910" spans="1:10" x14ac:dyDescent="0.3">
      <c r="A910" s="84">
        <v>909</v>
      </c>
      <c r="B910" s="84" t="s">
        <v>1741</v>
      </c>
      <c r="C910" s="87" t="s">
        <v>1610</v>
      </c>
      <c r="D910" s="115" t="s">
        <v>1742</v>
      </c>
      <c r="E910" s="85" t="s">
        <v>652</v>
      </c>
      <c r="F910" s="85">
        <v>46276</v>
      </c>
      <c r="G910" s="85" t="str">
        <f>TEXT(Table7[[#This Row],[EXPIRY DATE]],"MMM")</f>
        <v>Sep</v>
      </c>
      <c r="H910" s="85" t="str">
        <f>TEXT(Table7[[#This Row],[EXPIRY DATE]],"YYY")</f>
        <v>2026</v>
      </c>
      <c r="I910" s="85" t="s">
        <v>791</v>
      </c>
      <c r="J910" s="69"/>
    </row>
    <row r="911" spans="1:10" ht="20.399999999999999" x14ac:dyDescent="0.3">
      <c r="A911" s="84">
        <v>910</v>
      </c>
      <c r="B911" s="84" t="s">
        <v>1762</v>
      </c>
      <c r="C911" s="87" t="s">
        <v>1610</v>
      </c>
      <c r="D911" s="115" t="s">
        <v>1763</v>
      </c>
      <c r="E911" s="85" t="s">
        <v>1172</v>
      </c>
      <c r="F911" s="85">
        <v>46283</v>
      </c>
      <c r="G911" s="85" t="s">
        <v>591</v>
      </c>
      <c r="H911" s="85" t="str">
        <f>TEXT(Table7[[#This Row],[EXPIRY DATE]],"YYY")</f>
        <v>2026</v>
      </c>
      <c r="I911" s="84" t="s">
        <v>791</v>
      </c>
      <c r="J911" s="69"/>
    </row>
    <row r="912" spans="1:10" ht="20.399999999999999" x14ac:dyDescent="0.3">
      <c r="A912" s="84">
        <v>911</v>
      </c>
      <c r="B912" s="84" t="s">
        <v>1226</v>
      </c>
      <c r="C912" s="87" t="s">
        <v>1610</v>
      </c>
      <c r="D912" s="115" t="s">
        <v>1156</v>
      </c>
      <c r="E912" s="85" t="s">
        <v>1659</v>
      </c>
      <c r="F912" s="85">
        <v>46291</v>
      </c>
      <c r="G912" s="85" t="str">
        <f>TEXT(Table7[[#This Row],[EXPIRY DATE]],"MMM")</f>
        <v>Sep</v>
      </c>
      <c r="H912" s="85" t="str">
        <f>TEXT(Table7[[#This Row],[EXPIRY DATE]],"YYY")</f>
        <v>2026</v>
      </c>
      <c r="I912" s="85" t="s">
        <v>791</v>
      </c>
      <c r="J912" s="69"/>
    </row>
    <row r="913" spans="1:10" x14ac:dyDescent="0.3">
      <c r="A913" s="84">
        <v>912</v>
      </c>
      <c r="B913" s="84" t="s">
        <v>1764</v>
      </c>
      <c r="C913" s="87" t="s">
        <v>1610</v>
      </c>
      <c r="D913" s="115" t="s">
        <v>1765</v>
      </c>
      <c r="E913" s="85" t="s">
        <v>613</v>
      </c>
      <c r="F913" s="85">
        <v>46291</v>
      </c>
      <c r="G913" s="85" t="str">
        <f>TEXT(Table7[[#This Row],[EXPIRY DATE]],"MMM")</f>
        <v>Sep</v>
      </c>
      <c r="H913" s="85" t="str">
        <f>TEXT(Table7[[#This Row],[EXPIRY DATE]],"YYY")</f>
        <v>2026</v>
      </c>
      <c r="I913" s="85" t="s">
        <v>791</v>
      </c>
      <c r="J913" s="69"/>
    </row>
    <row r="914" spans="1:10" x14ac:dyDescent="0.3">
      <c r="A914" s="84">
        <v>913</v>
      </c>
      <c r="B914" s="84" t="s">
        <v>1158</v>
      </c>
      <c r="C914" s="87" t="s">
        <v>1610</v>
      </c>
      <c r="D914" s="115" t="s">
        <v>1658</v>
      </c>
      <c r="E914" s="85" t="s">
        <v>1659</v>
      </c>
      <c r="F914" s="85">
        <v>46291</v>
      </c>
      <c r="G914" s="85" t="str">
        <f>TEXT(Table7[[#This Row],[EXPIRY DATE]],"MMM")</f>
        <v>Sep</v>
      </c>
      <c r="H914" s="85" t="str">
        <f>TEXT(Table7[[#This Row],[EXPIRY DATE]],"YYY")</f>
        <v>2026</v>
      </c>
      <c r="I914" s="85" t="s">
        <v>791</v>
      </c>
      <c r="J914" s="69"/>
    </row>
    <row r="915" spans="1:10" x14ac:dyDescent="0.3">
      <c r="A915" s="84">
        <v>914</v>
      </c>
      <c r="B915" s="84" t="s">
        <v>1766</v>
      </c>
      <c r="C915" s="87" t="s">
        <v>1610</v>
      </c>
      <c r="D915" s="115" t="s">
        <v>1767</v>
      </c>
      <c r="E915" s="85" t="s">
        <v>1768</v>
      </c>
      <c r="F915" s="85">
        <v>46327</v>
      </c>
      <c r="G915" s="85" t="str">
        <f>TEXT(Table7[[#This Row],[EXPIRY DATE]],"MMM")</f>
        <v>Nov</v>
      </c>
      <c r="H915" s="85" t="str">
        <f>TEXT(Table7[[#This Row],[EXPIRY DATE]],"YYY")</f>
        <v>2026</v>
      </c>
      <c r="I915" s="85" t="s">
        <v>791</v>
      </c>
      <c r="J915" s="69"/>
    </row>
    <row r="916" spans="1:10" x14ac:dyDescent="0.3">
      <c r="A916" s="84">
        <v>915</v>
      </c>
      <c r="B916" s="84" t="s">
        <v>1173</v>
      </c>
      <c r="C916" s="87" t="s">
        <v>1610</v>
      </c>
      <c r="D916" s="115" t="s">
        <v>1679</v>
      </c>
      <c r="E916" s="85" t="s">
        <v>1175</v>
      </c>
      <c r="F916" s="85">
        <v>46339</v>
      </c>
      <c r="G916" s="85" t="str">
        <f>TEXT(Table7[[#This Row],[EXPIRY DATE]],"MMM")</f>
        <v>Nov</v>
      </c>
      <c r="H916" s="85" t="str">
        <f>TEXT(Table7[[#This Row],[EXPIRY DATE]],"YYY")</f>
        <v>2026</v>
      </c>
      <c r="I916" s="85" t="s">
        <v>791</v>
      </c>
      <c r="J916" s="69"/>
    </row>
    <row r="917" spans="1:10" x14ac:dyDescent="0.3">
      <c r="A917" s="84">
        <v>916</v>
      </c>
      <c r="B917" s="84" t="s">
        <v>1769</v>
      </c>
      <c r="C917" s="87" t="s">
        <v>1610</v>
      </c>
      <c r="D917" s="115" t="s">
        <v>1770</v>
      </c>
      <c r="E917" s="85" t="s">
        <v>652</v>
      </c>
      <c r="F917" s="85">
        <v>46413</v>
      </c>
      <c r="G917" s="85" t="str">
        <f>TEXT(Table7[[#This Row],[EXPIRY DATE]],"MMM")</f>
        <v>Jan</v>
      </c>
      <c r="H917" s="85" t="str">
        <f>TEXT(Table7[[#This Row],[EXPIRY DATE]],"YYY")</f>
        <v>2027</v>
      </c>
      <c r="I917" s="85" t="s">
        <v>791</v>
      </c>
      <c r="J917" s="69"/>
    </row>
    <row r="918" spans="1:10" x14ac:dyDescent="0.3">
      <c r="A918" s="84">
        <v>917</v>
      </c>
      <c r="B918" s="84" t="s">
        <v>1771</v>
      </c>
      <c r="C918" s="87" t="s">
        <v>1610</v>
      </c>
      <c r="D918" s="115" t="s">
        <v>1772</v>
      </c>
      <c r="E918" s="85" t="s">
        <v>652</v>
      </c>
      <c r="F918" s="85">
        <v>46420</v>
      </c>
      <c r="G918" s="85" t="str">
        <f>TEXT(Table7[[#This Row],[EXPIRY DATE]],"MMM")</f>
        <v>Feb</v>
      </c>
      <c r="H918" s="85" t="str">
        <f>TEXT(Table7[[#This Row],[EXPIRY DATE]],"YYY")</f>
        <v>2027</v>
      </c>
      <c r="I918" s="85" t="s">
        <v>791</v>
      </c>
      <c r="J918" s="69"/>
    </row>
    <row r="919" spans="1:10" ht="20.399999999999999" x14ac:dyDescent="0.3">
      <c r="A919" s="84">
        <v>918</v>
      </c>
      <c r="B919" s="84" t="s">
        <v>1747</v>
      </c>
      <c r="C919" s="87" t="s">
        <v>1610</v>
      </c>
      <c r="D919" s="115" t="s">
        <v>1748</v>
      </c>
      <c r="E919" s="85" t="s">
        <v>1179</v>
      </c>
      <c r="F919" s="85">
        <v>46426</v>
      </c>
      <c r="G919" s="85" t="s">
        <v>887</v>
      </c>
      <c r="H919" s="85" t="str">
        <f>TEXT(Table7[[#This Row],[EXPIRY DATE]],"YYY")</f>
        <v>2027</v>
      </c>
      <c r="I919" s="84" t="s">
        <v>791</v>
      </c>
      <c r="J919" s="69"/>
    </row>
    <row r="920" spans="1:10" x14ac:dyDescent="0.3">
      <c r="A920" s="84">
        <v>919</v>
      </c>
      <c r="B920" s="84" t="s">
        <v>1773</v>
      </c>
      <c r="C920" s="87" t="s">
        <v>1610</v>
      </c>
      <c r="D920" s="115" t="s">
        <v>1774</v>
      </c>
      <c r="E920" s="85" t="s">
        <v>652</v>
      </c>
      <c r="F920" s="85">
        <v>46438</v>
      </c>
      <c r="G920" s="85" t="str">
        <f>TEXT(Table7[[#This Row],[EXPIRY DATE]],"MMM")</f>
        <v>Feb</v>
      </c>
      <c r="H920" s="85" t="str">
        <f>TEXT(Table7[[#This Row],[EXPIRY DATE]],"YYY")</f>
        <v>2027</v>
      </c>
      <c r="I920" s="85" t="s">
        <v>791</v>
      </c>
      <c r="J920" s="69"/>
    </row>
    <row r="921" spans="1:10" x14ac:dyDescent="0.3">
      <c r="A921" s="84">
        <v>920</v>
      </c>
      <c r="B921" s="84" t="s">
        <v>1775</v>
      </c>
      <c r="C921" s="87" t="s">
        <v>1610</v>
      </c>
      <c r="D921" s="115" t="s">
        <v>1776</v>
      </c>
      <c r="E921" s="85" t="s">
        <v>14</v>
      </c>
      <c r="F921" s="85">
        <v>46439</v>
      </c>
      <c r="G921" s="85" t="str">
        <f>TEXT(Table7[[#This Row],[EXPIRY DATE]],"MMM")</f>
        <v>Feb</v>
      </c>
      <c r="H921" s="85" t="str">
        <f>TEXT(Table7[[#This Row],[EXPIRY DATE]],"YYY")</f>
        <v>2027</v>
      </c>
      <c r="I921" s="85" t="s">
        <v>791</v>
      </c>
      <c r="J921" s="69"/>
    </row>
    <row r="922" spans="1:10" x14ac:dyDescent="0.3">
      <c r="A922" s="84">
        <v>921</v>
      </c>
      <c r="B922" s="84" t="s">
        <v>1777</v>
      </c>
      <c r="C922" s="87" t="s">
        <v>1610</v>
      </c>
      <c r="D922" s="115" t="s">
        <v>1778</v>
      </c>
      <c r="E922" s="85" t="s">
        <v>652</v>
      </c>
      <c r="F922" s="85">
        <v>46473</v>
      </c>
      <c r="G922" s="85" t="str">
        <f>TEXT(Table7[[#This Row],[EXPIRY DATE]],"MMM")</f>
        <v>Mar</v>
      </c>
      <c r="H922" s="85" t="str">
        <f>TEXT(Table7[[#This Row],[EXPIRY DATE]],"YYY")</f>
        <v>2027</v>
      </c>
      <c r="I922" s="85" t="s">
        <v>791</v>
      </c>
      <c r="J922" s="69"/>
    </row>
    <row r="923" spans="1:10" x14ac:dyDescent="0.3">
      <c r="A923" s="84">
        <v>922</v>
      </c>
      <c r="B923" s="84" t="s">
        <v>1779</v>
      </c>
      <c r="C923" s="87" t="s">
        <v>1610</v>
      </c>
      <c r="D923" s="115" t="s">
        <v>1780</v>
      </c>
      <c r="E923" s="85" t="s">
        <v>1577</v>
      </c>
      <c r="F923" s="85">
        <v>46477</v>
      </c>
      <c r="G923" s="85" t="str">
        <f>TEXT(Table7[[#This Row],[EXPIRY DATE]],"MMM")</f>
        <v>Mar</v>
      </c>
      <c r="H923" s="85" t="str">
        <f>TEXT(Table7[[#This Row],[EXPIRY DATE]],"YYY")</f>
        <v>2027</v>
      </c>
      <c r="I923" s="84" t="s">
        <v>602</v>
      </c>
      <c r="J923" s="69"/>
    </row>
    <row r="924" spans="1:10" x14ac:dyDescent="0.3">
      <c r="A924" s="84">
        <v>923</v>
      </c>
      <c r="B924" s="84" t="s">
        <v>1781</v>
      </c>
      <c r="C924" s="87" t="s">
        <v>1610</v>
      </c>
      <c r="D924" s="115" t="s">
        <v>1782</v>
      </c>
      <c r="E924" s="85" t="s">
        <v>1577</v>
      </c>
      <c r="F924" s="85">
        <v>46477</v>
      </c>
      <c r="G924" s="85" t="str">
        <f>TEXT(Table7[[#This Row],[EXPIRY DATE]],"MMM")</f>
        <v>Mar</v>
      </c>
      <c r="H924" s="85" t="str">
        <f>TEXT(Table7[[#This Row],[EXPIRY DATE]],"YYY")</f>
        <v>2027</v>
      </c>
      <c r="I924" s="84" t="s">
        <v>602</v>
      </c>
      <c r="J924" s="69"/>
    </row>
    <row r="925" spans="1:10" x14ac:dyDescent="0.3">
      <c r="A925" s="84">
        <v>924</v>
      </c>
      <c r="B925" s="84" t="s">
        <v>1783</v>
      </c>
      <c r="C925" s="87" t="s">
        <v>1610</v>
      </c>
      <c r="D925" s="115" t="s">
        <v>1784</v>
      </c>
      <c r="E925" s="85" t="s">
        <v>1577</v>
      </c>
      <c r="F925" s="85">
        <v>46477</v>
      </c>
      <c r="G925" s="85" t="str">
        <f>TEXT(Table7[[#This Row],[EXPIRY DATE]],"MMM")</f>
        <v>Mar</v>
      </c>
      <c r="H925" s="85" t="str">
        <f>TEXT(Table7[[#This Row],[EXPIRY DATE]],"YYY")</f>
        <v>2027</v>
      </c>
      <c r="I925" s="84" t="s">
        <v>602</v>
      </c>
      <c r="J925" s="69"/>
    </row>
    <row r="926" spans="1:10" x14ac:dyDescent="0.3">
      <c r="A926" s="84">
        <v>925</v>
      </c>
      <c r="B926" s="84" t="s">
        <v>1785</v>
      </c>
      <c r="C926" s="87" t="s">
        <v>1610</v>
      </c>
      <c r="D926" s="115" t="s">
        <v>1786</v>
      </c>
      <c r="E926" s="85" t="s">
        <v>14</v>
      </c>
      <c r="F926" s="85">
        <v>46494</v>
      </c>
      <c r="G926" s="85" t="str">
        <f>TEXT(Table7[[#This Row],[EXPIRY DATE]],"MMM")</f>
        <v>Apr</v>
      </c>
      <c r="H926" s="85" t="str">
        <f>TEXT(Table7[[#This Row],[EXPIRY DATE]],"YYY")</f>
        <v>2027</v>
      </c>
      <c r="I926" s="85" t="s">
        <v>791</v>
      </c>
      <c r="J926" s="69"/>
    </row>
    <row r="927" spans="1:10" x14ac:dyDescent="0.3">
      <c r="A927" s="84">
        <v>926</v>
      </c>
      <c r="B927" s="84" t="s">
        <v>1781</v>
      </c>
      <c r="C927" s="87" t="s">
        <v>1610</v>
      </c>
      <c r="D927" s="115" t="s">
        <v>1782</v>
      </c>
      <c r="E927" s="85" t="s">
        <v>1577</v>
      </c>
      <c r="F927" s="85">
        <v>46511</v>
      </c>
      <c r="G927" s="85" t="str">
        <f>TEXT(Table7[[#This Row],[EXPIRY DATE]],"MMM")</f>
        <v>May</v>
      </c>
      <c r="H927" s="85" t="str">
        <f>TEXT(Table7[[#This Row],[EXPIRY DATE]],"YYY")</f>
        <v>2027</v>
      </c>
      <c r="I927" s="85" t="s">
        <v>791</v>
      </c>
      <c r="J927" s="69"/>
    </row>
    <row r="928" spans="1:10" ht="20.399999999999999" x14ac:dyDescent="0.3">
      <c r="A928" s="84">
        <v>927</v>
      </c>
      <c r="B928" s="84" t="s">
        <v>1787</v>
      </c>
      <c r="C928" s="87" t="s">
        <v>1610</v>
      </c>
      <c r="D928" s="115" t="s">
        <v>1788</v>
      </c>
      <c r="E928" s="85" t="s">
        <v>1577</v>
      </c>
      <c r="F928" s="85">
        <v>46518</v>
      </c>
      <c r="G928" s="85" t="str">
        <f>TEXT(Table7[[#This Row],[EXPIRY DATE]],"MMM")</f>
        <v>May</v>
      </c>
      <c r="H928" s="85" t="str">
        <f>TEXT(Table7[[#This Row],[EXPIRY DATE]],"YYY")</f>
        <v>2027</v>
      </c>
      <c r="I928" s="85" t="s">
        <v>791</v>
      </c>
      <c r="J928" s="69"/>
    </row>
    <row r="929" spans="1:10" x14ac:dyDescent="0.3">
      <c r="A929" s="84">
        <v>928</v>
      </c>
      <c r="B929" s="84" t="s">
        <v>1789</v>
      </c>
      <c r="C929" s="87" t="s">
        <v>1610</v>
      </c>
      <c r="D929" s="115" t="s">
        <v>1790</v>
      </c>
      <c r="E929" s="85" t="s">
        <v>652</v>
      </c>
      <c r="F929" s="85">
        <v>46518</v>
      </c>
      <c r="G929" s="85" t="str">
        <f>TEXT(Table7[[#This Row],[EXPIRY DATE]],"MMM")</f>
        <v>May</v>
      </c>
      <c r="H929" s="85" t="str">
        <f>TEXT(Table7[[#This Row],[EXPIRY DATE]],"YYY")</f>
        <v>2027</v>
      </c>
      <c r="I929" s="85" t="s">
        <v>791</v>
      </c>
      <c r="J929" s="69"/>
    </row>
    <row r="930" spans="1:10" x14ac:dyDescent="0.3">
      <c r="A930" s="84">
        <v>929</v>
      </c>
      <c r="B930" s="84" t="s">
        <v>386</v>
      </c>
      <c r="C930" s="87" t="s">
        <v>1610</v>
      </c>
      <c r="D930" s="115" t="s">
        <v>1695</v>
      </c>
      <c r="E930" s="85" t="s">
        <v>386</v>
      </c>
      <c r="F930" s="85">
        <v>46534</v>
      </c>
      <c r="G930" s="85" t="s">
        <v>838</v>
      </c>
      <c r="H930" s="85" t="str">
        <f>TEXT(Table7[[#This Row],[EXPIRY DATE]],"YYY")</f>
        <v>2027</v>
      </c>
      <c r="I930" s="84" t="s">
        <v>791</v>
      </c>
      <c r="J930" s="69"/>
    </row>
    <row r="931" spans="1:10" x14ac:dyDescent="0.3">
      <c r="A931" s="84">
        <v>930</v>
      </c>
      <c r="B931" s="84" t="s">
        <v>1791</v>
      </c>
      <c r="C931" s="87" t="s">
        <v>1610</v>
      </c>
      <c r="D931" s="115" t="s">
        <v>1792</v>
      </c>
      <c r="E931" s="85" t="s">
        <v>1288</v>
      </c>
      <c r="F931" s="85">
        <v>46565</v>
      </c>
      <c r="G931" s="85" t="s">
        <v>1139</v>
      </c>
      <c r="H931" s="85" t="str">
        <f>TEXT(Table7[[#This Row],[EXPIRY DATE]],"YYY")</f>
        <v>2027</v>
      </c>
      <c r="I931" s="84" t="s">
        <v>791</v>
      </c>
      <c r="J931" s="69"/>
    </row>
    <row r="932" spans="1:10" x14ac:dyDescent="0.3">
      <c r="A932" s="84">
        <v>931</v>
      </c>
      <c r="B932" s="84" t="s">
        <v>1779</v>
      </c>
      <c r="C932" s="87" t="s">
        <v>1610</v>
      </c>
      <c r="D932" s="115" t="s">
        <v>1780</v>
      </c>
      <c r="E932" s="85" t="s">
        <v>1577</v>
      </c>
      <c r="F932" s="85">
        <v>46579</v>
      </c>
      <c r="G932" s="85" t="str">
        <f>TEXT(Table7[[#This Row],[EXPIRY DATE]],"MMM")</f>
        <v>Jul</v>
      </c>
      <c r="H932" s="85" t="str">
        <f>TEXT(Table7[[#This Row],[EXPIRY DATE]],"YYY")</f>
        <v>2027</v>
      </c>
      <c r="I932" s="85" t="s">
        <v>791</v>
      </c>
      <c r="J932" s="69"/>
    </row>
    <row r="933" spans="1:10" x14ac:dyDescent="0.3">
      <c r="A933" s="84">
        <v>932</v>
      </c>
      <c r="B933" s="84" t="s">
        <v>1793</v>
      </c>
      <c r="C933" s="87" t="s">
        <v>1610</v>
      </c>
      <c r="D933" s="115" t="s">
        <v>1794</v>
      </c>
      <c r="E933" s="85" t="s">
        <v>613</v>
      </c>
      <c r="F933" s="85">
        <v>46652</v>
      </c>
      <c r="G933" s="85" t="s">
        <v>591</v>
      </c>
      <c r="H933" s="85" t="str">
        <f>TEXT(Table7[[#This Row],[EXPIRY DATE]],"YYY")</f>
        <v>2027</v>
      </c>
      <c r="I933" s="84" t="s">
        <v>791</v>
      </c>
      <c r="J933" s="69"/>
    </row>
    <row r="934" spans="1:10" ht="20.399999999999999" x14ac:dyDescent="0.3">
      <c r="A934" s="84">
        <v>933</v>
      </c>
      <c r="B934" s="84" t="s">
        <v>1795</v>
      </c>
      <c r="C934" s="87" t="s">
        <v>1610</v>
      </c>
      <c r="D934" s="115" t="s">
        <v>1796</v>
      </c>
      <c r="E934" s="85" t="s">
        <v>1797</v>
      </c>
      <c r="F934" s="85">
        <v>46657</v>
      </c>
      <c r="G934" s="85" t="str">
        <f>TEXT(Table7[[#This Row],[EXPIRY DATE]],"MMM")</f>
        <v>Sep</v>
      </c>
      <c r="H934" s="85" t="str">
        <f>TEXT(Table7[[#This Row],[EXPIRY DATE]],"YYY")</f>
        <v>2027</v>
      </c>
      <c r="I934" s="85" t="s">
        <v>791</v>
      </c>
      <c r="J934" s="69"/>
    </row>
    <row r="935" spans="1:10" x14ac:dyDescent="0.3">
      <c r="A935" s="84">
        <v>934</v>
      </c>
      <c r="B935" s="84" t="s">
        <v>1783</v>
      </c>
      <c r="C935" s="87" t="s">
        <v>1610</v>
      </c>
      <c r="D935" s="115" t="s">
        <v>1784</v>
      </c>
      <c r="E935" s="85" t="s">
        <v>1577</v>
      </c>
      <c r="F935" s="85">
        <v>46681</v>
      </c>
      <c r="G935" s="85" t="str">
        <f>TEXT(Table7[[#This Row],[EXPIRY DATE]],"MMM")</f>
        <v>Oct</v>
      </c>
      <c r="H935" s="85" t="str">
        <f>TEXT(Table7[[#This Row],[EXPIRY DATE]],"YYY")</f>
        <v>2027</v>
      </c>
      <c r="I935" s="85" t="s">
        <v>791</v>
      </c>
      <c r="J935" s="69"/>
    </row>
    <row r="936" spans="1:10" x14ac:dyDescent="0.3">
      <c r="A936" s="84">
        <v>935</v>
      </c>
      <c r="B936" s="84" t="s">
        <v>1735</v>
      </c>
      <c r="C936" s="87" t="s">
        <v>1610</v>
      </c>
      <c r="D936" s="115" t="s">
        <v>1736</v>
      </c>
      <c r="E936" s="85" t="s">
        <v>595</v>
      </c>
      <c r="F936" s="85">
        <v>46757</v>
      </c>
      <c r="G936" s="85" t="str">
        <f>TEXT(Table7[[#This Row],[EXPIRY DATE]],"MMM")</f>
        <v>Jan</v>
      </c>
      <c r="H936" s="85" t="str">
        <f>TEXT(Table7[[#This Row],[EXPIRY DATE]],"YYY")</f>
        <v>2028</v>
      </c>
      <c r="I936" s="85" t="s">
        <v>791</v>
      </c>
      <c r="J936" s="69"/>
    </row>
    <row r="937" spans="1:10" ht="20.399999999999999" x14ac:dyDescent="0.3">
      <c r="A937" s="84">
        <v>936</v>
      </c>
      <c r="B937" s="84" t="s">
        <v>1226</v>
      </c>
      <c r="C937" s="87" t="s">
        <v>1610</v>
      </c>
      <c r="D937" s="115" t="s">
        <v>1156</v>
      </c>
      <c r="E937" s="85" t="s">
        <v>1659</v>
      </c>
      <c r="F937" s="85">
        <v>48944</v>
      </c>
      <c r="G937" s="85" t="str">
        <f>TEXT(Table7[[#This Row],[EXPIRY DATE]],"MMM")</f>
        <v>Dec</v>
      </c>
      <c r="H937" s="85" t="str">
        <f>TEXT(Table7[[#This Row],[EXPIRY DATE]],"YYY")</f>
        <v>2033</v>
      </c>
      <c r="I937" s="84" t="s">
        <v>602</v>
      </c>
      <c r="J937" s="69"/>
    </row>
    <row r="938" spans="1:10" x14ac:dyDescent="0.3">
      <c r="A938" s="84">
        <v>937</v>
      </c>
      <c r="B938" s="84" t="s">
        <v>1227</v>
      </c>
      <c r="C938" s="87" t="s">
        <v>1610</v>
      </c>
      <c r="D938" s="115" t="s">
        <v>1658</v>
      </c>
      <c r="E938" s="85" t="s">
        <v>1659</v>
      </c>
      <c r="F938" s="85">
        <v>48944</v>
      </c>
      <c r="G938" s="85" t="str">
        <f>TEXT(Table7[[#This Row],[EXPIRY DATE]],"MMM")</f>
        <v>Dec</v>
      </c>
      <c r="H938" s="85" t="str">
        <f>TEXT(Table7[[#This Row],[EXPIRY DATE]],"YYY")</f>
        <v>2033</v>
      </c>
      <c r="I938" s="84" t="s">
        <v>602</v>
      </c>
      <c r="J938" s="69"/>
    </row>
    <row r="939" spans="1:10" ht="20.399999999999999" x14ac:dyDescent="0.3">
      <c r="A939" s="84">
        <v>938</v>
      </c>
      <c r="B939" s="84" t="s">
        <v>1730</v>
      </c>
      <c r="C939" s="87" t="s">
        <v>1610</v>
      </c>
      <c r="D939" s="115" t="s">
        <v>1731</v>
      </c>
      <c r="E939" s="85" t="s">
        <v>1732</v>
      </c>
      <c r="F939" s="85" t="s">
        <v>629</v>
      </c>
      <c r="G939" s="85" t="str">
        <f>TEXT(Table7[[#This Row],[EXPIRY DATE]],"MMM")</f>
        <v>LIFETIME</v>
      </c>
      <c r="H939" s="85" t="str">
        <f>TEXT(Table7[[#This Row],[EXPIRY DATE]],"YYY")</f>
        <v>LIFETIME</v>
      </c>
      <c r="I939" s="84" t="s">
        <v>602</v>
      </c>
      <c r="J939" s="69"/>
    </row>
    <row r="940" spans="1:10" x14ac:dyDescent="0.3">
      <c r="A940" s="84">
        <v>939</v>
      </c>
      <c r="B940" s="84" t="s">
        <v>1798</v>
      </c>
      <c r="C940" s="108" t="s">
        <v>1610</v>
      </c>
      <c r="D940" s="119" t="s">
        <v>1799</v>
      </c>
      <c r="E940" s="93" t="s">
        <v>652</v>
      </c>
      <c r="F940" s="93" t="s">
        <v>766</v>
      </c>
      <c r="G940" s="93" t="str">
        <f>TEXT(Table7[[#This Row],[EXPIRY DATE]],"MMM")</f>
        <v>CLOSED</v>
      </c>
      <c r="H940" s="93" t="str">
        <f>TEXT(Table7[[#This Row],[EXPIRY DATE]],"YYY")</f>
        <v>CLOSED</v>
      </c>
      <c r="I940" s="92" t="s">
        <v>602</v>
      </c>
      <c r="J940" s="75"/>
    </row>
    <row r="941" spans="1:10" x14ac:dyDescent="0.3">
      <c r="A941" s="84">
        <v>940</v>
      </c>
      <c r="B941" s="84" t="s">
        <v>1798</v>
      </c>
      <c r="C941" s="108" t="s">
        <v>1610</v>
      </c>
      <c r="D941" s="119" t="s">
        <v>1799</v>
      </c>
      <c r="E941" s="93" t="s">
        <v>652</v>
      </c>
      <c r="F941" s="93" t="s">
        <v>766</v>
      </c>
      <c r="G941" s="93" t="str">
        <f>TEXT(Table7[[#This Row],[EXPIRY DATE]],"MMM")</f>
        <v>CLOSED</v>
      </c>
      <c r="H941" s="93" t="str">
        <f>TEXT(Table7[[#This Row],[EXPIRY DATE]],"YYY")</f>
        <v>CLOSED</v>
      </c>
      <c r="I941" s="93" t="s">
        <v>791</v>
      </c>
      <c r="J941" s="75"/>
    </row>
    <row r="942" spans="1:10" x14ac:dyDescent="0.3">
      <c r="A942" s="84">
        <v>941</v>
      </c>
      <c r="B942" s="84" t="s">
        <v>1754</v>
      </c>
      <c r="C942" s="87" t="s">
        <v>1610</v>
      </c>
      <c r="D942" s="115" t="s">
        <v>1755</v>
      </c>
      <c r="E942" s="85" t="s">
        <v>613</v>
      </c>
      <c r="F942" s="85" t="s">
        <v>629</v>
      </c>
      <c r="G942" s="85" t="str">
        <f>TEXT(Table7[[#This Row],[EXPIRY DATE]],"MMM")</f>
        <v>LIFETIME</v>
      </c>
      <c r="H942" s="85" t="str">
        <f>TEXT(Table7[[#This Row],[EXPIRY DATE]],"YYY")</f>
        <v>LIFETIME</v>
      </c>
      <c r="I942" s="84" t="s">
        <v>602</v>
      </c>
      <c r="J942" s="69"/>
    </row>
    <row r="943" spans="1:10" x14ac:dyDescent="0.3">
      <c r="A943" s="84">
        <v>942</v>
      </c>
      <c r="B943" s="84" t="s">
        <v>1749</v>
      </c>
      <c r="C943" s="87" t="s">
        <v>1610</v>
      </c>
      <c r="D943" s="115" t="s">
        <v>1750</v>
      </c>
      <c r="E943" s="85" t="s">
        <v>1751</v>
      </c>
      <c r="F943" s="85" t="s">
        <v>629</v>
      </c>
      <c r="G943" s="85" t="str">
        <f>TEXT(Table7[[#This Row],[EXPIRY DATE]],"MMM")</f>
        <v>LIFETIME</v>
      </c>
      <c r="H943" s="85" t="str">
        <f>TEXT(Table7[[#This Row],[EXPIRY DATE]],"YYY")</f>
        <v>LIFETIME</v>
      </c>
      <c r="I943" s="84" t="s">
        <v>602</v>
      </c>
      <c r="J943" s="69"/>
    </row>
    <row r="944" spans="1:10" x14ac:dyDescent="0.3">
      <c r="A944" s="84">
        <v>943</v>
      </c>
      <c r="B944" s="84" t="s">
        <v>1229</v>
      </c>
      <c r="C944" s="87" t="s">
        <v>1610</v>
      </c>
      <c r="D944" s="115" t="s">
        <v>1734</v>
      </c>
      <c r="E944" s="85" t="s">
        <v>1179</v>
      </c>
      <c r="F944" s="85" t="s">
        <v>1235</v>
      </c>
      <c r="G944" s="85" t="s">
        <v>897</v>
      </c>
      <c r="H944" s="85" t="str">
        <f>TEXT(Table7[[#This Row],[EXPIRY DATE]],"YYY")</f>
        <v>DONE BY CZ</v>
      </c>
      <c r="I944" s="84" t="s">
        <v>791</v>
      </c>
      <c r="J944" s="69"/>
    </row>
    <row r="945" spans="1:10" x14ac:dyDescent="0.3">
      <c r="A945" s="84">
        <v>944</v>
      </c>
      <c r="B945" s="84" t="s">
        <v>1779</v>
      </c>
      <c r="C945" s="87" t="s">
        <v>1610</v>
      </c>
      <c r="D945" s="115" t="s">
        <v>1780</v>
      </c>
      <c r="E945" s="85" t="s">
        <v>1577</v>
      </c>
      <c r="F945" s="85" t="s">
        <v>1800</v>
      </c>
      <c r="G945" s="85" t="str">
        <f>TEXT(Table7[[#This Row],[EXPIRY DATE]],"MMM")</f>
        <v>OH HOLD BY CO.</v>
      </c>
      <c r="H945" s="85" t="str">
        <f>TEXT(Table7[[#This Row],[EXPIRY DATE]],"YYY")</f>
        <v>OH HOLD BY CO.</v>
      </c>
      <c r="I945" s="84" t="s">
        <v>607</v>
      </c>
      <c r="J945" s="69"/>
    </row>
    <row r="946" spans="1:10" ht="20.399999999999999" x14ac:dyDescent="0.3">
      <c r="A946" s="84">
        <v>945</v>
      </c>
      <c r="B946" s="84" t="s">
        <v>1787</v>
      </c>
      <c r="C946" s="87" t="s">
        <v>1610</v>
      </c>
      <c r="D946" s="115" t="s">
        <v>1788</v>
      </c>
      <c r="E946" s="85" t="s">
        <v>1577</v>
      </c>
      <c r="F946" s="85" t="s">
        <v>1800</v>
      </c>
      <c r="G946" s="85" t="str">
        <f>TEXT(Table7[[#This Row],[EXPIRY DATE]],"MMM")</f>
        <v>OH HOLD BY CO.</v>
      </c>
      <c r="H946" s="85" t="str">
        <f>TEXT(Table7[[#This Row],[EXPIRY DATE]],"YYY")</f>
        <v>OH HOLD BY CO.</v>
      </c>
      <c r="I946" s="84" t="s">
        <v>602</v>
      </c>
      <c r="J946" s="69"/>
    </row>
    <row r="947" spans="1:10" ht="20.399999999999999" x14ac:dyDescent="0.3">
      <c r="A947" s="84">
        <v>946</v>
      </c>
      <c r="B947" s="84" t="s">
        <v>1787</v>
      </c>
      <c r="C947" s="87" t="s">
        <v>1610</v>
      </c>
      <c r="D947" s="115" t="s">
        <v>1788</v>
      </c>
      <c r="E947" s="85" t="s">
        <v>1577</v>
      </c>
      <c r="F947" s="85" t="s">
        <v>1800</v>
      </c>
      <c r="G947" s="85" t="str">
        <f>TEXT(Table7[[#This Row],[EXPIRY DATE]],"MMM")</f>
        <v>OH HOLD BY CO.</v>
      </c>
      <c r="H947" s="85" t="str">
        <f>TEXT(Table7[[#This Row],[EXPIRY DATE]],"YYY")</f>
        <v>OH HOLD BY CO.</v>
      </c>
      <c r="I947" s="84" t="s">
        <v>607</v>
      </c>
      <c r="J947" s="69"/>
    </row>
    <row r="948" spans="1:10" x14ac:dyDescent="0.3">
      <c r="A948" s="84">
        <v>947</v>
      </c>
      <c r="B948" s="84" t="s">
        <v>1781</v>
      </c>
      <c r="C948" s="87" t="s">
        <v>1610</v>
      </c>
      <c r="D948" s="115" t="s">
        <v>1782</v>
      </c>
      <c r="E948" s="85" t="s">
        <v>1577</v>
      </c>
      <c r="F948" s="85" t="s">
        <v>1800</v>
      </c>
      <c r="G948" s="85" t="str">
        <f>TEXT(Table7[[#This Row],[EXPIRY DATE]],"MMM")</f>
        <v>OH HOLD BY CO.</v>
      </c>
      <c r="H948" s="85" t="str">
        <f>TEXT(Table7[[#This Row],[EXPIRY DATE]],"YYY")</f>
        <v>OH HOLD BY CO.</v>
      </c>
      <c r="I948" s="84" t="s">
        <v>607</v>
      </c>
      <c r="J948" s="69"/>
    </row>
    <row r="949" spans="1:10" x14ac:dyDescent="0.3">
      <c r="A949" s="84">
        <v>948</v>
      </c>
      <c r="B949" s="84" t="s">
        <v>1737</v>
      </c>
      <c r="C949" s="87" t="s">
        <v>1610</v>
      </c>
      <c r="D949" s="115" t="s">
        <v>1738</v>
      </c>
      <c r="E949" s="85" t="s">
        <v>1179</v>
      </c>
      <c r="F949" s="85" t="s">
        <v>1801</v>
      </c>
      <c r="G949" s="85" t="str">
        <f>TEXT(Table7[[#This Row],[EXPIRY DATE]],"MMM")</f>
        <v>RENEWED BY COMPANY</v>
      </c>
      <c r="H949" s="85" t="str">
        <f>TEXT(Table7[[#This Row],[EXPIRY DATE]],"YYY")</f>
        <v>RENEWED BY COMPANY</v>
      </c>
      <c r="I949" s="84" t="s">
        <v>791</v>
      </c>
      <c r="J949" s="69"/>
    </row>
    <row r="950" spans="1:10" x14ac:dyDescent="0.3">
      <c r="A950" s="84">
        <v>949</v>
      </c>
      <c r="B950" s="84" t="s">
        <v>1802</v>
      </c>
      <c r="C950" s="87" t="s">
        <v>1610</v>
      </c>
      <c r="D950" s="115" t="s">
        <v>1611</v>
      </c>
      <c r="E950" s="85" t="s">
        <v>1225</v>
      </c>
      <c r="F950" s="84" t="s">
        <v>1803</v>
      </c>
      <c r="G950" s="85" t="str">
        <f>TEXT(Table7[[#This Row],[EXPIRY DATE]],"MMM")</f>
        <v>HOLD BY CIPL</v>
      </c>
      <c r="H950" s="85" t="str">
        <f>TEXT(Table7[[#This Row],[EXPIRY DATE]],"YYY")</f>
        <v>HOLD BY CIPL</v>
      </c>
      <c r="I950" s="85" t="s">
        <v>791</v>
      </c>
      <c r="J950" s="69"/>
    </row>
    <row r="951" spans="1:10" x14ac:dyDescent="0.3">
      <c r="A951" s="84">
        <v>950</v>
      </c>
      <c r="B951" s="84" t="s">
        <v>1233</v>
      </c>
      <c r="C951" s="87" t="s">
        <v>1610</v>
      </c>
      <c r="D951" s="115" t="s">
        <v>1633</v>
      </c>
      <c r="E951" s="85" t="s">
        <v>1179</v>
      </c>
      <c r="F951" s="84" t="s">
        <v>1803</v>
      </c>
      <c r="G951" s="84" t="s">
        <v>1803</v>
      </c>
      <c r="H951" s="85" t="str">
        <f>TEXT(Table7[[#This Row],[EXPIRY DATE]],"YYY")</f>
        <v>HOLD BY CIPL</v>
      </c>
      <c r="I951" s="84" t="s">
        <v>791</v>
      </c>
      <c r="J951" s="69"/>
    </row>
    <row r="952" spans="1:10" x14ac:dyDescent="0.3">
      <c r="A952" s="84">
        <v>951</v>
      </c>
      <c r="B952" s="84" t="s">
        <v>1682</v>
      </c>
      <c r="C952" s="87" t="s">
        <v>1610</v>
      </c>
      <c r="D952" s="115" t="s">
        <v>1683</v>
      </c>
      <c r="E952" s="85" t="s">
        <v>802</v>
      </c>
      <c r="F952" s="85" t="s">
        <v>629</v>
      </c>
      <c r="G952" s="85" t="str">
        <f>TEXT(Table7[[#This Row],[EXPIRY DATE]],"MMM")</f>
        <v>LIFETIME</v>
      </c>
      <c r="H952" s="85" t="str">
        <f>TEXT(Table7[[#This Row],[EXPIRY DATE]],"YYY")</f>
        <v>LIFETIME</v>
      </c>
      <c r="I952" s="84" t="s">
        <v>602</v>
      </c>
      <c r="J952" s="69"/>
    </row>
    <row r="953" spans="1:10" x14ac:dyDescent="0.3">
      <c r="A953" s="84">
        <v>952</v>
      </c>
      <c r="B953" s="84" t="s">
        <v>1804</v>
      </c>
      <c r="C953" s="108" t="s">
        <v>1610</v>
      </c>
      <c r="D953" s="119" t="s">
        <v>1805</v>
      </c>
      <c r="E953" s="93" t="s">
        <v>652</v>
      </c>
      <c r="F953" s="93" t="s">
        <v>766</v>
      </c>
      <c r="G953" s="93" t="str">
        <f>TEXT(Table7[[#This Row],[EXPIRY DATE]],"MMM")</f>
        <v>CLOSED</v>
      </c>
      <c r="H953" s="93" t="str">
        <f>TEXT(Table7[[#This Row],[EXPIRY DATE]],"YYY")</f>
        <v>CLOSED</v>
      </c>
      <c r="I953" s="93" t="s">
        <v>791</v>
      </c>
      <c r="J953" s="75"/>
    </row>
    <row r="954" spans="1:10" x14ac:dyDescent="0.3">
      <c r="A954" s="84">
        <v>953</v>
      </c>
      <c r="B954" s="84" t="s">
        <v>1634</v>
      </c>
      <c r="C954" s="87" t="s">
        <v>1610</v>
      </c>
      <c r="D954" s="115" t="s">
        <v>1635</v>
      </c>
      <c r="E954" s="85" t="s">
        <v>1636</v>
      </c>
      <c r="F954" s="85" t="s">
        <v>629</v>
      </c>
      <c r="G954" s="85" t="str">
        <f>TEXT(Table7[[#This Row],[EXPIRY DATE]],"MMM")</f>
        <v>LIFETIME</v>
      </c>
      <c r="H954" s="85" t="str">
        <f>TEXT(Table7[[#This Row],[EXPIRY DATE]],"YYY")</f>
        <v>LIFETIME</v>
      </c>
      <c r="I954" s="84" t="s">
        <v>602</v>
      </c>
      <c r="J954" s="69"/>
    </row>
    <row r="955" spans="1:10" x14ac:dyDescent="0.3">
      <c r="A955" s="84">
        <v>954</v>
      </c>
      <c r="B955" s="84" t="s">
        <v>1684</v>
      </c>
      <c r="C955" s="87" t="s">
        <v>1610</v>
      </c>
      <c r="D955" s="115" t="s">
        <v>1685</v>
      </c>
      <c r="E955" s="85" t="s">
        <v>949</v>
      </c>
      <c r="F955" s="85" t="s">
        <v>629</v>
      </c>
      <c r="G955" s="85" t="str">
        <f>TEXT(Table7[[#This Row],[EXPIRY DATE]],"MMM")</f>
        <v>LIFETIME</v>
      </c>
      <c r="H955" s="85" t="str">
        <f>TEXT(Table7[[#This Row],[EXPIRY DATE]],"YYY")</f>
        <v>LIFETIME</v>
      </c>
      <c r="I955" s="84" t="s">
        <v>602</v>
      </c>
      <c r="J955" s="69"/>
    </row>
    <row r="956" spans="1:10" x14ac:dyDescent="0.3">
      <c r="A956" s="84">
        <v>955</v>
      </c>
      <c r="B956" s="84" t="s">
        <v>1783</v>
      </c>
      <c r="C956" s="87" t="s">
        <v>1610</v>
      </c>
      <c r="D956" s="115" t="s">
        <v>1784</v>
      </c>
      <c r="E956" s="85" t="s">
        <v>1577</v>
      </c>
      <c r="F956" s="85" t="s">
        <v>1800</v>
      </c>
      <c r="G956" s="85" t="str">
        <f>TEXT(Table7[[#This Row],[EXPIRY DATE]],"MMM")</f>
        <v>OH HOLD BY CO.</v>
      </c>
      <c r="H956" s="85" t="str">
        <f>TEXT(Table7[[#This Row],[EXPIRY DATE]],"YYY")</f>
        <v>OH HOLD BY CO.</v>
      </c>
      <c r="I956" s="84" t="s">
        <v>607</v>
      </c>
      <c r="J956" s="69"/>
    </row>
    <row r="957" spans="1:10" x14ac:dyDescent="0.3">
      <c r="A957" s="84">
        <v>956</v>
      </c>
      <c r="B957" s="84" t="s">
        <v>1177</v>
      </c>
      <c r="C957" s="87" t="s">
        <v>1610</v>
      </c>
      <c r="D957" s="115" t="s">
        <v>1644</v>
      </c>
      <c r="E957" s="85" t="s">
        <v>692</v>
      </c>
      <c r="F957" s="85" t="s">
        <v>1806</v>
      </c>
      <c r="G957" s="85" t="s">
        <v>606</v>
      </c>
      <c r="H957" s="85" t="str">
        <f>TEXT(Table7[[#This Row],[EXPIRY DATE]],"YYY")</f>
        <v>DONE BY CIPL</v>
      </c>
      <c r="I957" s="84" t="s">
        <v>602</v>
      </c>
      <c r="J957" s="69"/>
    </row>
    <row r="958" spans="1:10" x14ac:dyDescent="0.3">
      <c r="A958" s="84">
        <v>957</v>
      </c>
      <c r="B958" s="84" t="s">
        <v>1766</v>
      </c>
      <c r="C958" s="87" t="s">
        <v>1610</v>
      </c>
      <c r="D958" s="115" t="s">
        <v>1767</v>
      </c>
      <c r="E958" s="85" t="s">
        <v>1768</v>
      </c>
      <c r="F958" s="85" t="s">
        <v>629</v>
      </c>
      <c r="G958" s="85" t="str">
        <f>TEXT(Table7[[#This Row],[EXPIRY DATE]],"MMM")</f>
        <v>LIFETIME</v>
      </c>
      <c r="H958" s="85" t="str">
        <f>TEXT(Table7[[#This Row],[EXPIRY DATE]],"YYY")</f>
        <v>LIFETIME</v>
      </c>
      <c r="I958" s="84" t="s">
        <v>602</v>
      </c>
      <c r="J958" s="69"/>
    </row>
    <row r="959" spans="1:10" x14ac:dyDescent="0.3">
      <c r="A959" s="84">
        <v>958</v>
      </c>
      <c r="B959" s="84" t="s">
        <v>1807</v>
      </c>
      <c r="C959" s="108" t="s">
        <v>1610</v>
      </c>
      <c r="D959" s="119" t="s">
        <v>1808</v>
      </c>
      <c r="E959" s="93" t="s">
        <v>1329</v>
      </c>
      <c r="F959" s="93" t="s">
        <v>766</v>
      </c>
      <c r="G959" s="93" t="str">
        <f>TEXT(Table7[[#This Row],[EXPIRY DATE]],"MMM")</f>
        <v>CLOSED</v>
      </c>
      <c r="H959" s="93" t="str">
        <f>TEXT(Table7[[#This Row],[EXPIRY DATE]],"YYY")</f>
        <v>CLOSED</v>
      </c>
      <c r="I959" s="92" t="s">
        <v>602</v>
      </c>
      <c r="J959" s="75"/>
    </row>
    <row r="960" spans="1:10" x14ac:dyDescent="0.3">
      <c r="A960" s="84">
        <v>959</v>
      </c>
      <c r="B960" s="84" t="s">
        <v>1807</v>
      </c>
      <c r="C960" s="108" t="s">
        <v>1610</v>
      </c>
      <c r="D960" s="119" t="s">
        <v>1808</v>
      </c>
      <c r="E960" s="93" t="s">
        <v>1329</v>
      </c>
      <c r="F960" s="93" t="s">
        <v>766</v>
      </c>
      <c r="G960" s="93" t="str">
        <f>TEXT(Table7[[#This Row],[EXPIRY DATE]],"MMM")</f>
        <v>CLOSED</v>
      </c>
      <c r="H960" s="93" t="str">
        <f>TEXT(Table7[[#This Row],[EXPIRY DATE]],"YYY")</f>
        <v>CLOSED</v>
      </c>
      <c r="I960" s="93" t="s">
        <v>791</v>
      </c>
      <c r="J960" s="75"/>
    </row>
    <row r="961" spans="1:10" x14ac:dyDescent="0.3">
      <c r="A961" s="84">
        <v>960</v>
      </c>
      <c r="B961" s="84" t="s">
        <v>1764</v>
      </c>
      <c r="C961" s="87" t="s">
        <v>1610</v>
      </c>
      <c r="D961" s="115" t="s">
        <v>1765</v>
      </c>
      <c r="E961" s="85" t="s">
        <v>613</v>
      </c>
      <c r="F961" s="85" t="s">
        <v>629</v>
      </c>
      <c r="G961" s="85" t="str">
        <f>TEXT(Table7[[#This Row],[EXPIRY DATE]],"MMM")</f>
        <v>LIFETIME</v>
      </c>
      <c r="H961" s="85" t="str">
        <f>TEXT(Table7[[#This Row],[EXPIRY DATE]],"YYY")</f>
        <v>LIFETIME</v>
      </c>
      <c r="I961" s="84" t="s">
        <v>602</v>
      </c>
      <c r="J961" s="69"/>
    </row>
    <row r="962" spans="1:10" x14ac:dyDescent="0.3">
      <c r="A962" s="84">
        <v>961</v>
      </c>
      <c r="B962" s="84" t="s">
        <v>1809</v>
      </c>
      <c r="C962" s="108" t="s">
        <v>1610</v>
      </c>
      <c r="D962" s="119" t="s">
        <v>1810</v>
      </c>
      <c r="E962" s="93" t="s">
        <v>949</v>
      </c>
      <c r="F962" s="93" t="s">
        <v>766</v>
      </c>
      <c r="G962" s="93" t="str">
        <f>TEXT(Table7[[#This Row],[EXPIRY DATE]],"MMM")</f>
        <v>CLOSED</v>
      </c>
      <c r="H962" s="93" t="str">
        <f>TEXT(Table7[[#This Row],[EXPIRY DATE]],"YYY")</f>
        <v>CLOSED</v>
      </c>
      <c r="I962" s="92" t="s">
        <v>602</v>
      </c>
      <c r="J962" s="75"/>
    </row>
    <row r="963" spans="1:10" x14ac:dyDescent="0.3">
      <c r="A963" s="84">
        <v>962</v>
      </c>
      <c r="B963" s="84" t="s">
        <v>1809</v>
      </c>
      <c r="C963" s="108" t="s">
        <v>1610</v>
      </c>
      <c r="D963" s="119" t="s">
        <v>1810</v>
      </c>
      <c r="E963" s="93" t="s">
        <v>949</v>
      </c>
      <c r="F963" s="93" t="s">
        <v>766</v>
      </c>
      <c r="G963" s="93" t="str">
        <f>TEXT(Table7[[#This Row],[EXPIRY DATE]],"MMM")</f>
        <v>CLOSED</v>
      </c>
      <c r="H963" s="93" t="str">
        <f>TEXT(Table7[[#This Row],[EXPIRY DATE]],"YYY")</f>
        <v>CLOSED</v>
      </c>
      <c r="I963" s="93" t="s">
        <v>791</v>
      </c>
      <c r="J963" s="75"/>
    </row>
    <row r="964" spans="1:10" x14ac:dyDescent="0.3">
      <c r="A964" s="84">
        <v>963</v>
      </c>
      <c r="B964" s="84" t="s">
        <v>1743</v>
      </c>
      <c r="C964" s="87" t="s">
        <v>1610</v>
      </c>
      <c r="D964" s="115" t="s">
        <v>1744</v>
      </c>
      <c r="E964" s="85" t="s">
        <v>1179</v>
      </c>
      <c r="F964" s="85" t="s">
        <v>1806</v>
      </c>
      <c r="G964" s="85" t="str">
        <f>TEXT(Table7[[#This Row],[EXPIRY DATE]],"MMM")</f>
        <v>DONE BY CIPL</v>
      </c>
      <c r="H964" s="85" t="str">
        <f>TEXT(Table7[[#This Row],[EXPIRY DATE]],"YYY")</f>
        <v>DONE BY CIPL</v>
      </c>
      <c r="I964" s="84" t="s">
        <v>791</v>
      </c>
      <c r="J964" s="69"/>
    </row>
    <row r="965" spans="1:10" x14ac:dyDescent="0.3">
      <c r="A965" s="84">
        <v>964</v>
      </c>
      <c r="B965" s="84" t="s">
        <v>1745</v>
      </c>
      <c r="C965" s="87" t="s">
        <v>1610</v>
      </c>
      <c r="D965" s="115" t="s">
        <v>1746</v>
      </c>
      <c r="E965" s="85" t="s">
        <v>1179</v>
      </c>
      <c r="F965" s="85" t="s">
        <v>1806</v>
      </c>
      <c r="G965" s="85" t="s">
        <v>838</v>
      </c>
      <c r="H965" s="85"/>
      <c r="I965" s="84" t="s">
        <v>791</v>
      </c>
      <c r="J965" s="69"/>
    </row>
    <row r="966" spans="1:10" x14ac:dyDescent="0.3">
      <c r="A966" s="84">
        <v>965</v>
      </c>
      <c r="B966" s="84" t="s">
        <v>1680</v>
      </c>
      <c r="C966" s="109" t="s">
        <v>1610</v>
      </c>
      <c r="D966" s="124" t="s">
        <v>1681</v>
      </c>
      <c r="E966" s="107" t="s">
        <v>1172</v>
      </c>
      <c r="F966" s="107" t="s">
        <v>81</v>
      </c>
      <c r="G966" s="107" t="str">
        <f>TEXT(Table7[[#This Row],[EXPIRY DATE]],"MMM")</f>
        <v>NA</v>
      </c>
      <c r="H966" s="107" t="str">
        <f>TEXT(Table7[[#This Row],[EXPIRY DATE]],"YYY")</f>
        <v>NA</v>
      </c>
      <c r="I966" s="106" t="s">
        <v>916</v>
      </c>
      <c r="J966" s="78"/>
    </row>
    <row r="967" spans="1:10" x14ac:dyDescent="0.3">
      <c r="A967" s="84">
        <v>966</v>
      </c>
      <c r="B967" s="84" t="s">
        <v>1642</v>
      </c>
      <c r="C967" s="87" t="s">
        <v>1610</v>
      </c>
      <c r="D967" s="115" t="s">
        <v>1643</v>
      </c>
      <c r="E967" s="85" t="s">
        <v>931</v>
      </c>
      <c r="F967" s="85" t="s">
        <v>1806</v>
      </c>
      <c r="G967" s="85" t="str">
        <f>TEXT(Table7[[#This Row],[EXPIRY DATE]],"MMM")</f>
        <v>DONE BY CIPL</v>
      </c>
      <c r="H967" s="85" t="str">
        <f>TEXT(Table7[[#This Row],[EXPIRY DATE]],"YYY")</f>
        <v>DONE BY CIPL</v>
      </c>
      <c r="I967" s="84" t="s">
        <v>1811</v>
      </c>
      <c r="J967" s="69"/>
    </row>
    <row r="968" spans="1:10" ht="20.399999999999999" x14ac:dyDescent="0.3">
      <c r="A968" s="84">
        <v>967</v>
      </c>
      <c r="B968" s="84" t="s">
        <v>1812</v>
      </c>
      <c r="C968" s="84" t="s">
        <v>1813</v>
      </c>
      <c r="D968" s="115" t="s">
        <v>1814</v>
      </c>
      <c r="E968" s="85" t="s">
        <v>1815</v>
      </c>
      <c r="F968" s="85">
        <v>46022</v>
      </c>
      <c r="G968" s="85" t="s">
        <v>625</v>
      </c>
      <c r="H968" s="85" t="str">
        <f>TEXT(Table7[[#This Row],[EXPIRY DATE]],"YYY")</f>
        <v>2025</v>
      </c>
      <c r="I968" s="84" t="s">
        <v>602</v>
      </c>
      <c r="J968" s="69"/>
    </row>
    <row r="969" spans="1:10" x14ac:dyDescent="0.3">
      <c r="A969" s="84">
        <v>968</v>
      </c>
      <c r="B969" s="84" t="s">
        <v>1238</v>
      </c>
      <c r="C969" s="84" t="s">
        <v>1813</v>
      </c>
      <c r="D969" s="115" t="s">
        <v>1240</v>
      </c>
      <c r="E969" s="85" t="s">
        <v>1241</v>
      </c>
      <c r="F969" s="85">
        <v>46022</v>
      </c>
      <c r="G969" s="85" t="s">
        <v>625</v>
      </c>
      <c r="H969" s="85" t="str">
        <f>TEXT(Table7[[#This Row],[EXPIRY DATE]],"YYY")</f>
        <v>2025</v>
      </c>
      <c r="I969" s="84" t="s">
        <v>602</v>
      </c>
      <c r="J969" s="69"/>
    </row>
    <row r="970" spans="1:10" ht="20.399999999999999" x14ac:dyDescent="0.3">
      <c r="A970" s="84">
        <v>969</v>
      </c>
      <c r="B970" s="84" t="s">
        <v>1812</v>
      </c>
      <c r="C970" s="84" t="s">
        <v>1813</v>
      </c>
      <c r="D970" s="115" t="s">
        <v>1814</v>
      </c>
      <c r="E970" s="85" t="s">
        <v>1815</v>
      </c>
      <c r="F970" s="85">
        <v>46107</v>
      </c>
      <c r="G970" s="85" t="s">
        <v>606</v>
      </c>
      <c r="H970" s="85" t="str">
        <f>TEXT(Table7[[#This Row],[EXPIRY DATE]],"YYY")</f>
        <v>2026</v>
      </c>
      <c r="I970" s="84" t="s">
        <v>791</v>
      </c>
      <c r="J970" s="69"/>
    </row>
    <row r="971" spans="1:10" x14ac:dyDescent="0.3">
      <c r="A971" s="84">
        <v>970</v>
      </c>
      <c r="B971" s="84" t="s">
        <v>1238</v>
      </c>
      <c r="C971" s="84" t="s">
        <v>1813</v>
      </c>
      <c r="D971" s="115" t="s">
        <v>1240</v>
      </c>
      <c r="E971" s="85" t="s">
        <v>1241</v>
      </c>
      <c r="F971" s="85">
        <v>46470</v>
      </c>
      <c r="G971" s="85" t="s">
        <v>606</v>
      </c>
      <c r="H971" s="85" t="str">
        <f>TEXT(Table7[[#This Row],[EXPIRY DATE]],"YYY")</f>
        <v>2027</v>
      </c>
      <c r="I971" s="84" t="s">
        <v>791</v>
      </c>
      <c r="J971" s="69"/>
    </row>
    <row r="972" spans="1:10" x14ac:dyDescent="0.3">
      <c r="A972" s="84">
        <v>971</v>
      </c>
      <c r="B972" s="110" t="s">
        <v>1816</v>
      </c>
      <c r="C972" s="84" t="s">
        <v>433</v>
      </c>
      <c r="D972" s="125" t="s">
        <v>1817</v>
      </c>
      <c r="E972" s="84" t="s">
        <v>601</v>
      </c>
      <c r="F972" s="85">
        <v>45978</v>
      </c>
      <c r="G972" s="85" t="s">
        <v>842</v>
      </c>
      <c r="H972" s="85" t="str">
        <f>TEXT(Table7[[#This Row],[EXPIRY DATE]],"YYY")</f>
        <v>2025</v>
      </c>
      <c r="I972" s="84" t="s">
        <v>845</v>
      </c>
      <c r="J972" s="69"/>
    </row>
    <row r="973" spans="1:10" x14ac:dyDescent="0.3">
      <c r="A973" s="84">
        <v>972</v>
      </c>
      <c r="B973" s="84" t="s">
        <v>1818</v>
      </c>
      <c r="C973" s="84" t="s">
        <v>433</v>
      </c>
      <c r="D973" s="123" t="s">
        <v>1819</v>
      </c>
      <c r="E973" s="85" t="s">
        <v>610</v>
      </c>
      <c r="F973" s="85">
        <v>46022</v>
      </c>
      <c r="G973" s="85" t="s">
        <v>625</v>
      </c>
      <c r="H973" s="101" t="str">
        <f>TEXT(Table7[[#This Row],[EXPIRY DATE]],"YYY")</f>
        <v>2025</v>
      </c>
      <c r="I973" s="84" t="s">
        <v>607</v>
      </c>
      <c r="J973" s="82"/>
    </row>
    <row r="974" spans="1:10" x14ac:dyDescent="0.3">
      <c r="A974" s="84">
        <v>973</v>
      </c>
      <c r="B974" s="84" t="s">
        <v>1820</v>
      </c>
      <c r="C974" s="84" t="s">
        <v>433</v>
      </c>
      <c r="D974" s="115" t="s">
        <v>1821</v>
      </c>
      <c r="E974" s="85" t="s">
        <v>1172</v>
      </c>
      <c r="F974" s="85">
        <v>46217</v>
      </c>
      <c r="G974" s="85" t="s">
        <v>944</v>
      </c>
      <c r="H974" s="85" t="str">
        <f>TEXT(Table7[[#This Row],[EXPIRY DATE]],"YYY")</f>
        <v>2026</v>
      </c>
      <c r="I974" s="84" t="s">
        <v>791</v>
      </c>
      <c r="J974" s="69"/>
    </row>
    <row r="975" spans="1:10" x14ac:dyDescent="0.3">
      <c r="A975" s="84">
        <v>974</v>
      </c>
      <c r="B975" s="111" t="s">
        <v>1822</v>
      </c>
      <c r="C975" s="84" t="s">
        <v>433</v>
      </c>
      <c r="D975" s="115" t="s">
        <v>1823</v>
      </c>
      <c r="E975" s="84" t="s">
        <v>601</v>
      </c>
      <c r="F975" s="85">
        <v>46339</v>
      </c>
      <c r="G975" s="84" t="s">
        <v>842</v>
      </c>
      <c r="H975" s="85" t="str">
        <f>TEXT(Table7[[#This Row],[EXPIRY DATE]],"YYY")</f>
        <v>2026</v>
      </c>
      <c r="I975" s="84" t="s">
        <v>845</v>
      </c>
      <c r="J975" s="69"/>
    </row>
    <row r="976" spans="1:10" x14ac:dyDescent="0.3">
      <c r="A976" s="84">
        <v>975</v>
      </c>
      <c r="B976" s="111" t="s">
        <v>1824</v>
      </c>
      <c r="C976" s="84" t="s">
        <v>433</v>
      </c>
      <c r="D976" s="125" t="s">
        <v>1825</v>
      </c>
      <c r="E976" s="84" t="s">
        <v>601</v>
      </c>
      <c r="F976" s="85">
        <v>46343</v>
      </c>
      <c r="G976" s="84" t="s">
        <v>842</v>
      </c>
      <c r="H976" s="85" t="str">
        <f>TEXT(Table7[[#This Row],[EXPIRY DATE]],"YYY")</f>
        <v>2026</v>
      </c>
      <c r="I976" s="84" t="s">
        <v>845</v>
      </c>
      <c r="J976" s="69"/>
    </row>
    <row r="977" spans="1:10" x14ac:dyDescent="0.3">
      <c r="A977" s="84">
        <v>976</v>
      </c>
      <c r="B977" s="84" t="s">
        <v>1826</v>
      </c>
      <c r="C977" s="84" t="s">
        <v>433</v>
      </c>
      <c r="D977" s="115" t="s">
        <v>1827</v>
      </c>
      <c r="E977" s="84" t="s">
        <v>601</v>
      </c>
      <c r="F977" s="85">
        <v>46343</v>
      </c>
      <c r="G977" s="84" t="s">
        <v>842</v>
      </c>
      <c r="H977" s="85" t="str">
        <f>TEXT(Table7[[#This Row],[EXPIRY DATE]],"YYY")</f>
        <v>2026</v>
      </c>
      <c r="I977" s="84" t="s">
        <v>845</v>
      </c>
      <c r="J977" s="69"/>
    </row>
    <row r="978" spans="1:10" x14ac:dyDescent="0.3">
      <c r="A978" s="84">
        <v>977</v>
      </c>
      <c r="B978" s="84" t="s">
        <v>1828</v>
      </c>
      <c r="C978" s="84" t="s">
        <v>433</v>
      </c>
      <c r="D978" s="115" t="s">
        <v>1829</v>
      </c>
      <c r="E978" s="85" t="s">
        <v>925</v>
      </c>
      <c r="F978" s="85">
        <v>46344</v>
      </c>
      <c r="G978" s="85" t="s">
        <v>842</v>
      </c>
      <c r="H978" s="85" t="str">
        <f>TEXT(Table7[[#This Row],[EXPIRY DATE]],"YYY")</f>
        <v>2026</v>
      </c>
      <c r="I978" s="84" t="s">
        <v>602</v>
      </c>
      <c r="J978" s="69"/>
    </row>
    <row r="979" spans="1:10" x14ac:dyDescent="0.3">
      <c r="A979" s="84">
        <v>978</v>
      </c>
      <c r="B979" s="84" t="s">
        <v>1828</v>
      </c>
      <c r="C979" s="84" t="s">
        <v>433</v>
      </c>
      <c r="D979" s="115" t="s">
        <v>1829</v>
      </c>
      <c r="E979" s="101" t="s">
        <v>925</v>
      </c>
      <c r="F979" s="101">
        <v>46344</v>
      </c>
      <c r="G979" s="85" t="str">
        <f>TEXT(Table7[[#This Row],[EXPIRY DATE]],"MMM")</f>
        <v>Nov</v>
      </c>
      <c r="H979" s="101" t="str">
        <f>TEXT(Table7[[#This Row],[EXPIRY DATE]],"YYY")</f>
        <v>2026</v>
      </c>
      <c r="I979" s="100" t="s">
        <v>1830</v>
      </c>
      <c r="J979" s="74"/>
    </row>
    <row r="980" spans="1:10" x14ac:dyDescent="0.3">
      <c r="A980" s="84">
        <v>979</v>
      </c>
      <c r="B980" s="111" t="s">
        <v>1831</v>
      </c>
      <c r="C980" s="84" t="s">
        <v>433</v>
      </c>
      <c r="D980" s="125" t="s">
        <v>1832</v>
      </c>
      <c r="E980" s="84" t="s">
        <v>601</v>
      </c>
      <c r="F980" s="85">
        <v>46350</v>
      </c>
      <c r="G980" s="85" t="s">
        <v>842</v>
      </c>
      <c r="H980" s="85" t="str">
        <f>TEXT(Table7[[#This Row],[EXPIRY DATE]],"YYY")</f>
        <v>2026</v>
      </c>
      <c r="I980" s="84" t="s">
        <v>845</v>
      </c>
      <c r="J980" s="69"/>
    </row>
    <row r="981" spans="1:10" x14ac:dyDescent="0.3">
      <c r="A981" s="84">
        <v>980</v>
      </c>
      <c r="B981" s="111" t="s">
        <v>1833</v>
      </c>
      <c r="C981" s="84" t="s">
        <v>433</v>
      </c>
      <c r="D981" s="125" t="s">
        <v>1834</v>
      </c>
      <c r="E981" s="84" t="s">
        <v>601</v>
      </c>
      <c r="F981" s="85">
        <v>46350</v>
      </c>
      <c r="G981" s="84" t="s">
        <v>842</v>
      </c>
      <c r="H981" s="85" t="str">
        <f>TEXT(Table7[[#This Row],[EXPIRY DATE]],"YYY")</f>
        <v>2026</v>
      </c>
      <c r="I981" s="84" t="s">
        <v>845</v>
      </c>
      <c r="J981" s="69"/>
    </row>
    <row r="982" spans="1:10" x14ac:dyDescent="0.3">
      <c r="A982" s="84">
        <v>981</v>
      </c>
      <c r="B982" s="111" t="s">
        <v>1835</v>
      </c>
      <c r="C982" s="84" t="s">
        <v>433</v>
      </c>
      <c r="D982" s="125" t="s">
        <v>1836</v>
      </c>
      <c r="E982" s="84" t="s">
        <v>601</v>
      </c>
      <c r="F982" s="85">
        <v>46350</v>
      </c>
      <c r="G982" s="84" t="s">
        <v>842</v>
      </c>
      <c r="H982" s="85" t="str">
        <f>TEXT(Table7[[#This Row],[EXPIRY DATE]],"YYY")</f>
        <v>2026</v>
      </c>
      <c r="I982" s="84" t="s">
        <v>845</v>
      </c>
      <c r="J982" s="69"/>
    </row>
    <row r="983" spans="1:10" x14ac:dyDescent="0.3">
      <c r="A983" s="84">
        <v>982</v>
      </c>
      <c r="B983" s="110" t="s">
        <v>1837</v>
      </c>
      <c r="C983" s="84" t="s">
        <v>433</v>
      </c>
      <c r="D983" s="125" t="s">
        <v>1838</v>
      </c>
      <c r="E983" s="84" t="s">
        <v>601</v>
      </c>
      <c r="F983" s="85">
        <v>46350</v>
      </c>
      <c r="G983" s="84" t="s">
        <v>842</v>
      </c>
      <c r="H983" s="85" t="str">
        <f>TEXT(Table7[[#This Row],[EXPIRY DATE]],"YYY")</f>
        <v>2026</v>
      </c>
      <c r="I983" s="84" t="s">
        <v>845</v>
      </c>
      <c r="J983" s="69"/>
    </row>
    <row r="984" spans="1:10" x14ac:dyDescent="0.3">
      <c r="A984" s="84">
        <v>983</v>
      </c>
      <c r="B984" s="111" t="s">
        <v>1839</v>
      </c>
      <c r="C984" s="84" t="s">
        <v>433</v>
      </c>
      <c r="D984" s="125" t="s">
        <v>1840</v>
      </c>
      <c r="E984" s="84" t="s">
        <v>601</v>
      </c>
      <c r="F984" s="85">
        <v>46350</v>
      </c>
      <c r="G984" s="84" t="s">
        <v>842</v>
      </c>
      <c r="H984" s="85" t="str">
        <f>TEXT(Table7[[#This Row],[EXPIRY DATE]],"YYY")</f>
        <v>2026</v>
      </c>
      <c r="I984" s="84" t="s">
        <v>845</v>
      </c>
      <c r="J984" s="69"/>
    </row>
    <row r="985" spans="1:10" x14ac:dyDescent="0.3">
      <c r="A985" s="84">
        <v>984</v>
      </c>
      <c r="B985" s="110" t="s">
        <v>1841</v>
      </c>
      <c r="C985" s="84" t="s">
        <v>433</v>
      </c>
      <c r="D985" s="125" t="s">
        <v>1842</v>
      </c>
      <c r="E985" s="84" t="s">
        <v>601</v>
      </c>
      <c r="F985" s="85">
        <v>46350</v>
      </c>
      <c r="G985" s="84" t="s">
        <v>842</v>
      </c>
      <c r="H985" s="85" t="str">
        <f>TEXT(Table7[[#This Row],[EXPIRY DATE]],"YYY")</f>
        <v>2026</v>
      </c>
      <c r="I985" s="84" t="s">
        <v>845</v>
      </c>
      <c r="J985" s="69"/>
    </row>
    <row r="986" spans="1:10" x14ac:dyDescent="0.3">
      <c r="A986" s="84">
        <v>985</v>
      </c>
      <c r="B986" s="111" t="s">
        <v>1843</v>
      </c>
      <c r="C986" s="84" t="s">
        <v>433</v>
      </c>
      <c r="D986" s="125" t="s">
        <v>1844</v>
      </c>
      <c r="E986" s="84" t="s">
        <v>601</v>
      </c>
      <c r="F986" s="85">
        <v>46350</v>
      </c>
      <c r="G986" s="84" t="s">
        <v>842</v>
      </c>
      <c r="H986" s="85" t="str">
        <f>TEXT(Table7[[#This Row],[EXPIRY DATE]],"YYY")</f>
        <v>2026</v>
      </c>
      <c r="I986" s="84" t="s">
        <v>845</v>
      </c>
      <c r="J986" s="69"/>
    </row>
    <row r="987" spans="1:10" x14ac:dyDescent="0.3">
      <c r="A987" s="84">
        <v>986</v>
      </c>
      <c r="B987" s="84" t="s">
        <v>1845</v>
      </c>
      <c r="C987" s="84" t="s">
        <v>433</v>
      </c>
      <c r="D987" s="115" t="s">
        <v>1846</v>
      </c>
      <c r="E987" s="85" t="s">
        <v>601</v>
      </c>
      <c r="F987" s="85">
        <v>46357</v>
      </c>
      <c r="G987" s="85" t="s">
        <v>625</v>
      </c>
      <c r="H987" s="85" t="str">
        <f>TEXT(Table7[[#This Row],[EXPIRY DATE]],"YYY")</f>
        <v>2026</v>
      </c>
      <c r="I987" s="84" t="s">
        <v>845</v>
      </c>
      <c r="J987" s="69"/>
    </row>
    <row r="988" spans="1:10" x14ac:dyDescent="0.3">
      <c r="A988" s="84">
        <v>987</v>
      </c>
      <c r="B988" s="110" t="s">
        <v>1816</v>
      </c>
      <c r="C988" s="84" t="s">
        <v>433</v>
      </c>
      <c r="D988" s="125" t="s">
        <v>1817</v>
      </c>
      <c r="E988" s="84" t="s">
        <v>601</v>
      </c>
      <c r="F988" s="85">
        <v>46358</v>
      </c>
      <c r="G988" s="85" t="s">
        <v>625</v>
      </c>
      <c r="H988" s="85" t="str">
        <f>TEXT(Table7[[#This Row],[EXPIRY DATE]],"YYY")</f>
        <v>2026</v>
      </c>
      <c r="I988" s="84" t="s">
        <v>791</v>
      </c>
      <c r="J988" s="69"/>
    </row>
    <row r="989" spans="1:10" x14ac:dyDescent="0.3">
      <c r="A989" s="84">
        <v>988</v>
      </c>
      <c r="B989" s="110" t="s">
        <v>1837</v>
      </c>
      <c r="C989" s="84" t="s">
        <v>433</v>
      </c>
      <c r="D989" s="125" t="s">
        <v>1838</v>
      </c>
      <c r="E989" s="84" t="s">
        <v>601</v>
      </c>
      <c r="F989" s="85">
        <v>46358</v>
      </c>
      <c r="G989" s="85" t="s">
        <v>625</v>
      </c>
      <c r="H989" s="85" t="str">
        <f>TEXT(Table7[[#This Row],[EXPIRY DATE]],"YYY")</f>
        <v>2026</v>
      </c>
      <c r="I989" s="84" t="s">
        <v>791</v>
      </c>
      <c r="J989" s="69"/>
    </row>
    <row r="990" spans="1:10" x14ac:dyDescent="0.3">
      <c r="A990" s="84">
        <v>989</v>
      </c>
      <c r="B990" s="111" t="s">
        <v>1824</v>
      </c>
      <c r="C990" s="84" t="s">
        <v>433</v>
      </c>
      <c r="D990" s="125" t="s">
        <v>1825</v>
      </c>
      <c r="E990" s="84" t="s">
        <v>601</v>
      </c>
      <c r="F990" s="85">
        <v>46358</v>
      </c>
      <c r="G990" s="85" t="s">
        <v>625</v>
      </c>
      <c r="H990" s="85" t="str">
        <f>TEXT(Table7[[#This Row],[EXPIRY DATE]],"YYY")</f>
        <v>2026</v>
      </c>
      <c r="I990" s="84" t="s">
        <v>791</v>
      </c>
      <c r="J990" s="69"/>
    </row>
    <row r="991" spans="1:10" x14ac:dyDescent="0.3">
      <c r="A991" s="84">
        <v>990</v>
      </c>
      <c r="B991" s="84" t="s">
        <v>1826</v>
      </c>
      <c r="C991" s="84" t="s">
        <v>433</v>
      </c>
      <c r="D991" s="115" t="s">
        <v>1827</v>
      </c>
      <c r="E991" s="84" t="s">
        <v>601</v>
      </c>
      <c r="F991" s="85">
        <v>46358</v>
      </c>
      <c r="G991" s="85" t="s">
        <v>625</v>
      </c>
      <c r="H991" s="85" t="str">
        <f>TEXT(Table7[[#This Row],[EXPIRY DATE]],"YYY")</f>
        <v>2026</v>
      </c>
      <c r="I991" s="84" t="s">
        <v>791</v>
      </c>
      <c r="J991" s="69"/>
    </row>
    <row r="992" spans="1:10" x14ac:dyDescent="0.3">
      <c r="A992" s="84">
        <v>991</v>
      </c>
      <c r="B992" s="84" t="s">
        <v>1847</v>
      </c>
      <c r="C992" s="84" t="s">
        <v>433</v>
      </c>
      <c r="D992" s="115" t="s">
        <v>1848</v>
      </c>
      <c r="E992" s="85" t="s">
        <v>601</v>
      </c>
      <c r="F992" s="85">
        <v>46360</v>
      </c>
      <c r="G992" s="85" t="s">
        <v>842</v>
      </c>
      <c r="H992" s="85" t="str">
        <f>TEXT(Table7[[#This Row],[EXPIRY DATE]],"YYY")</f>
        <v>2026</v>
      </c>
      <c r="I992" s="84" t="s">
        <v>845</v>
      </c>
      <c r="J992" s="69"/>
    </row>
    <row r="993" spans="1:10" x14ac:dyDescent="0.3">
      <c r="A993" s="84">
        <v>992</v>
      </c>
      <c r="B993" s="84" t="s">
        <v>1849</v>
      </c>
      <c r="C993" s="84" t="s">
        <v>433</v>
      </c>
      <c r="D993" s="115" t="s">
        <v>1850</v>
      </c>
      <c r="E993" s="85" t="s">
        <v>601</v>
      </c>
      <c r="F993" s="85">
        <v>46360</v>
      </c>
      <c r="G993" s="85" t="s">
        <v>842</v>
      </c>
      <c r="H993" s="85" t="str">
        <f>TEXT(Table7[[#This Row],[EXPIRY DATE]],"YYY")</f>
        <v>2026</v>
      </c>
      <c r="I993" s="84" t="s">
        <v>845</v>
      </c>
      <c r="J993" s="69"/>
    </row>
    <row r="994" spans="1:10" x14ac:dyDescent="0.3">
      <c r="A994" s="84">
        <v>993</v>
      </c>
      <c r="B994" s="84" t="s">
        <v>1851</v>
      </c>
      <c r="C994" s="84" t="s">
        <v>433</v>
      </c>
      <c r="D994" s="115" t="s">
        <v>1852</v>
      </c>
      <c r="E994" s="85" t="s">
        <v>601</v>
      </c>
      <c r="F994" s="85">
        <v>46360</v>
      </c>
      <c r="G994" s="85" t="s">
        <v>842</v>
      </c>
      <c r="H994" s="85" t="str">
        <f>TEXT(Table7[[#This Row],[EXPIRY DATE]],"YYY")</f>
        <v>2026</v>
      </c>
      <c r="I994" s="84" t="s">
        <v>845</v>
      </c>
      <c r="J994" s="69"/>
    </row>
    <row r="995" spans="1:10" x14ac:dyDescent="0.3">
      <c r="A995" s="84">
        <v>994</v>
      </c>
      <c r="B995" s="84" t="s">
        <v>1853</v>
      </c>
      <c r="C995" s="84" t="s">
        <v>433</v>
      </c>
      <c r="D995" s="115" t="s">
        <v>1854</v>
      </c>
      <c r="E995" s="85" t="s">
        <v>925</v>
      </c>
      <c r="F995" s="85">
        <v>46378</v>
      </c>
      <c r="G995" s="85" t="str">
        <f>TEXT(Table7[[#This Row],[EXPIRY DATE]],"MMM")</f>
        <v>Dec</v>
      </c>
      <c r="H995" s="85" t="str">
        <f>TEXT(Table7[[#This Row],[EXPIRY DATE]],"YYY")</f>
        <v>2026</v>
      </c>
      <c r="I995" s="84" t="s">
        <v>1830</v>
      </c>
      <c r="J995" s="69"/>
    </row>
    <row r="996" spans="1:10" x14ac:dyDescent="0.3">
      <c r="A996" s="84">
        <v>995</v>
      </c>
      <c r="B996" s="84" t="s">
        <v>1855</v>
      </c>
      <c r="C996" s="84" t="s">
        <v>433</v>
      </c>
      <c r="D996" s="115" t="s">
        <v>1856</v>
      </c>
      <c r="E996" s="85" t="s">
        <v>610</v>
      </c>
      <c r="F996" s="85">
        <v>46387</v>
      </c>
      <c r="G996" s="85" t="s">
        <v>625</v>
      </c>
      <c r="H996" s="85" t="str">
        <f>TEXT(Table7[[#This Row],[EXPIRY DATE]],"YYY")</f>
        <v>2026</v>
      </c>
      <c r="I996" s="84" t="s">
        <v>607</v>
      </c>
      <c r="J996" s="69"/>
    </row>
    <row r="997" spans="1:10" x14ac:dyDescent="0.3">
      <c r="A997" s="84">
        <v>996</v>
      </c>
      <c r="B997" s="84" t="s">
        <v>1855</v>
      </c>
      <c r="C997" s="84" t="s">
        <v>433</v>
      </c>
      <c r="D997" s="115" t="s">
        <v>1856</v>
      </c>
      <c r="E997" s="85" t="s">
        <v>610</v>
      </c>
      <c r="F997" s="85">
        <v>46387</v>
      </c>
      <c r="G997" s="85" t="s">
        <v>625</v>
      </c>
      <c r="H997" s="85" t="str">
        <f>TEXT(Table7[[#This Row],[EXPIRY DATE]],"YYY")</f>
        <v>2026</v>
      </c>
      <c r="I997" s="84" t="s">
        <v>602</v>
      </c>
      <c r="J997" s="69"/>
    </row>
    <row r="998" spans="1:10" x14ac:dyDescent="0.3">
      <c r="A998" s="84">
        <v>997</v>
      </c>
      <c r="B998" s="84" t="s">
        <v>1857</v>
      </c>
      <c r="C998" s="84" t="s">
        <v>433</v>
      </c>
      <c r="D998" s="115" t="s">
        <v>1858</v>
      </c>
      <c r="E998" s="85" t="s">
        <v>610</v>
      </c>
      <c r="F998" s="85">
        <v>46387</v>
      </c>
      <c r="G998" s="85" t="s">
        <v>625</v>
      </c>
      <c r="H998" s="85" t="str">
        <f>TEXT(Table7[[#This Row],[EXPIRY DATE]],"YYY")</f>
        <v>2026</v>
      </c>
      <c r="I998" s="84" t="s">
        <v>602</v>
      </c>
      <c r="J998" s="69"/>
    </row>
    <row r="999" spans="1:10" x14ac:dyDescent="0.3">
      <c r="A999" s="84">
        <v>998</v>
      </c>
      <c r="B999" s="84" t="s">
        <v>1859</v>
      </c>
      <c r="C999" s="84" t="s">
        <v>433</v>
      </c>
      <c r="D999" s="115" t="s">
        <v>1860</v>
      </c>
      <c r="E999" s="85" t="s">
        <v>610</v>
      </c>
      <c r="F999" s="85">
        <v>46387</v>
      </c>
      <c r="G999" s="85" t="s">
        <v>625</v>
      </c>
      <c r="H999" s="85" t="str">
        <f>TEXT(Table7[[#This Row],[EXPIRY DATE]],"YYY")</f>
        <v>2026</v>
      </c>
      <c r="I999" s="84" t="s">
        <v>602</v>
      </c>
      <c r="J999" s="69"/>
    </row>
    <row r="1000" spans="1:10" x14ac:dyDescent="0.3">
      <c r="A1000" s="84">
        <v>999</v>
      </c>
      <c r="B1000" s="84" t="s">
        <v>1861</v>
      </c>
      <c r="C1000" s="84" t="s">
        <v>433</v>
      </c>
      <c r="D1000" s="115" t="s">
        <v>1862</v>
      </c>
      <c r="E1000" s="85" t="s">
        <v>610</v>
      </c>
      <c r="F1000" s="85">
        <v>46387</v>
      </c>
      <c r="G1000" s="85" t="s">
        <v>625</v>
      </c>
      <c r="H1000" s="85" t="str">
        <f>TEXT(Table7[[#This Row],[EXPIRY DATE]],"YYY")</f>
        <v>2026</v>
      </c>
      <c r="I1000" s="84" t="s">
        <v>602</v>
      </c>
      <c r="J1000" s="69"/>
    </row>
    <row r="1001" spans="1:10" x14ac:dyDescent="0.3">
      <c r="A1001" s="84">
        <v>1000</v>
      </c>
      <c r="B1001" s="84" t="s">
        <v>1818</v>
      </c>
      <c r="C1001" s="84" t="s">
        <v>433</v>
      </c>
      <c r="D1001" s="123" t="s">
        <v>1819</v>
      </c>
      <c r="E1001" s="85" t="s">
        <v>610</v>
      </c>
      <c r="F1001" s="85">
        <v>46387</v>
      </c>
      <c r="G1001" s="85" t="s">
        <v>625</v>
      </c>
      <c r="H1001" s="85" t="str">
        <f>TEXT(Table7[[#This Row],[EXPIRY DATE]],"YYY")</f>
        <v>2026</v>
      </c>
      <c r="I1001" s="84" t="s">
        <v>602</v>
      </c>
      <c r="J1001" s="69"/>
    </row>
    <row r="1002" spans="1:10" x14ac:dyDescent="0.3">
      <c r="A1002" s="84">
        <v>1001</v>
      </c>
      <c r="B1002" s="84" t="s">
        <v>1863</v>
      </c>
      <c r="C1002" s="84" t="s">
        <v>433</v>
      </c>
      <c r="D1002" s="115" t="s">
        <v>1864</v>
      </c>
      <c r="E1002" s="85" t="s">
        <v>610</v>
      </c>
      <c r="F1002" s="85">
        <v>46387</v>
      </c>
      <c r="G1002" s="85" t="s">
        <v>625</v>
      </c>
      <c r="H1002" s="85" t="str">
        <f>TEXT(Table7[[#This Row],[EXPIRY DATE]],"YYY")</f>
        <v>2026</v>
      </c>
      <c r="I1002" s="84" t="s">
        <v>602</v>
      </c>
      <c r="J1002" s="69"/>
    </row>
    <row r="1003" spans="1:10" x14ac:dyDescent="0.3">
      <c r="A1003" s="84">
        <v>1002</v>
      </c>
      <c r="B1003" s="84" t="s">
        <v>1863</v>
      </c>
      <c r="C1003" s="84" t="s">
        <v>433</v>
      </c>
      <c r="D1003" s="115" t="s">
        <v>1864</v>
      </c>
      <c r="E1003" s="85" t="s">
        <v>610</v>
      </c>
      <c r="F1003" s="85">
        <v>46387</v>
      </c>
      <c r="G1003" s="85" t="s">
        <v>625</v>
      </c>
      <c r="H1003" s="85" t="str">
        <f>TEXT(Table7[[#This Row],[EXPIRY DATE]],"YYY")</f>
        <v>2026</v>
      </c>
      <c r="I1003" s="84" t="s">
        <v>607</v>
      </c>
      <c r="J1003" s="69"/>
    </row>
    <row r="1004" spans="1:10" x14ac:dyDescent="0.3">
      <c r="A1004" s="84">
        <v>1003</v>
      </c>
      <c r="B1004" s="84" t="s">
        <v>1865</v>
      </c>
      <c r="C1004" s="84" t="s">
        <v>433</v>
      </c>
      <c r="D1004" s="115" t="s">
        <v>1866</v>
      </c>
      <c r="E1004" s="85" t="s">
        <v>610</v>
      </c>
      <c r="F1004" s="85">
        <v>46387</v>
      </c>
      <c r="G1004" s="85" t="str">
        <f>TEXT(Table7[[#This Row],[EXPIRY DATE]],"MMM")</f>
        <v>Dec</v>
      </c>
      <c r="H1004" s="85" t="str">
        <f>TEXT(Table7[[#This Row],[EXPIRY DATE]],"YYY")</f>
        <v>2026</v>
      </c>
      <c r="I1004" s="84" t="s">
        <v>607</v>
      </c>
      <c r="J1004" s="69"/>
    </row>
    <row r="1005" spans="1:10" x14ac:dyDescent="0.3">
      <c r="A1005" s="84">
        <v>1004</v>
      </c>
      <c r="B1005" s="84" t="s">
        <v>1867</v>
      </c>
      <c r="C1005" s="84" t="s">
        <v>433</v>
      </c>
      <c r="D1005" s="115" t="s">
        <v>1868</v>
      </c>
      <c r="E1005" s="85" t="s">
        <v>610</v>
      </c>
      <c r="F1005" s="85">
        <v>46387</v>
      </c>
      <c r="G1005" s="85" t="str">
        <f>TEXT(Table7[[#This Row],[EXPIRY DATE]],"MMM")</f>
        <v>Dec</v>
      </c>
      <c r="H1005" s="85" t="str">
        <f>TEXT(Table7[[#This Row],[EXPIRY DATE]],"YYY")</f>
        <v>2026</v>
      </c>
      <c r="I1005" s="84" t="s">
        <v>607</v>
      </c>
      <c r="J1005" s="69"/>
    </row>
    <row r="1006" spans="1:10" x14ac:dyDescent="0.3">
      <c r="A1006" s="84">
        <v>1005</v>
      </c>
      <c r="B1006" s="100" t="s">
        <v>1833</v>
      </c>
      <c r="C1006" s="100" t="s">
        <v>433</v>
      </c>
      <c r="D1006" s="121" t="s">
        <v>1834</v>
      </c>
      <c r="E1006" s="84" t="s">
        <v>601</v>
      </c>
      <c r="F1006" s="112">
        <v>46388</v>
      </c>
      <c r="G1006" s="85" t="str">
        <f>TEXT(Table7[[#This Row],[EXPIRY DATE]],"MMM")</f>
        <v>Jan</v>
      </c>
      <c r="H1006" s="85" t="str">
        <f>TEXT(Table7[[#This Row],[EXPIRY DATE]],"YYY")</f>
        <v>2027</v>
      </c>
      <c r="I1006" s="100" t="s">
        <v>791</v>
      </c>
      <c r="J1006" s="74"/>
    </row>
    <row r="1007" spans="1:10" ht="20.399999999999999" x14ac:dyDescent="0.3">
      <c r="A1007" s="84">
        <v>1006</v>
      </c>
      <c r="B1007" s="84" t="s">
        <v>1869</v>
      </c>
      <c r="C1007" s="84" t="s">
        <v>433</v>
      </c>
      <c r="D1007" s="115" t="s">
        <v>1870</v>
      </c>
      <c r="E1007" s="85" t="s">
        <v>590</v>
      </c>
      <c r="F1007" s="85">
        <v>47483</v>
      </c>
      <c r="G1007" s="85" t="s">
        <v>625</v>
      </c>
      <c r="H1007" s="85" t="str">
        <f>TEXT(Table7[[#This Row],[EXPIRY DATE]],"YYY")</f>
        <v>2029</v>
      </c>
      <c r="I1007" s="84" t="s">
        <v>602</v>
      </c>
      <c r="J1007" s="69"/>
    </row>
    <row r="1008" spans="1:10" ht="20.399999999999999" x14ac:dyDescent="0.3">
      <c r="A1008" s="84">
        <v>1007</v>
      </c>
      <c r="B1008" s="84" t="s">
        <v>1871</v>
      </c>
      <c r="C1008" s="84" t="s">
        <v>433</v>
      </c>
      <c r="D1008" s="115" t="s">
        <v>1872</v>
      </c>
      <c r="E1008" s="85" t="s">
        <v>590</v>
      </c>
      <c r="F1008" s="85">
        <v>47483</v>
      </c>
      <c r="G1008" s="85" t="s">
        <v>625</v>
      </c>
      <c r="H1008" s="85" t="str">
        <f>TEXT(Table7[[#This Row],[EXPIRY DATE]],"YYY")</f>
        <v>2029</v>
      </c>
      <c r="I1008" s="84" t="s">
        <v>602</v>
      </c>
      <c r="J1008" s="69"/>
    </row>
    <row r="1009" spans="1:10" ht="20.399999999999999" x14ac:dyDescent="0.3">
      <c r="A1009" s="84">
        <v>1008</v>
      </c>
      <c r="B1009" s="84" t="s">
        <v>1873</v>
      </c>
      <c r="C1009" s="84" t="s">
        <v>433</v>
      </c>
      <c r="D1009" s="115" t="s">
        <v>1874</v>
      </c>
      <c r="E1009" s="85" t="s">
        <v>590</v>
      </c>
      <c r="F1009" s="85">
        <v>47483</v>
      </c>
      <c r="G1009" s="85" t="s">
        <v>625</v>
      </c>
      <c r="H1009" s="85" t="str">
        <f>TEXT(Table7[[#This Row],[EXPIRY DATE]],"YYY")</f>
        <v>2029</v>
      </c>
      <c r="I1009" s="84" t="s">
        <v>602</v>
      </c>
      <c r="J1009" s="69"/>
    </row>
    <row r="1010" spans="1:10" ht="30.6" x14ac:dyDescent="0.3">
      <c r="A1010" s="84">
        <v>1009</v>
      </c>
      <c r="B1010" s="84" t="s">
        <v>1875</v>
      </c>
      <c r="C1010" s="84" t="s">
        <v>433</v>
      </c>
      <c r="D1010" s="115" t="s">
        <v>1876</v>
      </c>
      <c r="E1010" s="85" t="s">
        <v>590</v>
      </c>
      <c r="F1010" s="85">
        <v>47483</v>
      </c>
      <c r="G1010" s="85" t="s">
        <v>625</v>
      </c>
      <c r="H1010" s="85" t="str">
        <f>TEXT(Table7[[#This Row],[EXPIRY DATE]],"YYY")</f>
        <v>2029</v>
      </c>
      <c r="I1010" s="84" t="s">
        <v>602</v>
      </c>
      <c r="J1010" s="69"/>
    </row>
    <row r="1011" spans="1:10" ht="20.399999999999999" x14ac:dyDescent="0.3">
      <c r="A1011" s="84">
        <v>1010</v>
      </c>
      <c r="B1011" s="84" t="s">
        <v>1877</v>
      </c>
      <c r="C1011" s="84" t="s">
        <v>433</v>
      </c>
      <c r="D1011" s="115" t="s">
        <v>1878</v>
      </c>
      <c r="E1011" s="85" t="s">
        <v>590</v>
      </c>
      <c r="F1011" s="85">
        <v>47483</v>
      </c>
      <c r="G1011" s="85" t="s">
        <v>625</v>
      </c>
      <c r="H1011" s="85" t="str">
        <f>TEXT(Table7[[#This Row],[EXPIRY DATE]],"YYY")</f>
        <v>2029</v>
      </c>
      <c r="I1011" s="84" t="s">
        <v>602</v>
      </c>
      <c r="J1011" s="69"/>
    </row>
    <row r="1012" spans="1:10" x14ac:dyDescent="0.3">
      <c r="A1012" s="84">
        <v>1011</v>
      </c>
      <c r="B1012" s="84" t="s">
        <v>1879</v>
      </c>
      <c r="C1012" s="84" t="s">
        <v>433</v>
      </c>
      <c r="D1012" s="115" t="s">
        <v>1880</v>
      </c>
      <c r="E1012" s="85" t="s">
        <v>590</v>
      </c>
      <c r="F1012" s="85">
        <v>47483</v>
      </c>
      <c r="G1012" s="85" t="s">
        <v>625</v>
      </c>
      <c r="H1012" s="85" t="str">
        <f>TEXT(Table7[[#This Row],[EXPIRY DATE]],"YYY")</f>
        <v>2029</v>
      </c>
      <c r="I1012" s="84" t="s">
        <v>602</v>
      </c>
      <c r="J1012" s="69"/>
    </row>
    <row r="1013" spans="1:10" x14ac:dyDescent="0.3">
      <c r="A1013" s="84">
        <v>1012</v>
      </c>
      <c r="B1013" s="84" t="s">
        <v>1881</v>
      </c>
      <c r="C1013" s="84" t="s">
        <v>433</v>
      </c>
      <c r="D1013" s="115" t="s">
        <v>1882</v>
      </c>
      <c r="E1013" s="85" t="s">
        <v>605</v>
      </c>
      <c r="F1013" s="85">
        <v>47483</v>
      </c>
      <c r="G1013" s="85" t="str">
        <f>TEXT(Table7[[#This Row],[EXPIRY DATE]],"MMM")</f>
        <v>Dec</v>
      </c>
      <c r="H1013" s="85" t="str">
        <f>TEXT(Table7[[#This Row],[EXPIRY DATE]],"YYY")</f>
        <v>2029</v>
      </c>
      <c r="I1013" s="84" t="s">
        <v>602</v>
      </c>
      <c r="J1013" s="69"/>
    </row>
    <row r="1014" spans="1:10" x14ac:dyDescent="0.3">
      <c r="A1014" s="84">
        <v>1013</v>
      </c>
      <c r="B1014" s="84" t="s">
        <v>1883</v>
      </c>
      <c r="C1014" s="84" t="s">
        <v>433</v>
      </c>
      <c r="D1014" s="115" t="s">
        <v>1883</v>
      </c>
      <c r="E1014" s="85" t="s">
        <v>633</v>
      </c>
      <c r="F1014" s="84" t="s">
        <v>629</v>
      </c>
      <c r="G1014" s="85" t="s">
        <v>629</v>
      </c>
      <c r="H1014" s="85" t="str">
        <f>TEXT(Table7[[#This Row],[EXPIRY DATE]],"YYY")</f>
        <v>LIFETIME</v>
      </c>
      <c r="I1014" s="84" t="s">
        <v>602</v>
      </c>
      <c r="J1014" s="69"/>
    </row>
    <row r="1015" spans="1:10" x14ac:dyDescent="0.3">
      <c r="A1015" s="84">
        <v>1014</v>
      </c>
      <c r="B1015" s="84" t="s">
        <v>1884</v>
      </c>
      <c r="C1015" s="84" t="s">
        <v>433</v>
      </c>
      <c r="D1015" s="115" t="s">
        <v>1884</v>
      </c>
      <c r="E1015" s="85" t="s">
        <v>633</v>
      </c>
      <c r="F1015" s="84" t="s">
        <v>629</v>
      </c>
      <c r="G1015" s="85" t="s">
        <v>629</v>
      </c>
      <c r="H1015" s="85" t="str">
        <f>TEXT(Table7[[#This Row],[EXPIRY DATE]],"YYY")</f>
        <v>LIFETIME</v>
      </c>
      <c r="I1015" s="84" t="s">
        <v>602</v>
      </c>
      <c r="J1015" s="69"/>
    </row>
    <row r="1016" spans="1:10" x14ac:dyDescent="0.3">
      <c r="A1016" s="84">
        <v>1015</v>
      </c>
      <c r="B1016" s="84" t="s">
        <v>1885</v>
      </c>
      <c r="C1016" s="84" t="s">
        <v>433</v>
      </c>
      <c r="D1016" s="115" t="s">
        <v>1885</v>
      </c>
      <c r="E1016" s="85" t="s">
        <v>633</v>
      </c>
      <c r="F1016" s="84" t="s">
        <v>629</v>
      </c>
      <c r="G1016" s="85" t="s">
        <v>629</v>
      </c>
      <c r="H1016" s="85" t="str">
        <f>TEXT(Table7[[#This Row],[EXPIRY DATE]],"YYY")</f>
        <v>LIFETIME</v>
      </c>
      <c r="I1016" s="84" t="s">
        <v>602</v>
      </c>
      <c r="J1016" s="69"/>
    </row>
    <row r="1017" spans="1:10" x14ac:dyDescent="0.3">
      <c r="A1017" s="84">
        <v>1016</v>
      </c>
      <c r="B1017" s="84" t="s">
        <v>1886</v>
      </c>
      <c r="C1017" s="84" t="s">
        <v>433</v>
      </c>
      <c r="D1017" s="115" t="s">
        <v>1886</v>
      </c>
      <c r="E1017" s="85" t="s">
        <v>633</v>
      </c>
      <c r="F1017" s="84" t="s">
        <v>629</v>
      </c>
      <c r="G1017" s="85" t="s">
        <v>629</v>
      </c>
      <c r="H1017" s="85" t="str">
        <f>TEXT(Table7[[#This Row],[EXPIRY DATE]],"YYY")</f>
        <v>LIFETIME</v>
      </c>
      <c r="I1017" s="84" t="s">
        <v>602</v>
      </c>
      <c r="J1017" s="69"/>
    </row>
    <row r="1018" spans="1:10" x14ac:dyDescent="0.3">
      <c r="A1018" s="84">
        <v>1017</v>
      </c>
      <c r="B1018" s="84" t="s">
        <v>1887</v>
      </c>
      <c r="C1018" s="84" t="s">
        <v>433</v>
      </c>
      <c r="D1018" s="115" t="s">
        <v>1888</v>
      </c>
      <c r="E1018" s="85" t="s">
        <v>601</v>
      </c>
      <c r="F1018" s="84" t="s">
        <v>629</v>
      </c>
      <c r="G1018" s="85" t="s">
        <v>629</v>
      </c>
      <c r="H1018" s="85" t="str">
        <f>TEXT(Table7[[#This Row],[EXPIRY DATE]],"YYY")</f>
        <v>LIFETIME</v>
      </c>
      <c r="I1018" s="84" t="s">
        <v>602</v>
      </c>
      <c r="J1018" s="69"/>
    </row>
    <row r="1019" spans="1:10" x14ac:dyDescent="0.3">
      <c r="A1019" s="84">
        <v>1018</v>
      </c>
      <c r="B1019" s="84" t="s">
        <v>1889</v>
      </c>
      <c r="C1019" s="84" t="s">
        <v>433</v>
      </c>
      <c r="D1019" s="115" t="s">
        <v>1890</v>
      </c>
      <c r="E1019" s="85" t="s">
        <v>601</v>
      </c>
      <c r="F1019" s="84" t="s">
        <v>629</v>
      </c>
      <c r="G1019" s="85" t="s">
        <v>629</v>
      </c>
      <c r="H1019" s="85" t="str">
        <f>TEXT(Table7[[#This Row],[EXPIRY DATE]],"YYY")</f>
        <v>LIFETIME</v>
      </c>
      <c r="I1019" s="84" t="s">
        <v>602</v>
      </c>
      <c r="J1019" s="69"/>
    </row>
    <row r="1020" spans="1:10" x14ac:dyDescent="0.3">
      <c r="A1020" s="84">
        <v>1019</v>
      </c>
      <c r="B1020" s="80" t="s">
        <v>1891</v>
      </c>
      <c r="C1020" s="84" t="s">
        <v>433</v>
      </c>
      <c r="D1020" s="122" t="s">
        <v>1891</v>
      </c>
      <c r="E1020" s="85" t="s">
        <v>601</v>
      </c>
      <c r="F1020" s="84" t="s">
        <v>629</v>
      </c>
      <c r="G1020" s="85" t="s">
        <v>629</v>
      </c>
      <c r="H1020" s="85" t="str">
        <f>TEXT(Table7[[#This Row],[EXPIRY DATE]],"YYY")</f>
        <v>LIFETIME</v>
      </c>
      <c r="I1020" s="84" t="s">
        <v>602</v>
      </c>
      <c r="J1020" s="69"/>
    </row>
    <row r="1021" spans="1:10" x14ac:dyDescent="0.3">
      <c r="A1021" s="84">
        <v>1020</v>
      </c>
      <c r="B1021" s="84" t="s">
        <v>1892</v>
      </c>
      <c r="C1021" s="84" t="s">
        <v>433</v>
      </c>
      <c r="D1021" s="115" t="s">
        <v>1892</v>
      </c>
      <c r="E1021" s="85" t="s">
        <v>633</v>
      </c>
      <c r="F1021" s="84" t="s">
        <v>629</v>
      </c>
      <c r="G1021" s="85" t="s">
        <v>629</v>
      </c>
      <c r="H1021" s="85" t="str">
        <f>TEXT(Table7[[#This Row],[EXPIRY DATE]],"YYY")</f>
        <v>LIFETIME</v>
      </c>
      <c r="I1021" s="84" t="s">
        <v>602</v>
      </c>
      <c r="J1021" s="69"/>
    </row>
    <row r="1022" spans="1:10" x14ac:dyDescent="0.3">
      <c r="A1022" s="84">
        <v>1021</v>
      </c>
      <c r="B1022" s="80" t="s">
        <v>1893</v>
      </c>
      <c r="C1022" s="84" t="s">
        <v>433</v>
      </c>
      <c r="D1022" s="122" t="s">
        <v>1893</v>
      </c>
      <c r="E1022" s="85" t="s">
        <v>601</v>
      </c>
      <c r="F1022" s="84" t="s">
        <v>629</v>
      </c>
      <c r="G1022" s="84" t="s">
        <v>629</v>
      </c>
      <c r="H1022" s="85" t="str">
        <f>TEXT(Table7[[#This Row],[EXPIRY DATE]],"YYY")</f>
        <v>LIFETIME</v>
      </c>
      <c r="I1022" s="84" t="s">
        <v>602</v>
      </c>
      <c r="J1022" s="69"/>
    </row>
    <row r="1023" spans="1:10" x14ac:dyDescent="0.3">
      <c r="A1023" s="84">
        <v>1022</v>
      </c>
      <c r="B1023" s="80" t="s">
        <v>1894</v>
      </c>
      <c r="C1023" s="84" t="s">
        <v>433</v>
      </c>
      <c r="D1023" s="122" t="s">
        <v>1894</v>
      </c>
      <c r="E1023" s="85" t="s">
        <v>601</v>
      </c>
      <c r="F1023" s="84" t="s">
        <v>629</v>
      </c>
      <c r="G1023" s="84" t="s">
        <v>629</v>
      </c>
      <c r="H1023" s="85" t="str">
        <f>TEXT(Table7[[#This Row],[EXPIRY DATE]],"YYY")</f>
        <v>LIFETIME</v>
      </c>
      <c r="I1023" s="84" t="s">
        <v>602</v>
      </c>
      <c r="J1023" s="69"/>
    </row>
    <row r="1024" spans="1:10" x14ac:dyDescent="0.3">
      <c r="A1024" s="84">
        <v>1023</v>
      </c>
      <c r="B1024" s="84" t="s">
        <v>1895</v>
      </c>
      <c r="C1024" s="84" t="s">
        <v>433</v>
      </c>
      <c r="D1024" s="115" t="s">
        <v>1895</v>
      </c>
      <c r="E1024" s="85" t="s">
        <v>633</v>
      </c>
      <c r="F1024" s="84" t="s">
        <v>629</v>
      </c>
      <c r="G1024" s="85" t="s">
        <v>629</v>
      </c>
      <c r="H1024" s="85" t="str">
        <f>TEXT(Table7[[#This Row],[EXPIRY DATE]],"YYY")</f>
        <v>LIFETIME</v>
      </c>
      <c r="I1024" s="84" t="s">
        <v>602</v>
      </c>
      <c r="J1024" s="69"/>
    </row>
    <row r="1025" spans="1:10" x14ac:dyDescent="0.3">
      <c r="A1025" s="84">
        <v>1024</v>
      </c>
      <c r="B1025" s="84" t="s">
        <v>1896</v>
      </c>
      <c r="C1025" s="84" t="s">
        <v>433</v>
      </c>
      <c r="D1025" s="115" t="s">
        <v>1896</v>
      </c>
      <c r="E1025" s="85" t="s">
        <v>633</v>
      </c>
      <c r="F1025" s="84" t="s">
        <v>629</v>
      </c>
      <c r="G1025" s="85" t="s">
        <v>629</v>
      </c>
      <c r="H1025" s="85" t="str">
        <f>TEXT(Table7[[#This Row],[EXPIRY DATE]],"YYY")</f>
        <v>LIFETIME</v>
      </c>
      <c r="I1025" s="84" t="s">
        <v>602</v>
      </c>
      <c r="J1025" s="69"/>
    </row>
    <row r="1026" spans="1:10" x14ac:dyDescent="0.3">
      <c r="A1026" s="84">
        <v>1025</v>
      </c>
      <c r="B1026" s="84" t="s">
        <v>1897</v>
      </c>
      <c r="C1026" s="84" t="s">
        <v>433</v>
      </c>
      <c r="D1026" s="115" t="s">
        <v>1897</v>
      </c>
      <c r="E1026" s="85" t="s">
        <v>633</v>
      </c>
      <c r="F1026" s="84" t="s">
        <v>629</v>
      </c>
      <c r="G1026" s="85" t="s">
        <v>629</v>
      </c>
      <c r="H1026" s="85" t="str">
        <f>TEXT(Table7[[#This Row],[EXPIRY DATE]],"YYY")</f>
        <v>LIFETIME</v>
      </c>
      <c r="I1026" s="84" t="s">
        <v>602</v>
      </c>
      <c r="J1026" s="69"/>
    </row>
    <row r="1027" spans="1:10" x14ac:dyDescent="0.3">
      <c r="A1027" s="84">
        <v>1026</v>
      </c>
      <c r="B1027" s="80" t="s">
        <v>1898</v>
      </c>
      <c r="C1027" s="84" t="s">
        <v>433</v>
      </c>
      <c r="D1027" s="122" t="s">
        <v>1898</v>
      </c>
      <c r="E1027" s="85" t="s">
        <v>601</v>
      </c>
      <c r="F1027" s="84" t="s">
        <v>629</v>
      </c>
      <c r="G1027" s="84" t="s">
        <v>629</v>
      </c>
      <c r="H1027" s="85" t="str">
        <f>TEXT(Table7[[#This Row],[EXPIRY DATE]],"YYY")</f>
        <v>LIFETIME</v>
      </c>
      <c r="I1027" s="84" t="s">
        <v>602</v>
      </c>
      <c r="J1027" s="69"/>
    </row>
    <row r="1028" spans="1:10" x14ac:dyDescent="0.3">
      <c r="A1028" s="84">
        <v>1027</v>
      </c>
      <c r="B1028" s="84" t="s">
        <v>1899</v>
      </c>
      <c r="C1028" s="84" t="s">
        <v>433</v>
      </c>
      <c r="D1028" s="115" t="s">
        <v>1899</v>
      </c>
      <c r="E1028" s="85" t="s">
        <v>633</v>
      </c>
      <c r="F1028" s="84" t="s">
        <v>629</v>
      </c>
      <c r="G1028" s="85" t="s">
        <v>629</v>
      </c>
      <c r="H1028" s="85" t="str">
        <f>TEXT(Table7[[#This Row],[EXPIRY DATE]],"YYY")</f>
        <v>LIFETIME</v>
      </c>
      <c r="I1028" s="84" t="s">
        <v>602</v>
      </c>
      <c r="J1028" s="69"/>
    </row>
    <row r="1029" spans="1:10" x14ac:dyDescent="0.3">
      <c r="A1029" s="84">
        <v>1028</v>
      </c>
      <c r="B1029" s="84" t="s">
        <v>1900</v>
      </c>
      <c r="C1029" s="84" t="s">
        <v>433</v>
      </c>
      <c r="D1029" s="115" t="s">
        <v>1900</v>
      </c>
      <c r="E1029" s="85" t="s">
        <v>633</v>
      </c>
      <c r="F1029" s="84" t="s">
        <v>629</v>
      </c>
      <c r="G1029" s="85" t="s">
        <v>629</v>
      </c>
      <c r="H1029" s="85" t="str">
        <f>TEXT(Table7[[#This Row],[EXPIRY DATE]],"YYY")</f>
        <v>LIFETIME</v>
      </c>
      <c r="I1029" s="84" t="s">
        <v>602</v>
      </c>
      <c r="J1029" s="69"/>
    </row>
    <row r="1030" spans="1:10" x14ac:dyDescent="0.3">
      <c r="A1030" s="84">
        <v>1029</v>
      </c>
      <c r="B1030" s="84" t="s">
        <v>1901</v>
      </c>
      <c r="C1030" s="84" t="s">
        <v>433</v>
      </c>
      <c r="D1030" s="115" t="s">
        <v>1902</v>
      </c>
      <c r="E1030" s="85" t="s">
        <v>633</v>
      </c>
      <c r="F1030" s="84" t="s">
        <v>629</v>
      </c>
      <c r="G1030" s="85" t="s">
        <v>629</v>
      </c>
      <c r="H1030" s="85" t="str">
        <f>TEXT(Table7[[#This Row],[EXPIRY DATE]],"YYY")</f>
        <v>LIFETIME</v>
      </c>
      <c r="I1030" s="84" t="s">
        <v>602</v>
      </c>
      <c r="J1030" s="69"/>
    </row>
    <row r="1031" spans="1:10" x14ac:dyDescent="0.3">
      <c r="A1031" s="84">
        <v>1030</v>
      </c>
      <c r="B1031" s="84" t="s">
        <v>1903</v>
      </c>
      <c r="C1031" s="84" t="s">
        <v>433</v>
      </c>
      <c r="D1031" s="115" t="s">
        <v>1904</v>
      </c>
      <c r="E1031" s="85" t="s">
        <v>616</v>
      </c>
      <c r="F1031" s="84" t="s">
        <v>629</v>
      </c>
      <c r="G1031" s="85" t="s">
        <v>629</v>
      </c>
      <c r="H1031" s="85" t="s">
        <v>629</v>
      </c>
      <c r="I1031" s="84" t="s">
        <v>602</v>
      </c>
      <c r="J1031" s="69"/>
    </row>
    <row r="1032" spans="1:10" x14ac:dyDescent="0.3">
      <c r="A1032" s="84">
        <v>1031</v>
      </c>
      <c r="B1032" s="84" t="s">
        <v>1905</v>
      </c>
      <c r="C1032" s="84" t="s">
        <v>433</v>
      </c>
      <c r="D1032" s="115" t="s">
        <v>1906</v>
      </c>
      <c r="E1032" s="85" t="s">
        <v>616</v>
      </c>
      <c r="F1032" s="84" t="s">
        <v>629</v>
      </c>
      <c r="G1032" s="85" t="s">
        <v>629</v>
      </c>
      <c r="H1032" s="85" t="str">
        <f>TEXT(Table7[[#This Row],[EXPIRY DATE]],"YYY")</f>
        <v>LIFETIME</v>
      </c>
      <c r="I1032" s="84" t="s">
        <v>602</v>
      </c>
      <c r="J1032" s="69"/>
    </row>
    <row r="1033" spans="1:10" x14ac:dyDescent="0.3">
      <c r="A1033" s="84">
        <v>1032</v>
      </c>
      <c r="B1033" s="84" t="s">
        <v>1907</v>
      </c>
      <c r="C1033" s="84" t="s">
        <v>433</v>
      </c>
      <c r="D1033" s="115" t="s">
        <v>1907</v>
      </c>
      <c r="E1033" s="85" t="s">
        <v>633</v>
      </c>
      <c r="F1033" s="84" t="s">
        <v>629</v>
      </c>
      <c r="G1033" s="85" t="s">
        <v>629</v>
      </c>
      <c r="H1033" s="85" t="str">
        <f>TEXT(Table7[[#This Row],[EXPIRY DATE]],"YYY")</f>
        <v>LIFETIME</v>
      </c>
      <c r="I1033" s="84" t="s">
        <v>602</v>
      </c>
      <c r="J1033" s="69"/>
    </row>
    <row r="1034" spans="1:10" x14ac:dyDescent="0.3">
      <c r="A1034" s="84">
        <v>1033</v>
      </c>
      <c r="B1034" s="84" t="s">
        <v>1908</v>
      </c>
      <c r="C1034" s="84" t="s">
        <v>433</v>
      </c>
      <c r="D1034" s="115" t="s">
        <v>1909</v>
      </c>
      <c r="E1034" s="85" t="s">
        <v>616</v>
      </c>
      <c r="F1034" s="84" t="s">
        <v>629</v>
      </c>
      <c r="G1034" s="85" t="s">
        <v>629</v>
      </c>
      <c r="H1034" s="85" t="str">
        <f>TEXT(Table7[[#This Row],[EXPIRY DATE]],"YYY")</f>
        <v>LIFETIME</v>
      </c>
      <c r="I1034" s="84" t="s">
        <v>602</v>
      </c>
      <c r="J1034" s="69"/>
    </row>
    <row r="1035" spans="1:10" x14ac:dyDescent="0.3">
      <c r="A1035" s="84">
        <v>1034</v>
      </c>
      <c r="B1035" s="84" t="s">
        <v>1910</v>
      </c>
      <c r="C1035" s="84" t="s">
        <v>433</v>
      </c>
      <c r="D1035" s="115" t="s">
        <v>1910</v>
      </c>
      <c r="E1035" s="85" t="s">
        <v>633</v>
      </c>
      <c r="F1035" s="84" t="s">
        <v>629</v>
      </c>
      <c r="G1035" s="85" t="s">
        <v>629</v>
      </c>
      <c r="H1035" s="85" t="str">
        <f>TEXT(Table7[[#This Row],[EXPIRY DATE]],"YYY")</f>
        <v>LIFETIME</v>
      </c>
      <c r="I1035" s="84" t="s">
        <v>602</v>
      </c>
      <c r="J1035" s="69"/>
    </row>
    <row r="1036" spans="1:10" x14ac:dyDescent="0.3">
      <c r="A1036" s="84">
        <v>1035</v>
      </c>
      <c r="B1036" s="80" t="s">
        <v>1835</v>
      </c>
      <c r="C1036" s="84" t="s">
        <v>433</v>
      </c>
      <c r="D1036" s="122" t="s">
        <v>1835</v>
      </c>
      <c r="E1036" s="85" t="s">
        <v>601</v>
      </c>
      <c r="F1036" s="84" t="s">
        <v>629</v>
      </c>
      <c r="G1036" s="84" t="s">
        <v>629</v>
      </c>
      <c r="H1036" s="85" t="str">
        <f>TEXT(Table7[[#This Row],[EXPIRY DATE]],"YYY")</f>
        <v>LIFETIME</v>
      </c>
      <c r="I1036" s="84" t="s">
        <v>602</v>
      </c>
      <c r="J1036" s="69"/>
    </row>
    <row r="1037" spans="1:10" x14ac:dyDescent="0.3">
      <c r="A1037" s="84">
        <v>1036</v>
      </c>
      <c r="B1037" s="84" t="s">
        <v>1911</v>
      </c>
      <c r="C1037" s="84" t="s">
        <v>433</v>
      </c>
      <c r="D1037" s="115" t="s">
        <v>1911</v>
      </c>
      <c r="E1037" s="85" t="s">
        <v>633</v>
      </c>
      <c r="F1037" s="84" t="s">
        <v>629</v>
      </c>
      <c r="G1037" s="85" t="s">
        <v>629</v>
      </c>
      <c r="H1037" s="85" t="str">
        <f>TEXT(Table7[[#This Row],[EXPIRY DATE]],"YYY")</f>
        <v>LIFETIME</v>
      </c>
      <c r="I1037" s="84" t="s">
        <v>602</v>
      </c>
      <c r="J1037" s="69"/>
    </row>
    <row r="1038" spans="1:10" x14ac:dyDescent="0.3">
      <c r="A1038" s="84">
        <v>1037</v>
      </c>
      <c r="B1038" s="84" t="s">
        <v>1912</v>
      </c>
      <c r="C1038" s="84" t="s">
        <v>433</v>
      </c>
      <c r="D1038" s="115" t="s">
        <v>1912</v>
      </c>
      <c r="E1038" s="85" t="s">
        <v>633</v>
      </c>
      <c r="F1038" s="84" t="s">
        <v>629</v>
      </c>
      <c r="G1038" s="85" t="s">
        <v>629</v>
      </c>
      <c r="H1038" s="85" t="str">
        <f>TEXT(Table7[[#This Row],[EXPIRY DATE]],"YYY")</f>
        <v>LIFETIME</v>
      </c>
      <c r="I1038" s="84" t="s">
        <v>602</v>
      </c>
      <c r="J1038" s="69"/>
    </row>
    <row r="1039" spans="1:10" x14ac:dyDescent="0.3">
      <c r="A1039" s="84">
        <v>1038</v>
      </c>
      <c r="B1039" s="80" t="s">
        <v>1913</v>
      </c>
      <c r="C1039" s="84" t="s">
        <v>433</v>
      </c>
      <c r="D1039" s="122" t="s">
        <v>1913</v>
      </c>
      <c r="E1039" s="85" t="s">
        <v>601</v>
      </c>
      <c r="F1039" s="84" t="s">
        <v>629</v>
      </c>
      <c r="G1039" s="84" t="s">
        <v>629</v>
      </c>
      <c r="H1039" s="85" t="str">
        <f>TEXT(Table7[[#This Row],[EXPIRY DATE]],"YYY")</f>
        <v>LIFETIME</v>
      </c>
      <c r="I1039" s="84" t="s">
        <v>602</v>
      </c>
      <c r="J1039" s="69"/>
    </row>
    <row r="1040" spans="1:10" x14ac:dyDescent="0.3">
      <c r="A1040" s="84">
        <v>1039</v>
      </c>
      <c r="B1040" s="84" t="s">
        <v>1914</v>
      </c>
      <c r="C1040" s="84" t="s">
        <v>433</v>
      </c>
      <c r="D1040" s="115" t="s">
        <v>1915</v>
      </c>
      <c r="E1040" s="85" t="s">
        <v>633</v>
      </c>
      <c r="F1040" s="85" t="s">
        <v>629</v>
      </c>
      <c r="G1040" s="85" t="s">
        <v>629</v>
      </c>
      <c r="H1040" s="85" t="str">
        <f>TEXT(Table7[[#This Row],[EXPIRY DATE]],"YYY")</f>
        <v>LIFETIME</v>
      </c>
      <c r="I1040" s="84" t="s">
        <v>602</v>
      </c>
      <c r="J1040" s="69"/>
    </row>
    <row r="1041" spans="1:10" x14ac:dyDescent="0.3">
      <c r="A1041" s="84">
        <v>1040</v>
      </c>
      <c r="B1041" s="80" t="s">
        <v>1916</v>
      </c>
      <c r="C1041" s="84" t="s">
        <v>433</v>
      </c>
      <c r="D1041" s="122" t="s">
        <v>1916</v>
      </c>
      <c r="E1041" s="85" t="s">
        <v>601</v>
      </c>
      <c r="F1041" s="84" t="s">
        <v>629</v>
      </c>
      <c r="G1041" s="84" t="s">
        <v>629</v>
      </c>
      <c r="H1041" s="85" t="str">
        <f>TEXT(Table7[[#This Row],[EXPIRY DATE]],"YYY")</f>
        <v>LIFETIME</v>
      </c>
      <c r="I1041" s="84" t="s">
        <v>602</v>
      </c>
      <c r="J1041" s="69"/>
    </row>
    <row r="1042" spans="1:10" x14ac:dyDescent="0.3">
      <c r="A1042" s="84">
        <v>1041</v>
      </c>
      <c r="B1042" s="80" t="s">
        <v>1841</v>
      </c>
      <c r="C1042" s="84" t="s">
        <v>433</v>
      </c>
      <c r="D1042" s="122" t="s">
        <v>1841</v>
      </c>
      <c r="E1042" s="85" t="s">
        <v>601</v>
      </c>
      <c r="F1042" s="84" t="s">
        <v>629</v>
      </c>
      <c r="G1042" s="84" t="s">
        <v>629</v>
      </c>
      <c r="H1042" s="85" t="str">
        <f>TEXT(Table7[[#This Row],[EXPIRY DATE]],"YYY")</f>
        <v>LIFETIME</v>
      </c>
      <c r="I1042" s="84" t="s">
        <v>602</v>
      </c>
      <c r="J1042" s="69"/>
    </row>
    <row r="1043" spans="1:10" x14ac:dyDescent="0.3">
      <c r="A1043" s="84">
        <v>1042</v>
      </c>
      <c r="B1043" s="84" t="s">
        <v>1917</v>
      </c>
      <c r="C1043" s="84" t="s">
        <v>433</v>
      </c>
      <c r="D1043" s="115" t="s">
        <v>1917</v>
      </c>
      <c r="E1043" s="85" t="s">
        <v>633</v>
      </c>
      <c r="F1043" s="84" t="s">
        <v>629</v>
      </c>
      <c r="G1043" s="85" t="s">
        <v>629</v>
      </c>
      <c r="H1043" s="85" t="str">
        <f>TEXT(Table7[[#This Row],[EXPIRY DATE]],"YYY")</f>
        <v>LIFETIME</v>
      </c>
      <c r="I1043" s="84" t="s">
        <v>602</v>
      </c>
      <c r="J1043" s="69"/>
    </row>
    <row r="1044" spans="1:10" x14ac:dyDescent="0.3">
      <c r="A1044" s="84">
        <v>1043</v>
      </c>
      <c r="B1044" s="84" t="s">
        <v>1918</v>
      </c>
      <c r="C1044" s="84" t="s">
        <v>433</v>
      </c>
      <c r="D1044" s="115" t="s">
        <v>1918</v>
      </c>
      <c r="E1044" s="85" t="s">
        <v>633</v>
      </c>
      <c r="F1044" s="84" t="s">
        <v>629</v>
      </c>
      <c r="G1044" s="85" t="s">
        <v>629</v>
      </c>
      <c r="H1044" s="85" t="str">
        <f>TEXT(Table7[[#This Row],[EXPIRY DATE]],"YYY")</f>
        <v>LIFETIME</v>
      </c>
      <c r="I1044" s="84" t="s">
        <v>602</v>
      </c>
      <c r="J1044" s="69"/>
    </row>
    <row r="1045" spans="1:10" x14ac:dyDescent="0.3">
      <c r="A1045" s="84">
        <v>1044</v>
      </c>
      <c r="B1045" s="84" t="s">
        <v>1919</v>
      </c>
      <c r="C1045" s="84" t="s">
        <v>433</v>
      </c>
      <c r="D1045" s="115" t="s">
        <v>1919</v>
      </c>
      <c r="E1045" s="85" t="s">
        <v>633</v>
      </c>
      <c r="F1045" s="84" t="s">
        <v>629</v>
      </c>
      <c r="G1045" s="85" t="s">
        <v>629</v>
      </c>
      <c r="H1045" s="85" t="str">
        <f>TEXT(Table7[[#This Row],[EXPIRY DATE]],"YYY")</f>
        <v>LIFETIME</v>
      </c>
      <c r="I1045" s="84" t="s">
        <v>602</v>
      </c>
      <c r="J1045" s="69"/>
    </row>
    <row r="1046" spans="1:10" x14ac:dyDescent="0.3">
      <c r="A1046" s="84">
        <v>1045</v>
      </c>
      <c r="B1046" s="80" t="s">
        <v>1920</v>
      </c>
      <c r="C1046" s="84" t="s">
        <v>433</v>
      </c>
      <c r="D1046" s="122" t="s">
        <v>1920</v>
      </c>
      <c r="E1046" s="85" t="s">
        <v>601</v>
      </c>
      <c r="F1046" s="84" t="s">
        <v>629</v>
      </c>
      <c r="G1046" s="84" t="s">
        <v>629</v>
      </c>
      <c r="H1046" s="85" t="str">
        <f>TEXT(Table7[[#This Row],[EXPIRY DATE]],"YYY")</f>
        <v>LIFETIME</v>
      </c>
      <c r="I1046" s="84" t="s">
        <v>602</v>
      </c>
      <c r="J1046" s="69"/>
    </row>
    <row r="1047" spans="1:10" x14ac:dyDescent="0.3">
      <c r="A1047" s="84">
        <v>1046</v>
      </c>
      <c r="B1047" s="84" t="s">
        <v>1921</v>
      </c>
      <c r="C1047" s="84" t="s">
        <v>433</v>
      </c>
      <c r="D1047" s="115" t="s">
        <v>1921</v>
      </c>
      <c r="E1047" s="85" t="s">
        <v>633</v>
      </c>
      <c r="F1047" s="84" t="s">
        <v>629</v>
      </c>
      <c r="G1047" s="85" t="s">
        <v>629</v>
      </c>
      <c r="H1047" s="85" t="str">
        <f>TEXT(Table7[[#This Row],[EXPIRY DATE]],"YYY")</f>
        <v>LIFETIME</v>
      </c>
      <c r="I1047" s="84" t="s">
        <v>602</v>
      </c>
      <c r="J1047" s="69"/>
    </row>
    <row r="1048" spans="1:10" x14ac:dyDescent="0.3">
      <c r="A1048" s="84">
        <v>1047</v>
      </c>
      <c r="B1048" s="80" t="s">
        <v>1922</v>
      </c>
      <c r="C1048" s="84" t="s">
        <v>433</v>
      </c>
      <c r="D1048" s="122" t="s">
        <v>1922</v>
      </c>
      <c r="E1048" s="85" t="s">
        <v>737</v>
      </c>
      <c r="F1048" s="84" t="s">
        <v>629</v>
      </c>
      <c r="G1048" s="84" t="s">
        <v>629</v>
      </c>
      <c r="H1048" s="85" t="str">
        <f>TEXT(Table7[[#This Row],[EXPIRY DATE]],"YYY")</f>
        <v>LIFETIME</v>
      </c>
      <c r="I1048" s="84" t="s">
        <v>602</v>
      </c>
      <c r="J1048" s="69"/>
    </row>
    <row r="1049" spans="1:10" x14ac:dyDescent="0.3">
      <c r="A1049" s="84">
        <v>1048</v>
      </c>
      <c r="B1049" s="84" t="s">
        <v>1923</v>
      </c>
      <c r="C1049" s="84" t="s">
        <v>433</v>
      </c>
      <c r="D1049" s="115" t="s">
        <v>1923</v>
      </c>
      <c r="E1049" s="85" t="s">
        <v>633</v>
      </c>
      <c r="F1049" s="84" t="s">
        <v>629</v>
      </c>
      <c r="G1049" s="85" t="s">
        <v>629</v>
      </c>
      <c r="H1049" s="85" t="str">
        <f>TEXT(Table7[[#This Row],[EXPIRY DATE]],"YYY")</f>
        <v>LIFETIME</v>
      </c>
      <c r="I1049" s="84" t="s">
        <v>602</v>
      </c>
      <c r="J1049" s="69"/>
    </row>
    <row r="1050" spans="1:10" x14ac:dyDescent="0.3">
      <c r="A1050" s="84">
        <v>1049</v>
      </c>
      <c r="B1050" s="80" t="s">
        <v>1924</v>
      </c>
      <c r="C1050" s="84" t="s">
        <v>433</v>
      </c>
      <c r="D1050" s="122" t="s">
        <v>1924</v>
      </c>
      <c r="E1050" s="85" t="s">
        <v>601</v>
      </c>
      <c r="F1050" s="84" t="s">
        <v>629</v>
      </c>
      <c r="G1050" s="84" t="s">
        <v>629</v>
      </c>
      <c r="H1050" s="85" t="str">
        <f>TEXT(Table7[[#This Row],[EXPIRY DATE]],"YYY")</f>
        <v>LIFETIME</v>
      </c>
      <c r="I1050" s="84" t="s">
        <v>602</v>
      </c>
      <c r="J1050" s="69"/>
    </row>
    <row r="1051" spans="1:10" x14ac:dyDescent="0.3">
      <c r="A1051" s="84">
        <v>1050</v>
      </c>
      <c r="B1051" s="84" t="s">
        <v>1925</v>
      </c>
      <c r="C1051" s="84" t="s">
        <v>433</v>
      </c>
      <c r="D1051" s="115" t="s">
        <v>1925</v>
      </c>
      <c r="E1051" s="85" t="s">
        <v>633</v>
      </c>
      <c r="F1051" s="84" t="s">
        <v>629</v>
      </c>
      <c r="G1051" s="85" t="s">
        <v>629</v>
      </c>
      <c r="H1051" s="85" t="str">
        <f>TEXT(Table7[[#This Row],[EXPIRY DATE]],"YYY")</f>
        <v>LIFETIME</v>
      </c>
      <c r="I1051" s="84" t="s">
        <v>602</v>
      </c>
      <c r="J1051" s="69"/>
    </row>
    <row r="1052" spans="1:10" x14ac:dyDescent="0.3">
      <c r="A1052" s="84">
        <v>1051</v>
      </c>
      <c r="B1052" s="80" t="s">
        <v>1926</v>
      </c>
      <c r="C1052" s="84" t="s">
        <v>433</v>
      </c>
      <c r="D1052" s="122" t="s">
        <v>1926</v>
      </c>
      <c r="E1052" s="85" t="s">
        <v>601</v>
      </c>
      <c r="F1052" s="84" t="s">
        <v>629</v>
      </c>
      <c r="G1052" s="84" t="s">
        <v>629</v>
      </c>
      <c r="H1052" s="85" t="str">
        <f>TEXT(Table7[[#This Row],[EXPIRY DATE]],"YYY")</f>
        <v>LIFETIME</v>
      </c>
      <c r="I1052" s="84" t="s">
        <v>602</v>
      </c>
      <c r="J1052" s="69"/>
    </row>
    <row r="1053" spans="1:10" x14ac:dyDescent="0.3">
      <c r="A1053" s="84">
        <v>1052</v>
      </c>
      <c r="B1053" s="84" t="s">
        <v>1927</v>
      </c>
      <c r="C1053" s="84" t="s">
        <v>433</v>
      </c>
      <c r="D1053" s="115" t="s">
        <v>1927</v>
      </c>
      <c r="E1053" s="85" t="s">
        <v>633</v>
      </c>
      <c r="F1053" s="84" t="s">
        <v>629</v>
      </c>
      <c r="G1053" s="85" t="s">
        <v>629</v>
      </c>
      <c r="H1053" s="85" t="str">
        <f>TEXT(Table7[[#This Row],[EXPIRY DATE]],"YYY")</f>
        <v>LIFETIME</v>
      </c>
      <c r="I1053" s="84" t="s">
        <v>602</v>
      </c>
      <c r="J1053" s="69"/>
    </row>
    <row r="1054" spans="1:10" x14ac:dyDescent="0.3">
      <c r="A1054" s="84">
        <v>1053</v>
      </c>
      <c r="B1054" s="84" t="s">
        <v>1928</v>
      </c>
      <c r="C1054" s="84" t="s">
        <v>433</v>
      </c>
      <c r="D1054" s="115" t="s">
        <v>1928</v>
      </c>
      <c r="E1054" s="85" t="s">
        <v>633</v>
      </c>
      <c r="F1054" s="84" t="s">
        <v>629</v>
      </c>
      <c r="G1054" s="85" t="s">
        <v>629</v>
      </c>
      <c r="H1054" s="85" t="str">
        <f>TEXT(Table7[[#This Row],[EXPIRY DATE]],"YYY")</f>
        <v>LIFETIME</v>
      </c>
      <c r="I1054" s="84" t="s">
        <v>602</v>
      </c>
      <c r="J1054" s="69"/>
    </row>
    <row r="1055" spans="1:10" x14ac:dyDescent="0.3">
      <c r="A1055" s="84">
        <v>1054</v>
      </c>
      <c r="B1055" s="80" t="s">
        <v>1843</v>
      </c>
      <c r="C1055" s="84" t="s">
        <v>433</v>
      </c>
      <c r="D1055" s="122" t="s">
        <v>1843</v>
      </c>
      <c r="E1055" s="85" t="s">
        <v>601</v>
      </c>
      <c r="F1055" s="84" t="s">
        <v>629</v>
      </c>
      <c r="G1055" s="84" t="s">
        <v>629</v>
      </c>
      <c r="H1055" s="85" t="str">
        <f>TEXT(Table7[[#This Row],[EXPIRY DATE]],"YYY")</f>
        <v>LIFETIME</v>
      </c>
      <c r="I1055" s="84" t="s">
        <v>602</v>
      </c>
      <c r="J1055" s="69"/>
    </row>
    <row r="1056" spans="1:10" x14ac:dyDescent="0.3">
      <c r="A1056" s="84">
        <v>1055</v>
      </c>
      <c r="B1056" s="84" t="s">
        <v>12</v>
      </c>
      <c r="C1056" s="84" t="s">
        <v>556</v>
      </c>
      <c r="D1056" s="115" t="s">
        <v>1929</v>
      </c>
      <c r="E1056" s="85" t="s">
        <v>12</v>
      </c>
      <c r="F1056" s="85">
        <v>46345</v>
      </c>
      <c r="G1056" s="85" t="s">
        <v>842</v>
      </c>
      <c r="H1056" s="85" t="str">
        <f>TEXT(Table7[[#This Row],[EXPIRY DATE]],"YYY")</f>
        <v>2026</v>
      </c>
      <c r="I1056" s="84" t="s">
        <v>1930</v>
      </c>
      <c r="J1056" s="69"/>
    </row>
    <row r="1057" spans="1:10" x14ac:dyDescent="0.3">
      <c r="A1057" s="84">
        <v>1056</v>
      </c>
      <c r="B1057" s="84" t="s">
        <v>1931</v>
      </c>
      <c r="C1057" s="84" t="s">
        <v>1932</v>
      </c>
      <c r="D1057" s="115" t="s">
        <v>1933</v>
      </c>
      <c r="E1057" s="85" t="s">
        <v>925</v>
      </c>
      <c r="F1057" s="85">
        <v>46373</v>
      </c>
      <c r="G1057" s="85" t="str">
        <f>TEXT(Table7[[#This Row],[EXPIRY DATE]],"MMM")</f>
        <v>Dec</v>
      </c>
      <c r="H1057" s="85" t="str">
        <f>TEXT(Table7[[#This Row],[EXPIRY DATE]],"YYY")</f>
        <v>2026</v>
      </c>
      <c r="I1057" s="84" t="s">
        <v>1830</v>
      </c>
      <c r="J1057" s="69"/>
    </row>
    <row r="1058" spans="1:10" x14ac:dyDescent="0.3">
      <c r="A1058" s="84">
        <v>1057</v>
      </c>
      <c r="B1058" s="84" t="s">
        <v>1934</v>
      </c>
      <c r="C1058" s="84" t="s">
        <v>1935</v>
      </c>
      <c r="D1058" s="115" t="s">
        <v>1936</v>
      </c>
      <c r="E1058" s="85" t="s">
        <v>717</v>
      </c>
      <c r="F1058" s="85">
        <v>46036</v>
      </c>
      <c r="G1058" s="85" t="s">
        <v>936</v>
      </c>
      <c r="H1058" s="85" t="str">
        <f>TEXT(Table7[[#This Row],[EXPIRY DATE]],"YYY")</f>
        <v>2026</v>
      </c>
      <c r="I1058" s="84" t="s">
        <v>592</v>
      </c>
      <c r="J1058" s="69"/>
    </row>
    <row r="1059" spans="1:10" x14ac:dyDescent="0.3">
      <c r="A1059" s="84">
        <v>1058</v>
      </c>
      <c r="B1059" s="84" t="s">
        <v>1937</v>
      </c>
      <c r="C1059" s="84" t="s">
        <v>194</v>
      </c>
      <c r="D1059" s="115" t="s">
        <v>1938</v>
      </c>
      <c r="E1059" s="85" t="s">
        <v>605</v>
      </c>
      <c r="F1059" s="85">
        <v>45657</v>
      </c>
      <c r="G1059" s="85" t="str">
        <f>TEXT(Table7[[#This Row],[EXPIRY DATE]],"MMM")</f>
        <v>Dec</v>
      </c>
      <c r="H1059" s="85" t="str">
        <f>TEXT(Table7[[#This Row],[EXPIRY DATE]],"YYY")</f>
        <v>2024</v>
      </c>
      <c r="I1059" s="84" t="s">
        <v>916</v>
      </c>
      <c r="J1059" s="69"/>
    </row>
    <row r="1060" spans="1:10" x14ac:dyDescent="0.3">
      <c r="A1060" s="84">
        <v>1059</v>
      </c>
      <c r="B1060" s="84" t="s">
        <v>1939</v>
      </c>
      <c r="C1060" s="84" t="s">
        <v>194</v>
      </c>
      <c r="D1060" s="115" t="s">
        <v>1940</v>
      </c>
      <c r="E1060" s="85" t="s">
        <v>802</v>
      </c>
      <c r="F1060" s="85">
        <v>45657</v>
      </c>
      <c r="G1060" s="85" t="str">
        <f>TEXT(Table7[[#This Row],[EXPIRY DATE]],"MMM")</f>
        <v>Dec</v>
      </c>
      <c r="H1060" s="85" t="str">
        <f>TEXT(Table7[[#This Row],[EXPIRY DATE]],"YYY")</f>
        <v>2024</v>
      </c>
      <c r="I1060" s="84" t="s">
        <v>916</v>
      </c>
      <c r="J1060" s="69"/>
    </row>
    <row r="1061" spans="1:10" x14ac:dyDescent="0.3">
      <c r="A1061" s="84">
        <v>1060</v>
      </c>
      <c r="B1061" s="84" t="s">
        <v>1192</v>
      </c>
      <c r="C1061" s="84" t="s">
        <v>194</v>
      </c>
      <c r="D1061" s="115" t="s">
        <v>1941</v>
      </c>
      <c r="E1061" s="85" t="s">
        <v>1194</v>
      </c>
      <c r="F1061" s="85">
        <v>45657</v>
      </c>
      <c r="G1061" s="85" t="str">
        <f>TEXT(Table7[[#This Row],[EXPIRY DATE]],"MMM")</f>
        <v>Dec</v>
      </c>
      <c r="H1061" s="85" t="str">
        <f>TEXT(Table7[[#This Row],[EXPIRY DATE]],"YYY")</f>
        <v>2024</v>
      </c>
      <c r="I1061" s="84" t="s">
        <v>602</v>
      </c>
      <c r="J1061" s="69"/>
    </row>
    <row r="1062" spans="1:10" x14ac:dyDescent="0.3">
      <c r="A1062" s="84">
        <v>1061</v>
      </c>
      <c r="B1062" s="84" t="s">
        <v>1073</v>
      </c>
      <c r="C1062" s="84" t="s">
        <v>194</v>
      </c>
      <c r="D1062" s="115" t="s">
        <v>1942</v>
      </c>
      <c r="E1062" s="85" t="s">
        <v>802</v>
      </c>
      <c r="F1062" s="85">
        <v>45657</v>
      </c>
      <c r="G1062" s="85" t="str">
        <f>TEXT(Table7[[#This Row],[EXPIRY DATE]],"MMM")</f>
        <v>Dec</v>
      </c>
      <c r="H1062" s="85" t="str">
        <f>TEXT(Table7[[#This Row],[EXPIRY DATE]],"YYY")</f>
        <v>2024</v>
      </c>
      <c r="I1062" s="84" t="s">
        <v>916</v>
      </c>
      <c r="J1062" s="69"/>
    </row>
    <row r="1063" spans="1:10" x14ac:dyDescent="0.3">
      <c r="A1063" s="84">
        <v>1062</v>
      </c>
      <c r="B1063" s="84" t="s">
        <v>228</v>
      </c>
      <c r="C1063" s="84" t="s">
        <v>194</v>
      </c>
      <c r="D1063" s="115" t="s">
        <v>1943</v>
      </c>
      <c r="E1063" s="85" t="s">
        <v>601</v>
      </c>
      <c r="F1063" s="85">
        <v>45747</v>
      </c>
      <c r="G1063" s="85" t="str">
        <f>TEXT(Table7[[#This Row],[EXPIRY DATE]],"MMM")</f>
        <v>Mar</v>
      </c>
      <c r="H1063" s="85" t="str">
        <f>TEXT(Table7[[#This Row],[EXPIRY DATE]],"YYY")</f>
        <v>2025</v>
      </c>
      <c r="I1063" s="84" t="s">
        <v>839</v>
      </c>
      <c r="J1063" s="69"/>
    </row>
    <row r="1064" spans="1:10" x14ac:dyDescent="0.3">
      <c r="A1064" s="84">
        <v>1063</v>
      </c>
      <c r="B1064" s="84" t="s">
        <v>1944</v>
      </c>
      <c r="C1064" s="84" t="s">
        <v>194</v>
      </c>
      <c r="D1064" s="115" t="s">
        <v>1945</v>
      </c>
      <c r="E1064" s="85" t="s">
        <v>1946</v>
      </c>
      <c r="F1064" s="85">
        <v>45861</v>
      </c>
      <c r="G1064" s="85" t="str">
        <f>TEXT(Table7[[#This Row],[EXPIRY DATE]],"MMM")</f>
        <v>Jul</v>
      </c>
      <c r="H1064" s="85" t="str">
        <f>TEXT(Table7[[#This Row],[EXPIRY DATE]],"YYY")</f>
        <v>2025</v>
      </c>
      <c r="I1064" s="84" t="s">
        <v>607</v>
      </c>
      <c r="J1064" s="69"/>
    </row>
    <row r="1065" spans="1:10" x14ac:dyDescent="0.3">
      <c r="A1065" s="84">
        <v>1064</v>
      </c>
      <c r="B1065" s="84" t="s">
        <v>1947</v>
      </c>
      <c r="C1065" s="84" t="s">
        <v>194</v>
      </c>
      <c r="D1065" s="115" t="s">
        <v>1948</v>
      </c>
      <c r="E1065" s="85" t="s">
        <v>1194</v>
      </c>
      <c r="F1065" s="85">
        <v>45934</v>
      </c>
      <c r="G1065" s="85" t="str">
        <f>TEXT(Table7[[#This Row],[EXPIRY DATE]],"MMM")</f>
        <v>Oct</v>
      </c>
      <c r="H1065" s="85" t="str">
        <f>TEXT(Table7[[#This Row],[EXPIRY DATE]],"YYY")</f>
        <v>2025</v>
      </c>
      <c r="I1065" s="84" t="s">
        <v>602</v>
      </c>
      <c r="J1065" s="69"/>
    </row>
    <row r="1066" spans="1:10" x14ac:dyDescent="0.3">
      <c r="A1066" s="84">
        <v>1065</v>
      </c>
      <c r="B1066" s="84" t="s">
        <v>1949</v>
      </c>
      <c r="C1066" s="84" t="s">
        <v>194</v>
      </c>
      <c r="D1066" s="115" t="s">
        <v>1950</v>
      </c>
      <c r="E1066" s="85" t="s">
        <v>1014</v>
      </c>
      <c r="F1066" s="85">
        <v>45990</v>
      </c>
      <c r="G1066" s="85" t="str">
        <f>TEXT(Table7[[#This Row],[EXPIRY DATE]],"MMM")</f>
        <v>Nov</v>
      </c>
      <c r="H1066" s="85" t="str">
        <f>TEXT(Table7[[#This Row],[EXPIRY DATE]],"YYY")</f>
        <v>2025</v>
      </c>
      <c r="I1066" s="84" t="s">
        <v>607</v>
      </c>
      <c r="J1066" s="69"/>
    </row>
    <row r="1067" spans="1:10" x14ac:dyDescent="0.3">
      <c r="A1067" s="84">
        <v>1066</v>
      </c>
      <c r="B1067" s="84" t="s">
        <v>959</v>
      </c>
      <c r="C1067" s="84" t="s">
        <v>194</v>
      </c>
      <c r="D1067" s="115" t="s">
        <v>1951</v>
      </c>
      <c r="E1067" s="85" t="s">
        <v>961</v>
      </c>
      <c r="F1067" s="85">
        <v>46022</v>
      </c>
      <c r="G1067" s="85" t="str">
        <f>TEXT(Table7[[#This Row],[EXPIRY DATE]],"MMM")</f>
        <v>Dec</v>
      </c>
      <c r="H1067" s="85" t="str">
        <f>TEXT(Table7[[#This Row],[EXPIRY DATE]],"YYY")</f>
        <v>2025</v>
      </c>
      <c r="I1067" s="84" t="s">
        <v>607</v>
      </c>
      <c r="J1067" s="69"/>
    </row>
    <row r="1068" spans="1:10" x14ac:dyDescent="0.3">
      <c r="A1068" s="84">
        <v>1067</v>
      </c>
      <c r="B1068" s="84" t="s">
        <v>1952</v>
      </c>
      <c r="C1068" s="84" t="s">
        <v>194</v>
      </c>
      <c r="D1068" s="115" t="s">
        <v>1953</v>
      </c>
      <c r="E1068" s="85" t="s">
        <v>1014</v>
      </c>
      <c r="F1068" s="85">
        <v>46022</v>
      </c>
      <c r="G1068" s="85" t="str">
        <f>TEXT(Table7[[#This Row],[EXPIRY DATE]],"MMM")</f>
        <v>Dec</v>
      </c>
      <c r="H1068" s="85" t="str">
        <f>TEXT(Table7[[#This Row],[EXPIRY DATE]],"YYY")</f>
        <v>2025</v>
      </c>
      <c r="I1068" s="84" t="s">
        <v>602</v>
      </c>
      <c r="J1068" s="69"/>
    </row>
    <row r="1069" spans="1:10" x14ac:dyDescent="0.3">
      <c r="A1069" s="84">
        <v>1068</v>
      </c>
      <c r="B1069" s="84" t="s">
        <v>1952</v>
      </c>
      <c r="C1069" s="84" t="s">
        <v>194</v>
      </c>
      <c r="D1069" s="115" t="s">
        <v>1953</v>
      </c>
      <c r="E1069" s="85" t="s">
        <v>1014</v>
      </c>
      <c r="F1069" s="85">
        <v>46022</v>
      </c>
      <c r="G1069" s="85" t="str">
        <f>TEXT(Table7[[#This Row],[EXPIRY DATE]],"MMM")</f>
        <v>Dec</v>
      </c>
      <c r="H1069" s="85" t="str">
        <f>TEXT(Table7[[#This Row],[EXPIRY DATE]],"YYY")</f>
        <v>2025</v>
      </c>
      <c r="I1069" s="84" t="s">
        <v>607</v>
      </c>
      <c r="J1069" s="69"/>
    </row>
    <row r="1070" spans="1:10" x14ac:dyDescent="0.3">
      <c r="A1070" s="84">
        <v>1069</v>
      </c>
      <c r="B1070" s="84" t="s">
        <v>1937</v>
      </c>
      <c r="C1070" s="84" t="s">
        <v>194</v>
      </c>
      <c r="D1070" s="115" t="s">
        <v>1938</v>
      </c>
      <c r="E1070" s="85" t="s">
        <v>605</v>
      </c>
      <c r="F1070" s="85">
        <v>46022</v>
      </c>
      <c r="G1070" s="85" t="str">
        <f>TEXT(Table7[[#This Row],[EXPIRY DATE]],"MMM")</f>
        <v>Dec</v>
      </c>
      <c r="H1070" s="85" t="str">
        <f>TEXT(Table7[[#This Row],[EXPIRY DATE]],"YYY")</f>
        <v>2025</v>
      </c>
      <c r="I1070" s="84" t="s">
        <v>602</v>
      </c>
      <c r="J1070" s="69"/>
    </row>
    <row r="1071" spans="1:10" x14ac:dyDescent="0.3">
      <c r="A1071" s="84">
        <v>1070</v>
      </c>
      <c r="B1071" s="84" t="s">
        <v>1937</v>
      </c>
      <c r="C1071" s="84" t="s">
        <v>194</v>
      </c>
      <c r="D1071" s="115" t="s">
        <v>1938</v>
      </c>
      <c r="E1071" s="85" t="s">
        <v>802</v>
      </c>
      <c r="F1071" s="85">
        <v>46022</v>
      </c>
      <c r="G1071" s="85" t="str">
        <f>TEXT(Table7[[#This Row],[EXPIRY DATE]],"MMM")</f>
        <v>Dec</v>
      </c>
      <c r="H1071" s="85" t="str">
        <f>TEXT(Table7[[#This Row],[EXPIRY DATE]],"YYY")</f>
        <v>2025</v>
      </c>
      <c r="I1071" s="84" t="s">
        <v>607</v>
      </c>
      <c r="J1071" s="69"/>
    </row>
    <row r="1072" spans="1:10" x14ac:dyDescent="0.3">
      <c r="A1072" s="84">
        <v>1071</v>
      </c>
      <c r="B1072" s="84" t="s">
        <v>1939</v>
      </c>
      <c r="C1072" s="84" t="s">
        <v>194</v>
      </c>
      <c r="D1072" s="115" t="s">
        <v>1940</v>
      </c>
      <c r="E1072" s="85" t="s">
        <v>802</v>
      </c>
      <c r="F1072" s="85">
        <v>46022</v>
      </c>
      <c r="G1072" s="85" t="str">
        <f>TEXT(Table7[[#This Row],[EXPIRY DATE]],"MMM")</f>
        <v>Dec</v>
      </c>
      <c r="H1072" s="85" t="str">
        <f>TEXT(Table7[[#This Row],[EXPIRY DATE]],"YYY")</f>
        <v>2025</v>
      </c>
      <c r="I1072" s="84" t="s">
        <v>602</v>
      </c>
      <c r="J1072" s="69"/>
    </row>
    <row r="1073" spans="1:10" x14ac:dyDescent="0.3">
      <c r="A1073" s="84">
        <v>1072</v>
      </c>
      <c r="B1073" s="84" t="s">
        <v>1939</v>
      </c>
      <c r="C1073" s="84" t="s">
        <v>194</v>
      </c>
      <c r="D1073" s="115" t="s">
        <v>1940</v>
      </c>
      <c r="E1073" s="85" t="s">
        <v>802</v>
      </c>
      <c r="F1073" s="85">
        <v>46022</v>
      </c>
      <c r="G1073" s="85" t="str">
        <f>TEXT(Table7[[#This Row],[EXPIRY DATE]],"MMM")</f>
        <v>Dec</v>
      </c>
      <c r="H1073" s="85" t="str">
        <f>TEXT(Table7[[#This Row],[EXPIRY DATE]],"YYY")</f>
        <v>2025</v>
      </c>
      <c r="I1073" s="84" t="s">
        <v>607</v>
      </c>
      <c r="J1073" s="69"/>
    </row>
    <row r="1074" spans="1:10" x14ac:dyDescent="0.3">
      <c r="A1074" s="84">
        <v>1073</v>
      </c>
      <c r="B1074" s="84" t="s">
        <v>229</v>
      </c>
      <c r="C1074" s="84" t="s">
        <v>194</v>
      </c>
      <c r="D1074" s="115" t="s">
        <v>1954</v>
      </c>
      <c r="E1074" s="85" t="s">
        <v>601</v>
      </c>
      <c r="F1074" s="85">
        <v>46022</v>
      </c>
      <c r="G1074" s="85" t="str">
        <f>TEXT(Table7[[#This Row],[EXPIRY DATE]],"MMM")</f>
        <v>Dec</v>
      </c>
      <c r="H1074" s="85" t="str">
        <f>TEXT(Table7[[#This Row],[EXPIRY DATE]],"YYY")</f>
        <v>2025</v>
      </c>
      <c r="I1074" s="84" t="s">
        <v>602</v>
      </c>
      <c r="J1074" s="69"/>
    </row>
    <row r="1075" spans="1:10" x14ac:dyDescent="0.3">
      <c r="A1075" s="84">
        <v>1074</v>
      </c>
      <c r="B1075" s="84" t="s">
        <v>1955</v>
      </c>
      <c r="C1075" s="84" t="s">
        <v>194</v>
      </c>
      <c r="D1075" s="115" t="s">
        <v>1956</v>
      </c>
      <c r="E1075" s="85" t="s">
        <v>601</v>
      </c>
      <c r="F1075" s="85">
        <v>46022</v>
      </c>
      <c r="G1075" s="85" t="str">
        <f>TEXT(Table7[[#This Row],[EXPIRY DATE]],"MMM")</f>
        <v>Dec</v>
      </c>
      <c r="H1075" s="85" t="str">
        <f>TEXT(Table7[[#This Row],[EXPIRY DATE]],"YYY")</f>
        <v>2025</v>
      </c>
      <c r="I1075" s="84" t="s">
        <v>602</v>
      </c>
      <c r="J1075" s="69"/>
    </row>
    <row r="1076" spans="1:10" x14ac:dyDescent="0.3">
      <c r="A1076" s="84">
        <v>1075</v>
      </c>
      <c r="B1076" s="84" t="s">
        <v>1957</v>
      </c>
      <c r="C1076" s="84" t="s">
        <v>194</v>
      </c>
      <c r="D1076" s="115" t="s">
        <v>1958</v>
      </c>
      <c r="E1076" s="85" t="s">
        <v>605</v>
      </c>
      <c r="F1076" s="85">
        <v>46022</v>
      </c>
      <c r="G1076" s="85" t="str">
        <f>TEXT(Table7[[#This Row],[EXPIRY DATE]],"MMM")</f>
        <v>Dec</v>
      </c>
      <c r="H1076" s="85" t="str">
        <f>TEXT(Table7[[#This Row],[EXPIRY DATE]],"YYY")</f>
        <v>2025</v>
      </c>
      <c r="I1076" s="84" t="s">
        <v>602</v>
      </c>
      <c r="J1076" s="69"/>
    </row>
    <row r="1077" spans="1:10" x14ac:dyDescent="0.3">
      <c r="A1077" s="84">
        <v>1076</v>
      </c>
      <c r="B1077" s="84" t="s">
        <v>1959</v>
      </c>
      <c r="C1077" s="84" t="s">
        <v>194</v>
      </c>
      <c r="D1077" s="115" t="s">
        <v>1960</v>
      </c>
      <c r="E1077" s="85" t="s">
        <v>601</v>
      </c>
      <c r="F1077" s="85">
        <v>46022</v>
      </c>
      <c r="G1077" s="85" t="str">
        <f>TEXT(Table7[[#This Row],[EXPIRY DATE]],"MMM")</f>
        <v>Dec</v>
      </c>
      <c r="H1077" s="85" t="str">
        <f>TEXT(Table7[[#This Row],[EXPIRY DATE]],"YYY")</f>
        <v>2025</v>
      </c>
      <c r="I1077" s="84" t="s">
        <v>602</v>
      </c>
      <c r="J1077" s="69"/>
    </row>
    <row r="1078" spans="1:10" x14ac:dyDescent="0.3">
      <c r="A1078" s="84">
        <v>1077</v>
      </c>
      <c r="B1078" s="84" t="s">
        <v>1949</v>
      </c>
      <c r="C1078" s="84" t="s">
        <v>194</v>
      </c>
      <c r="D1078" s="115" t="s">
        <v>1950</v>
      </c>
      <c r="E1078" s="85" t="s">
        <v>1014</v>
      </c>
      <c r="F1078" s="85">
        <v>46022</v>
      </c>
      <c r="G1078" s="85" t="str">
        <f>TEXT(Table7[[#This Row],[EXPIRY DATE]],"MMM")</f>
        <v>Dec</v>
      </c>
      <c r="H1078" s="85" t="str">
        <f>TEXT(Table7[[#This Row],[EXPIRY DATE]],"YYY")</f>
        <v>2025</v>
      </c>
      <c r="I1078" s="84" t="s">
        <v>602</v>
      </c>
      <c r="J1078" s="69"/>
    </row>
    <row r="1079" spans="1:10" ht="20.399999999999999" x14ac:dyDescent="0.3">
      <c r="A1079" s="84">
        <v>1078</v>
      </c>
      <c r="B1079" s="84" t="s">
        <v>1961</v>
      </c>
      <c r="C1079" s="84" t="s">
        <v>194</v>
      </c>
      <c r="D1079" s="115" t="s">
        <v>1962</v>
      </c>
      <c r="E1079" s="85" t="s">
        <v>601</v>
      </c>
      <c r="F1079" s="85">
        <v>46022</v>
      </c>
      <c r="G1079" s="85" t="str">
        <f>TEXT(Table7[[#This Row],[EXPIRY DATE]],"MMM")</f>
        <v>Dec</v>
      </c>
      <c r="H1079" s="85" t="str">
        <f>TEXT(Table7[[#This Row],[EXPIRY DATE]],"YYY")</f>
        <v>2025</v>
      </c>
      <c r="I1079" s="84" t="s">
        <v>602</v>
      </c>
      <c r="J1079" s="69"/>
    </row>
    <row r="1080" spans="1:10" x14ac:dyDescent="0.3">
      <c r="A1080" s="84">
        <v>1079</v>
      </c>
      <c r="B1080" s="84" t="s">
        <v>228</v>
      </c>
      <c r="C1080" s="84" t="s">
        <v>194</v>
      </c>
      <c r="D1080" s="115" t="s">
        <v>1943</v>
      </c>
      <c r="E1080" s="85" t="s">
        <v>601</v>
      </c>
      <c r="F1080" s="85">
        <v>46022</v>
      </c>
      <c r="G1080" s="85" t="str">
        <f>TEXT(Table7[[#This Row],[EXPIRY DATE]],"MMM")</f>
        <v>Dec</v>
      </c>
      <c r="H1080" s="85" t="str">
        <f>TEXT(Table7[[#This Row],[EXPIRY DATE]],"YYY")</f>
        <v>2025</v>
      </c>
      <c r="I1080" s="84" t="s">
        <v>602</v>
      </c>
      <c r="J1080" s="69"/>
    </row>
    <row r="1081" spans="1:10" x14ac:dyDescent="0.3">
      <c r="A1081" s="84">
        <v>1080</v>
      </c>
      <c r="B1081" s="84" t="s">
        <v>1963</v>
      </c>
      <c r="C1081" s="84" t="s">
        <v>194</v>
      </c>
      <c r="D1081" s="115" t="s">
        <v>1964</v>
      </c>
      <c r="E1081" s="85" t="s">
        <v>802</v>
      </c>
      <c r="F1081" s="85">
        <v>46022</v>
      </c>
      <c r="G1081" s="85" t="str">
        <f>TEXT(Table7[[#This Row],[EXPIRY DATE]],"MMM")</f>
        <v>Dec</v>
      </c>
      <c r="H1081" s="85" t="str">
        <f>TEXT(Table7[[#This Row],[EXPIRY DATE]],"YYY")</f>
        <v>2025</v>
      </c>
      <c r="I1081" s="84" t="s">
        <v>602</v>
      </c>
      <c r="J1081" s="69"/>
    </row>
    <row r="1082" spans="1:10" x14ac:dyDescent="0.3">
      <c r="A1082" s="84">
        <v>1081</v>
      </c>
      <c r="B1082" s="84" t="s">
        <v>1963</v>
      </c>
      <c r="C1082" s="84" t="s">
        <v>194</v>
      </c>
      <c r="D1082" s="115" t="s">
        <v>1964</v>
      </c>
      <c r="E1082" s="85" t="s">
        <v>802</v>
      </c>
      <c r="F1082" s="85">
        <v>46022</v>
      </c>
      <c r="G1082" s="85" t="str">
        <f>TEXT(Table7[[#This Row],[EXPIRY DATE]],"MMM")</f>
        <v>Dec</v>
      </c>
      <c r="H1082" s="85" t="str">
        <f>TEXT(Table7[[#This Row],[EXPIRY DATE]],"YYY")</f>
        <v>2025</v>
      </c>
      <c r="I1082" s="84" t="s">
        <v>607</v>
      </c>
      <c r="J1082" s="69"/>
    </row>
    <row r="1083" spans="1:10" x14ac:dyDescent="0.3">
      <c r="A1083" s="84">
        <v>1082</v>
      </c>
      <c r="B1083" s="84" t="s">
        <v>1947</v>
      </c>
      <c r="C1083" s="84" t="s">
        <v>194</v>
      </c>
      <c r="D1083" s="115" t="s">
        <v>1948</v>
      </c>
      <c r="E1083" s="85" t="s">
        <v>1194</v>
      </c>
      <c r="F1083" s="85">
        <v>46022</v>
      </c>
      <c r="G1083" s="85" t="str">
        <f>TEXT(Table7[[#This Row],[EXPIRY DATE]],"MMM")</f>
        <v>Dec</v>
      </c>
      <c r="H1083" s="85" t="str">
        <f>TEXT(Table7[[#This Row],[EXPIRY DATE]],"YYY")</f>
        <v>2025</v>
      </c>
      <c r="I1083" s="84" t="s">
        <v>916</v>
      </c>
      <c r="J1083" s="69"/>
    </row>
    <row r="1084" spans="1:10" x14ac:dyDescent="0.3">
      <c r="A1084" s="84">
        <v>1083</v>
      </c>
      <c r="B1084" s="84" t="s">
        <v>1192</v>
      </c>
      <c r="C1084" s="84" t="s">
        <v>194</v>
      </c>
      <c r="D1084" s="115" t="s">
        <v>1941</v>
      </c>
      <c r="E1084" s="85" t="s">
        <v>1194</v>
      </c>
      <c r="F1084" s="85">
        <v>46022</v>
      </c>
      <c r="G1084" s="85" t="str">
        <f>TEXT(Table7[[#This Row],[EXPIRY DATE]],"MMM")</f>
        <v>Dec</v>
      </c>
      <c r="H1084" s="85" t="str">
        <f>TEXT(Table7[[#This Row],[EXPIRY DATE]],"YYY")</f>
        <v>2025</v>
      </c>
      <c r="I1084" s="84" t="s">
        <v>916</v>
      </c>
      <c r="J1084" s="69"/>
    </row>
    <row r="1085" spans="1:10" x14ac:dyDescent="0.3">
      <c r="A1085" s="84">
        <v>1084</v>
      </c>
      <c r="B1085" s="84" t="s">
        <v>1965</v>
      </c>
      <c r="C1085" s="84" t="s">
        <v>194</v>
      </c>
      <c r="D1085" s="115" t="s">
        <v>1966</v>
      </c>
      <c r="E1085" s="85" t="s">
        <v>1014</v>
      </c>
      <c r="F1085" s="85">
        <v>46022</v>
      </c>
      <c r="G1085" s="85" t="str">
        <f>TEXT(Table7[[#This Row],[EXPIRY DATE]],"MMM")</f>
        <v>Dec</v>
      </c>
      <c r="H1085" s="85" t="str">
        <f>TEXT(Table7[[#This Row],[EXPIRY DATE]],"YYY")</f>
        <v>2025</v>
      </c>
      <c r="I1085" s="84" t="s">
        <v>607</v>
      </c>
      <c r="J1085" s="69"/>
    </row>
    <row r="1086" spans="1:10" x14ac:dyDescent="0.3">
      <c r="A1086" s="84">
        <v>1085</v>
      </c>
      <c r="B1086" s="84" t="s">
        <v>1965</v>
      </c>
      <c r="C1086" s="84" t="s">
        <v>194</v>
      </c>
      <c r="D1086" s="115" t="s">
        <v>1966</v>
      </c>
      <c r="E1086" s="85" t="s">
        <v>1014</v>
      </c>
      <c r="F1086" s="85">
        <v>46022</v>
      </c>
      <c r="G1086" s="85" t="s">
        <v>625</v>
      </c>
      <c r="H1086" s="85" t="str">
        <f>TEXT(Table7[[#This Row],[EXPIRY DATE]],"YYY")</f>
        <v>2025</v>
      </c>
      <c r="I1086" s="84" t="s">
        <v>602</v>
      </c>
      <c r="J1086" s="69"/>
    </row>
    <row r="1087" spans="1:10" x14ac:dyDescent="0.3">
      <c r="A1087" s="84">
        <v>1086</v>
      </c>
      <c r="B1087" s="84" t="s">
        <v>1967</v>
      </c>
      <c r="C1087" s="84" t="s">
        <v>194</v>
      </c>
      <c r="D1087" s="115" t="s">
        <v>1968</v>
      </c>
      <c r="E1087" s="85" t="s">
        <v>802</v>
      </c>
      <c r="F1087" s="85">
        <v>46022</v>
      </c>
      <c r="G1087" s="85" t="str">
        <f>TEXT(Table7[[#This Row],[EXPIRY DATE]],"MMM")</f>
        <v>Dec</v>
      </c>
      <c r="H1087" s="85" t="str">
        <f>TEXT(Table7[[#This Row],[EXPIRY DATE]],"YYY")</f>
        <v>2025</v>
      </c>
      <c r="I1087" s="84" t="s">
        <v>602</v>
      </c>
      <c r="J1087" s="69"/>
    </row>
    <row r="1088" spans="1:10" x14ac:dyDescent="0.3">
      <c r="A1088" s="84">
        <v>1087</v>
      </c>
      <c r="B1088" s="84" t="s">
        <v>1969</v>
      </c>
      <c r="C1088" s="84" t="s">
        <v>194</v>
      </c>
      <c r="D1088" s="115" t="s">
        <v>1970</v>
      </c>
      <c r="E1088" s="85" t="s">
        <v>802</v>
      </c>
      <c r="F1088" s="85">
        <v>46022</v>
      </c>
      <c r="G1088" s="85" t="str">
        <f>TEXT(Table7[[#This Row],[EXPIRY DATE]],"MMM")</f>
        <v>Dec</v>
      </c>
      <c r="H1088" s="85" t="str">
        <f>TEXT(Table7[[#This Row],[EXPIRY DATE]],"YYY")</f>
        <v>2025</v>
      </c>
      <c r="I1088" s="84" t="s">
        <v>602</v>
      </c>
      <c r="J1088" s="69"/>
    </row>
    <row r="1089" spans="1:10" x14ac:dyDescent="0.3">
      <c r="A1089" s="84">
        <v>1088</v>
      </c>
      <c r="B1089" s="84" t="s">
        <v>1971</v>
      </c>
      <c r="C1089" s="84" t="s">
        <v>194</v>
      </c>
      <c r="D1089" s="115" t="s">
        <v>1972</v>
      </c>
      <c r="E1089" s="85" t="s">
        <v>601</v>
      </c>
      <c r="F1089" s="85">
        <v>46022</v>
      </c>
      <c r="G1089" s="85" t="s">
        <v>625</v>
      </c>
      <c r="H1089" s="85" t="str">
        <f>TEXT(Table7[[#This Row],[EXPIRY DATE]],"YYY")</f>
        <v>2025</v>
      </c>
      <c r="I1089" s="84" t="s">
        <v>602</v>
      </c>
      <c r="J1089" s="69"/>
    </row>
    <row r="1090" spans="1:10" x14ac:dyDescent="0.3">
      <c r="A1090" s="84">
        <v>1089</v>
      </c>
      <c r="B1090" s="84" t="s">
        <v>1973</v>
      </c>
      <c r="C1090" s="84" t="s">
        <v>194</v>
      </c>
      <c r="D1090" s="115" t="s">
        <v>1974</v>
      </c>
      <c r="E1090" s="85" t="s">
        <v>605</v>
      </c>
      <c r="F1090" s="85">
        <v>46022</v>
      </c>
      <c r="G1090" s="85" t="str">
        <f>TEXT(Table7[[#This Row],[EXPIRY DATE]],"MMM")</f>
        <v>Dec</v>
      </c>
      <c r="H1090" s="85" t="str">
        <f>TEXT(Table7[[#This Row],[EXPIRY DATE]],"YYY")</f>
        <v>2025</v>
      </c>
      <c r="I1090" s="84" t="s">
        <v>602</v>
      </c>
      <c r="J1090" s="69"/>
    </row>
    <row r="1091" spans="1:10" x14ac:dyDescent="0.3">
      <c r="A1091" s="84">
        <v>1090</v>
      </c>
      <c r="B1091" s="84" t="s">
        <v>1975</v>
      </c>
      <c r="C1091" s="84" t="s">
        <v>194</v>
      </c>
      <c r="D1091" s="115" t="s">
        <v>1976</v>
      </c>
      <c r="E1091" s="85" t="s">
        <v>1014</v>
      </c>
      <c r="F1091" s="85">
        <v>46022</v>
      </c>
      <c r="G1091" s="85" t="str">
        <f>TEXT(Table7[[#This Row],[EXPIRY DATE]],"MMM")</f>
        <v>Dec</v>
      </c>
      <c r="H1091" s="85" t="str">
        <f>TEXT(Table7[[#This Row],[EXPIRY DATE]],"YYY")</f>
        <v>2025</v>
      </c>
      <c r="I1091" s="84" t="s">
        <v>602</v>
      </c>
      <c r="J1091" s="69"/>
    </row>
    <row r="1092" spans="1:10" x14ac:dyDescent="0.3">
      <c r="A1092" s="84">
        <v>1091</v>
      </c>
      <c r="B1092" s="84" t="s">
        <v>1975</v>
      </c>
      <c r="C1092" s="84" t="s">
        <v>194</v>
      </c>
      <c r="D1092" s="115" t="s">
        <v>1976</v>
      </c>
      <c r="E1092" s="85" t="s">
        <v>1014</v>
      </c>
      <c r="F1092" s="85">
        <v>46022</v>
      </c>
      <c r="G1092" s="85" t="str">
        <f>TEXT(Table7[[#This Row],[EXPIRY DATE]],"MMM")</f>
        <v>Dec</v>
      </c>
      <c r="H1092" s="85" t="str">
        <f>TEXT(Table7[[#This Row],[EXPIRY DATE]],"YYY")</f>
        <v>2025</v>
      </c>
      <c r="I1092" s="84" t="s">
        <v>607</v>
      </c>
      <c r="J1092" s="69"/>
    </row>
    <row r="1093" spans="1:10" x14ac:dyDescent="0.3">
      <c r="A1093" s="84">
        <v>1092</v>
      </c>
      <c r="B1093" s="84" t="s">
        <v>1977</v>
      </c>
      <c r="C1093" s="84" t="s">
        <v>194</v>
      </c>
      <c r="D1093" s="115" t="s">
        <v>1978</v>
      </c>
      <c r="E1093" s="85" t="s">
        <v>1175</v>
      </c>
      <c r="F1093" s="85">
        <v>46022</v>
      </c>
      <c r="G1093" s="85" t="str">
        <f>TEXT(Table7[[#This Row],[EXPIRY DATE]],"MMM")</f>
        <v>Dec</v>
      </c>
      <c r="H1093" s="85" t="str">
        <f>TEXT(Table7[[#This Row],[EXPIRY DATE]],"YYY")</f>
        <v>2025</v>
      </c>
      <c r="I1093" s="84" t="s">
        <v>602</v>
      </c>
      <c r="J1093" s="69"/>
    </row>
    <row r="1094" spans="1:10" x14ac:dyDescent="0.3">
      <c r="A1094" s="84">
        <v>1093</v>
      </c>
      <c r="B1094" s="84" t="s">
        <v>1977</v>
      </c>
      <c r="C1094" s="84" t="s">
        <v>194</v>
      </c>
      <c r="D1094" s="115" t="s">
        <v>1978</v>
      </c>
      <c r="E1094" s="85" t="s">
        <v>1175</v>
      </c>
      <c r="F1094" s="85">
        <v>46022</v>
      </c>
      <c r="G1094" s="85" t="str">
        <f>TEXT(Table7[[#This Row],[EXPIRY DATE]],"MMM")</f>
        <v>Dec</v>
      </c>
      <c r="H1094" s="85" t="str">
        <f>TEXT(Table7[[#This Row],[EXPIRY DATE]],"YYY")</f>
        <v>2025</v>
      </c>
      <c r="I1094" s="84" t="s">
        <v>607</v>
      </c>
      <c r="J1094" s="69"/>
    </row>
    <row r="1095" spans="1:10" x14ac:dyDescent="0.3">
      <c r="A1095" s="84">
        <v>1094</v>
      </c>
      <c r="B1095" s="84" t="s">
        <v>1979</v>
      </c>
      <c r="C1095" s="84" t="s">
        <v>194</v>
      </c>
      <c r="D1095" s="115" t="s">
        <v>1980</v>
      </c>
      <c r="E1095" s="85" t="s">
        <v>605</v>
      </c>
      <c r="F1095" s="85">
        <v>46022</v>
      </c>
      <c r="G1095" s="85" t="str">
        <f>TEXT(Table7[[#This Row],[EXPIRY DATE]],"MMM")</f>
        <v>Dec</v>
      </c>
      <c r="H1095" s="85" t="str">
        <f>TEXT(Table7[[#This Row],[EXPIRY DATE]],"YYY")</f>
        <v>2025</v>
      </c>
      <c r="I1095" s="84" t="s">
        <v>602</v>
      </c>
      <c r="J1095" s="69"/>
    </row>
    <row r="1096" spans="1:10" x14ac:dyDescent="0.3">
      <c r="A1096" s="84">
        <v>1095</v>
      </c>
      <c r="B1096" s="84" t="s">
        <v>1981</v>
      </c>
      <c r="C1096" s="84" t="s">
        <v>194</v>
      </c>
      <c r="D1096" s="115" t="s">
        <v>1982</v>
      </c>
      <c r="E1096" s="85" t="s">
        <v>1014</v>
      </c>
      <c r="F1096" s="85">
        <v>46022</v>
      </c>
      <c r="G1096" s="85" t="str">
        <f>TEXT(Table7[[#This Row],[EXPIRY DATE]],"MMM")</f>
        <v>Dec</v>
      </c>
      <c r="H1096" s="85" t="str">
        <f>TEXT(Table7[[#This Row],[EXPIRY DATE]],"YYY")</f>
        <v>2025</v>
      </c>
      <c r="I1096" s="84" t="s">
        <v>602</v>
      </c>
      <c r="J1096" s="69"/>
    </row>
    <row r="1097" spans="1:10" x14ac:dyDescent="0.3">
      <c r="A1097" s="84">
        <v>1096</v>
      </c>
      <c r="B1097" s="84" t="s">
        <v>1981</v>
      </c>
      <c r="C1097" s="84" t="s">
        <v>194</v>
      </c>
      <c r="D1097" s="115" t="s">
        <v>1982</v>
      </c>
      <c r="E1097" s="85" t="s">
        <v>1014</v>
      </c>
      <c r="F1097" s="85">
        <v>46022</v>
      </c>
      <c r="G1097" s="85" t="str">
        <f>TEXT(Table7[[#This Row],[EXPIRY DATE]],"MMM")</f>
        <v>Dec</v>
      </c>
      <c r="H1097" s="85" t="str">
        <f>TEXT(Table7[[#This Row],[EXPIRY DATE]],"YYY")</f>
        <v>2025</v>
      </c>
      <c r="I1097" s="84" t="s">
        <v>607</v>
      </c>
      <c r="J1097" s="69"/>
    </row>
    <row r="1098" spans="1:10" x14ac:dyDescent="0.3">
      <c r="A1098" s="84">
        <v>1097</v>
      </c>
      <c r="B1098" s="84" t="s">
        <v>1102</v>
      </c>
      <c r="C1098" s="84" t="s">
        <v>194</v>
      </c>
      <c r="D1098" s="115" t="s">
        <v>1983</v>
      </c>
      <c r="E1098" s="85" t="s">
        <v>1014</v>
      </c>
      <c r="F1098" s="85">
        <v>46022</v>
      </c>
      <c r="G1098" s="85" t="str">
        <f>TEXT(Table7[[#This Row],[EXPIRY DATE]],"MMM")</f>
        <v>Dec</v>
      </c>
      <c r="H1098" s="85" t="str">
        <f>TEXT(Table7[[#This Row],[EXPIRY DATE]],"YYY")</f>
        <v>2025</v>
      </c>
      <c r="I1098" s="84" t="s">
        <v>602</v>
      </c>
      <c r="J1098" s="69"/>
    </row>
    <row r="1099" spans="1:10" x14ac:dyDescent="0.3">
      <c r="A1099" s="84">
        <v>1098</v>
      </c>
      <c r="B1099" s="84" t="s">
        <v>1102</v>
      </c>
      <c r="C1099" s="84" t="s">
        <v>194</v>
      </c>
      <c r="D1099" s="115" t="s">
        <v>1983</v>
      </c>
      <c r="E1099" s="85" t="s">
        <v>1014</v>
      </c>
      <c r="F1099" s="85">
        <v>46022</v>
      </c>
      <c r="G1099" s="85" t="str">
        <f>TEXT(Table7[[#This Row],[EXPIRY DATE]],"MMM")</f>
        <v>Dec</v>
      </c>
      <c r="H1099" s="85" t="str">
        <f>TEXT(Table7[[#This Row],[EXPIRY DATE]],"YYY")</f>
        <v>2025</v>
      </c>
      <c r="I1099" s="84" t="s">
        <v>607</v>
      </c>
      <c r="J1099" s="69"/>
    </row>
    <row r="1100" spans="1:10" ht="30.6" x14ac:dyDescent="0.3">
      <c r="A1100" s="84">
        <v>1099</v>
      </c>
      <c r="B1100" s="84" t="s">
        <v>1944</v>
      </c>
      <c r="C1100" s="84" t="s">
        <v>194</v>
      </c>
      <c r="D1100" s="115" t="s">
        <v>1984</v>
      </c>
      <c r="E1100" s="85" t="s">
        <v>1946</v>
      </c>
      <c r="F1100" s="85">
        <v>46022</v>
      </c>
      <c r="G1100" s="85" t="str">
        <f>TEXT(Table7[[#This Row],[EXPIRY DATE]],"MMM")</f>
        <v>Dec</v>
      </c>
      <c r="H1100" s="85" t="str">
        <f>TEXT(Table7[[#This Row],[EXPIRY DATE]],"YYY")</f>
        <v>2025</v>
      </c>
      <c r="I1100" s="84" t="s">
        <v>602</v>
      </c>
      <c r="J1100" s="69"/>
    </row>
    <row r="1101" spans="1:10" x14ac:dyDescent="0.3">
      <c r="A1101" s="84">
        <v>1100</v>
      </c>
      <c r="B1101" s="84" t="s">
        <v>910</v>
      </c>
      <c r="C1101" s="84" t="s">
        <v>194</v>
      </c>
      <c r="D1101" s="115" t="s">
        <v>1985</v>
      </c>
      <c r="E1101" s="85" t="s">
        <v>802</v>
      </c>
      <c r="F1101" s="85">
        <v>46022</v>
      </c>
      <c r="G1101" s="85" t="str">
        <f>TEXT(Table7[[#This Row],[EXPIRY DATE]],"MMM")</f>
        <v>Dec</v>
      </c>
      <c r="H1101" s="85" t="str">
        <f>TEXT(Table7[[#This Row],[EXPIRY DATE]],"YYY")</f>
        <v>2025</v>
      </c>
      <c r="I1101" s="84" t="s">
        <v>602</v>
      </c>
      <c r="J1101" s="69"/>
    </row>
    <row r="1102" spans="1:10" x14ac:dyDescent="0.3">
      <c r="A1102" s="84">
        <v>1101</v>
      </c>
      <c r="B1102" s="84" t="s">
        <v>910</v>
      </c>
      <c r="C1102" s="84" t="s">
        <v>194</v>
      </c>
      <c r="D1102" s="115" t="s">
        <v>1985</v>
      </c>
      <c r="E1102" s="85" t="s">
        <v>802</v>
      </c>
      <c r="F1102" s="85">
        <v>46022</v>
      </c>
      <c r="G1102" s="85" t="str">
        <f>TEXT(Table7[[#This Row],[EXPIRY DATE]],"MMM")</f>
        <v>Dec</v>
      </c>
      <c r="H1102" s="85" t="str">
        <f>TEXT(Table7[[#This Row],[EXPIRY DATE]],"YYY")</f>
        <v>2025</v>
      </c>
      <c r="I1102" s="84" t="s">
        <v>607</v>
      </c>
      <c r="J1102" s="69"/>
    </row>
    <row r="1103" spans="1:10" x14ac:dyDescent="0.3">
      <c r="A1103" s="84">
        <v>1102</v>
      </c>
      <c r="B1103" s="84" t="s">
        <v>1986</v>
      </c>
      <c r="C1103" s="84" t="s">
        <v>194</v>
      </c>
      <c r="D1103" s="115" t="s">
        <v>1987</v>
      </c>
      <c r="E1103" s="85" t="s">
        <v>601</v>
      </c>
      <c r="F1103" s="85">
        <v>46022</v>
      </c>
      <c r="G1103" s="85" t="str">
        <f>TEXT(Table7[[#This Row],[EXPIRY DATE]],"MMM")</f>
        <v>Dec</v>
      </c>
      <c r="H1103" s="85" t="str">
        <f>TEXT(Table7[[#This Row],[EXPIRY DATE]],"YYY")</f>
        <v>2025</v>
      </c>
      <c r="I1103" s="84" t="s">
        <v>602</v>
      </c>
      <c r="J1103" s="69"/>
    </row>
    <row r="1104" spans="1:10" x14ac:dyDescent="0.3">
      <c r="A1104" s="84">
        <v>1103</v>
      </c>
      <c r="B1104" s="84" t="s">
        <v>1988</v>
      </c>
      <c r="C1104" s="84" t="s">
        <v>194</v>
      </c>
      <c r="D1104" s="115" t="s">
        <v>1989</v>
      </c>
      <c r="E1104" s="85" t="s">
        <v>605</v>
      </c>
      <c r="F1104" s="85">
        <v>46022</v>
      </c>
      <c r="G1104" s="85" t="str">
        <f>TEXT(Table7[[#This Row],[EXPIRY DATE]],"MMM")</f>
        <v>Dec</v>
      </c>
      <c r="H1104" s="85" t="str">
        <f>TEXT(Table7[[#This Row],[EXPIRY DATE]],"YYY")</f>
        <v>2025</v>
      </c>
      <c r="I1104" s="84" t="s">
        <v>602</v>
      </c>
      <c r="J1104" s="69"/>
    </row>
    <row r="1105" spans="1:10" x14ac:dyDescent="0.3">
      <c r="A1105" s="84">
        <v>1104</v>
      </c>
      <c r="B1105" s="84" t="s">
        <v>1990</v>
      </c>
      <c r="C1105" s="84" t="s">
        <v>194</v>
      </c>
      <c r="D1105" s="115" t="s">
        <v>1991</v>
      </c>
      <c r="E1105" s="85" t="s">
        <v>601</v>
      </c>
      <c r="F1105" s="85">
        <v>46022</v>
      </c>
      <c r="G1105" s="85" t="str">
        <f>TEXT(Table7[[#This Row],[EXPIRY DATE]],"MMM")</f>
        <v>Dec</v>
      </c>
      <c r="H1105" s="85" t="str">
        <f>TEXT(Table7[[#This Row],[EXPIRY DATE]],"YYY")</f>
        <v>2025</v>
      </c>
      <c r="I1105" s="84" t="s">
        <v>602</v>
      </c>
      <c r="J1105" s="69"/>
    </row>
    <row r="1106" spans="1:10" x14ac:dyDescent="0.3">
      <c r="A1106" s="84">
        <v>1105</v>
      </c>
      <c r="B1106" s="84" t="s">
        <v>1073</v>
      </c>
      <c r="C1106" s="84" t="s">
        <v>194</v>
      </c>
      <c r="D1106" s="115" t="s">
        <v>1942</v>
      </c>
      <c r="E1106" s="85" t="s">
        <v>802</v>
      </c>
      <c r="F1106" s="85">
        <v>46022</v>
      </c>
      <c r="G1106" s="85" t="str">
        <f>TEXT(Table7[[#This Row],[EXPIRY DATE]],"MMM")</f>
        <v>Dec</v>
      </c>
      <c r="H1106" s="85" t="str">
        <f>TEXT(Table7[[#This Row],[EXPIRY DATE]],"YYY")</f>
        <v>2025</v>
      </c>
      <c r="I1106" s="84" t="s">
        <v>602</v>
      </c>
      <c r="J1106" s="69"/>
    </row>
    <row r="1107" spans="1:10" x14ac:dyDescent="0.3">
      <c r="A1107" s="84">
        <v>1106</v>
      </c>
      <c r="B1107" s="84" t="s">
        <v>1073</v>
      </c>
      <c r="C1107" s="84" t="s">
        <v>194</v>
      </c>
      <c r="D1107" s="115" t="s">
        <v>1942</v>
      </c>
      <c r="E1107" s="85" t="s">
        <v>802</v>
      </c>
      <c r="F1107" s="85">
        <v>46022</v>
      </c>
      <c r="G1107" s="85" t="str">
        <f>TEXT(Table7[[#This Row],[EXPIRY DATE]],"MMM")</f>
        <v>Dec</v>
      </c>
      <c r="H1107" s="85" t="str">
        <f>TEXT(Table7[[#This Row],[EXPIRY DATE]],"YYY")</f>
        <v>2025</v>
      </c>
      <c r="I1107" s="84" t="s">
        <v>607</v>
      </c>
      <c r="J1107" s="69"/>
    </row>
    <row r="1108" spans="1:10" x14ac:dyDescent="0.3">
      <c r="A1108" s="84">
        <v>1107</v>
      </c>
      <c r="B1108" s="84" t="s">
        <v>1992</v>
      </c>
      <c r="C1108" s="84" t="s">
        <v>194</v>
      </c>
      <c r="D1108" s="115" t="s">
        <v>1993</v>
      </c>
      <c r="E1108" s="85" t="s">
        <v>605</v>
      </c>
      <c r="F1108" s="85">
        <v>46022</v>
      </c>
      <c r="G1108" s="85" t="str">
        <f>TEXT(Table7[[#This Row],[EXPIRY DATE]],"MMM")</f>
        <v>Dec</v>
      </c>
      <c r="H1108" s="85" t="str">
        <f>TEXT(Table7[[#This Row],[EXPIRY DATE]],"YYY")</f>
        <v>2025</v>
      </c>
      <c r="I1108" s="84" t="s">
        <v>602</v>
      </c>
      <c r="J1108" s="69"/>
    </row>
    <row r="1109" spans="1:10" x14ac:dyDescent="0.3">
      <c r="A1109" s="84">
        <v>1108</v>
      </c>
      <c r="B1109" s="84" t="s">
        <v>1994</v>
      </c>
      <c r="C1109" s="84" t="s">
        <v>194</v>
      </c>
      <c r="D1109" s="115" t="s">
        <v>1995</v>
      </c>
      <c r="E1109" s="85" t="s">
        <v>601</v>
      </c>
      <c r="F1109" s="85">
        <v>46022</v>
      </c>
      <c r="G1109" s="85" t="str">
        <f>TEXT(Table7[[#This Row],[EXPIRY DATE]],"MMM")</f>
        <v>Dec</v>
      </c>
      <c r="H1109" s="85" t="str">
        <f>TEXT(Table7[[#This Row],[EXPIRY DATE]],"YYY")</f>
        <v>2025</v>
      </c>
      <c r="I1109" s="84" t="s">
        <v>602</v>
      </c>
      <c r="J1109" s="69"/>
    </row>
    <row r="1110" spans="1:10" x14ac:dyDescent="0.3">
      <c r="A1110" s="84">
        <v>1109</v>
      </c>
      <c r="B1110" s="84" t="s">
        <v>1996</v>
      </c>
      <c r="C1110" s="84" t="s">
        <v>194</v>
      </c>
      <c r="D1110" s="115" t="s">
        <v>1997</v>
      </c>
      <c r="E1110" s="85" t="s">
        <v>802</v>
      </c>
      <c r="F1110" s="85">
        <v>46022</v>
      </c>
      <c r="G1110" s="85" t="str">
        <f>TEXT(Table7[[#This Row],[EXPIRY DATE]],"MMM")</f>
        <v>Dec</v>
      </c>
      <c r="H1110" s="85" t="str">
        <f>TEXT(Table7[[#This Row],[EXPIRY DATE]],"YYY")</f>
        <v>2025</v>
      </c>
      <c r="I1110" s="84" t="s">
        <v>602</v>
      </c>
      <c r="J1110" s="69"/>
    </row>
    <row r="1111" spans="1:10" x14ac:dyDescent="0.3">
      <c r="A1111" s="84">
        <v>1110</v>
      </c>
      <c r="B1111" s="84" t="s">
        <v>1996</v>
      </c>
      <c r="C1111" s="84" t="s">
        <v>194</v>
      </c>
      <c r="D1111" s="115" t="s">
        <v>1997</v>
      </c>
      <c r="E1111" s="85" t="s">
        <v>802</v>
      </c>
      <c r="F1111" s="85">
        <v>46022</v>
      </c>
      <c r="G1111" s="85" t="str">
        <f>TEXT(Table7[[#This Row],[EXPIRY DATE]],"MMM")</f>
        <v>Dec</v>
      </c>
      <c r="H1111" s="85" t="str">
        <f>TEXT(Table7[[#This Row],[EXPIRY DATE]],"YYY")</f>
        <v>2025</v>
      </c>
      <c r="I1111" s="84" t="s">
        <v>607</v>
      </c>
      <c r="J1111" s="69"/>
    </row>
    <row r="1112" spans="1:10" x14ac:dyDescent="0.3">
      <c r="A1112" s="84">
        <v>1111</v>
      </c>
      <c r="B1112" s="84" t="s">
        <v>1998</v>
      </c>
      <c r="C1112" s="84" t="s">
        <v>194</v>
      </c>
      <c r="D1112" s="115" t="s">
        <v>1999</v>
      </c>
      <c r="E1112" s="85" t="s">
        <v>717</v>
      </c>
      <c r="F1112" s="85">
        <v>46064</v>
      </c>
      <c r="G1112" s="85" t="s">
        <v>887</v>
      </c>
      <c r="H1112" s="85" t="str">
        <f>TEXT(Table7[[#This Row],[EXPIRY DATE]],"YYY")</f>
        <v>2026</v>
      </c>
      <c r="I1112" s="84" t="s">
        <v>791</v>
      </c>
      <c r="J1112" s="69"/>
    </row>
    <row r="1113" spans="1:10" ht="20.399999999999999" x14ac:dyDescent="0.3">
      <c r="A1113" s="84">
        <v>1112</v>
      </c>
      <c r="B1113" s="84" t="s">
        <v>2000</v>
      </c>
      <c r="C1113" s="84" t="s">
        <v>194</v>
      </c>
      <c r="D1113" s="115" t="s">
        <v>2001</v>
      </c>
      <c r="E1113" s="85" t="s">
        <v>616</v>
      </c>
      <c r="F1113" s="85">
        <v>46105</v>
      </c>
      <c r="G1113" s="85" t="s">
        <v>625</v>
      </c>
      <c r="H1113" s="85" t="str">
        <f>TEXT(Table7[[#This Row],[EXPIRY DATE]],"YYY")</f>
        <v>2026</v>
      </c>
      <c r="I1113" s="84" t="s">
        <v>791</v>
      </c>
      <c r="J1113" s="69"/>
    </row>
    <row r="1114" spans="1:10" x14ac:dyDescent="0.3">
      <c r="A1114" s="84">
        <v>1113</v>
      </c>
      <c r="B1114" s="84" t="s">
        <v>229</v>
      </c>
      <c r="C1114" s="84" t="s">
        <v>194</v>
      </c>
      <c r="D1114" s="115" t="s">
        <v>1954</v>
      </c>
      <c r="E1114" s="85" t="s">
        <v>601</v>
      </c>
      <c r="F1114" s="85">
        <v>46112</v>
      </c>
      <c r="G1114" s="85" t="str">
        <f>TEXT(Table7[[#This Row],[EXPIRY DATE]],"MMM")</f>
        <v>Mar</v>
      </c>
      <c r="H1114" s="85" t="str">
        <f>TEXT(Table7[[#This Row],[EXPIRY DATE]],"YYY")</f>
        <v>2026</v>
      </c>
      <c r="I1114" s="84" t="s">
        <v>839</v>
      </c>
      <c r="J1114" s="69"/>
    </row>
    <row r="1115" spans="1:10" x14ac:dyDescent="0.3">
      <c r="A1115" s="84">
        <v>1114</v>
      </c>
      <c r="B1115" s="84" t="s">
        <v>2002</v>
      </c>
      <c r="C1115" s="84" t="s">
        <v>194</v>
      </c>
      <c r="D1115" s="115" t="s">
        <v>2003</v>
      </c>
      <c r="E1115" s="85" t="s">
        <v>605</v>
      </c>
      <c r="F1115" s="85">
        <v>46112</v>
      </c>
      <c r="G1115" s="85" t="str">
        <f>TEXT(Table7[[#This Row],[EXPIRY DATE]],"MMM")</f>
        <v>Mar</v>
      </c>
      <c r="H1115" s="85" t="str">
        <f>TEXT(Table7[[#This Row],[EXPIRY DATE]],"YYY")</f>
        <v>2026</v>
      </c>
      <c r="I1115" s="84" t="s">
        <v>607</v>
      </c>
      <c r="J1115" s="69"/>
    </row>
    <row r="1116" spans="1:10" x14ac:dyDescent="0.3">
      <c r="A1116" s="84">
        <v>1115</v>
      </c>
      <c r="B1116" s="84" t="s">
        <v>1955</v>
      </c>
      <c r="C1116" s="84" t="s">
        <v>194</v>
      </c>
      <c r="D1116" s="115" t="s">
        <v>1956</v>
      </c>
      <c r="E1116" s="85" t="s">
        <v>601</v>
      </c>
      <c r="F1116" s="85">
        <v>46112</v>
      </c>
      <c r="G1116" s="85" t="str">
        <f>TEXT(Table7[[#This Row],[EXPIRY DATE]],"MMM")</f>
        <v>Mar</v>
      </c>
      <c r="H1116" s="85" t="str">
        <f>TEXT(Table7[[#This Row],[EXPIRY DATE]],"YYY")</f>
        <v>2026</v>
      </c>
      <c r="I1116" s="84" t="s">
        <v>839</v>
      </c>
      <c r="J1116" s="69"/>
    </row>
    <row r="1117" spans="1:10" x14ac:dyDescent="0.3">
      <c r="A1117" s="84">
        <v>1116</v>
      </c>
      <c r="B1117" s="84" t="s">
        <v>2004</v>
      </c>
      <c r="C1117" s="84" t="s">
        <v>194</v>
      </c>
      <c r="D1117" s="115" t="s">
        <v>2005</v>
      </c>
      <c r="E1117" s="85" t="s">
        <v>605</v>
      </c>
      <c r="F1117" s="85">
        <v>46112</v>
      </c>
      <c r="G1117" s="85" t="str">
        <f>TEXT(Table7[[#This Row],[EXPIRY DATE]],"MMM")</f>
        <v>Mar</v>
      </c>
      <c r="H1117" s="85" t="str">
        <f>TEXT(Table7[[#This Row],[EXPIRY DATE]],"YYY")</f>
        <v>2026</v>
      </c>
      <c r="I1117" s="84" t="s">
        <v>607</v>
      </c>
      <c r="J1117" s="69"/>
    </row>
    <row r="1118" spans="1:10" ht="20.399999999999999" x14ac:dyDescent="0.3">
      <c r="A1118" s="84">
        <v>1117</v>
      </c>
      <c r="B1118" s="84" t="s">
        <v>2006</v>
      </c>
      <c r="C1118" s="84" t="s">
        <v>194</v>
      </c>
      <c r="D1118" s="115" t="s">
        <v>2007</v>
      </c>
      <c r="E1118" s="85" t="s">
        <v>605</v>
      </c>
      <c r="F1118" s="85">
        <v>46112</v>
      </c>
      <c r="G1118" s="85" t="str">
        <f>TEXT(Table7[[#This Row],[EXPIRY DATE]],"MMM")</f>
        <v>Mar</v>
      </c>
      <c r="H1118" s="85" t="str">
        <f>TEXT(Table7[[#This Row],[EXPIRY DATE]],"YYY")</f>
        <v>2026</v>
      </c>
      <c r="I1118" s="84" t="s">
        <v>607</v>
      </c>
      <c r="J1118" s="69"/>
    </row>
    <row r="1119" spans="1:10" x14ac:dyDescent="0.3">
      <c r="A1119" s="84">
        <v>1118</v>
      </c>
      <c r="B1119" s="84" t="s">
        <v>2008</v>
      </c>
      <c r="C1119" s="84" t="s">
        <v>194</v>
      </c>
      <c r="D1119" s="115" t="s">
        <v>2009</v>
      </c>
      <c r="E1119" s="85" t="s">
        <v>605</v>
      </c>
      <c r="F1119" s="85">
        <v>46112</v>
      </c>
      <c r="G1119" s="85" t="s">
        <v>606</v>
      </c>
      <c r="H1119" s="85" t="str">
        <f>TEXT(Table7[[#This Row],[EXPIRY DATE]],"YYY")</f>
        <v>2026</v>
      </c>
      <c r="I1119" s="84" t="s">
        <v>607</v>
      </c>
      <c r="J1119" s="69"/>
    </row>
    <row r="1120" spans="1:10" x14ac:dyDescent="0.3">
      <c r="A1120" s="84">
        <v>1119</v>
      </c>
      <c r="B1120" s="84" t="s">
        <v>1957</v>
      </c>
      <c r="C1120" s="84" t="s">
        <v>194</v>
      </c>
      <c r="D1120" s="115" t="s">
        <v>1958</v>
      </c>
      <c r="E1120" s="85" t="s">
        <v>601</v>
      </c>
      <c r="F1120" s="85">
        <v>46112</v>
      </c>
      <c r="G1120" s="85" t="str">
        <f>TEXT(Table7[[#This Row],[EXPIRY DATE]],"MMM")</f>
        <v>Mar</v>
      </c>
      <c r="H1120" s="85" t="str">
        <f>TEXT(Table7[[#This Row],[EXPIRY DATE]],"YYY")</f>
        <v>2026</v>
      </c>
      <c r="I1120" s="84" t="s">
        <v>839</v>
      </c>
      <c r="J1120" s="69"/>
    </row>
    <row r="1121" spans="1:10" x14ac:dyDescent="0.3">
      <c r="A1121" s="84">
        <v>1120</v>
      </c>
      <c r="B1121" s="84" t="s">
        <v>2010</v>
      </c>
      <c r="C1121" s="84" t="s">
        <v>194</v>
      </c>
      <c r="D1121" s="115" t="s">
        <v>2011</v>
      </c>
      <c r="E1121" s="85" t="s">
        <v>633</v>
      </c>
      <c r="F1121" s="85">
        <v>46112</v>
      </c>
      <c r="G1121" s="85" t="str">
        <f>TEXT(Table7[[#This Row],[EXPIRY DATE]],"MMM")</f>
        <v>Mar</v>
      </c>
      <c r="H1121" s="85" t="str">
        <f>TEXT(Table7[[#This Row],[EXPIRY DATE]],"YYY")</f>
        <v>2026</v>
      </c>
      <c r="I1121" s="84" t="s">
        <v>602</v>
      </c>
      <c r="J1121" s="69"/>
    </row>
    <row r="1122" spans="1:10" x14ac:dyDescent="0.3">
      <c r="A1122" s="84">
        <v>1121</v>
      </c>
      <c r="B1122" s="84" t="s">
        <v>2010</v>
      </c>
      <c r="C1122" s="84" t="s">
        <v>194</v>
      </c>
      <c r="D1122" s="115" t="s">
        <v>2011</v>
      </c>
      <c r="E1122" s="85" t="s">
        <v>633</v>
      </c>
      <c r="F1122" s="85">
        <v>46112</v>
      </c>
      <c r="G1122" s="85" t="str">
        <f>TEXT(Table7[[#This Row],[EXPIRY DATE]],"MMM")</f>
        <v>Mar</v>
      </c>
      <c r="H1122" s="85" t="str">
        <f>TEXT(Table7[[#This Row],[EXPIRY DATE]],"YYY")</f>
        <v>2026</v>
      </c>
      <c r="I1122" s="84" t="s">
        <v>607</v>
      </c>
      <c r="J1122" s="69"/>
    </row>
    <row r="1123" spans="1:10" x14ac:dyDescent="0.3">
      <c r="A1123" s="84">
        <v>1122</v>
      </c>
      <c r="B1123" s="84" t="s">
        <v>1949</v>
      </c>
      <c r="C1123" s="84" t="s">
        <v>194</v>
      </c>
      <c r="D1123" s="115" t="s">
        <v>1950</v>
      </c>
      <c r="E1123" s="85" t="s">
        <v>1014</v>
      </c>
      <c r="F1123" s="85">
        <v>46112</v>
      </c>
      <c r="G1123" s="85" t="str">
        <f>TEXT(Table7[[#This Row],[EXPIRY DATE]],"MMM")</f>
        <v>Mar</v>
      </c>
      <c r="H1123" s="85" t="str">
        <f>TEXT(Table7[[#This Row],[EXPIRY DATE]],"YYY")</f>
        <v>2026</v>
      </c>
      <c r="I1123" s="84" t="s">
        <v>621</v>
      </c>
      <c r="J1123" s="69"/>
    </row>
    <row r="1124" spans="1:10" ht="20.399999999999999" x14ac:dyDescent="0.3">
      <c r="A1124" s="84">
        <v>1123</v>
      </c>
      <c r="B1124" s="84" t="s">
        <v>1961</v>
      </c>
      <c r="C1124" s="84" t="s">
        <v>194</v>
      </c>
      <c r="D1124" s="115" t="s">
        <v>1962</v>
      </c>
      <c r="E1124" s="85" t="s">
        <v>601</v>
      </c>
      <c r="F1124" s="85">
        <v>46112</v>
      </c>
      <c r="G1124" s="85" t="str">
        <f>TEXT(Table7[[#This Row],[EXPIRY DATE]],"MMM")</f>
        <v>Mar</v>
      </c>
      <c r="H1124" s="85" t="str">
        <f>TEXT(Table7[[#This Row],[EXPIRY DATE]],"YYY")</f>
        <v>2026</v>
      </c>
      <c r="I1124" s="84" t="s">
        <v>839</v>
      </c>
      <c r="J1124" s="69"/>
    </row>
    <row r="1125" spans="1:10" x14ac:dyDescent="0.3">
      <c r="A1125" s="84">
        <v>1124</v>
      </c>
      <c r="B1125" s="84" t="s">
        <v>2012</v>
      </c>
      <c r="C1125" s="84" t="s">
        <v>194</v>
      </c>
      <c r="D1125" s="116" t="s">
        <v>2013</v>
      </c>
      <c r="E1125" s="85" t="s">
        <v>605</v>
      </c>
      <c r="F1125" s="85">
        <v>46112</v>
      </c>
      <c r="G1125" s="85" t="str">
        <f>TEXT(Table7[[#This Row],[EXPIRY DATE]],"MMM")</f>
        <v>Mar</v>
      </c>
      <c r="H1125" s="85" t="str">
        <f>TEXT(Table7[[#This Row],[EXPIRY DATE]],"YYY")</f>
        <v>2026</v>
      </c>
      <c r="I1125" s="84" t="s">
        <v>607</v>
      </c>
      <c r="J1125" s="69"/>
    </row>
    <row r="1126" spans="1:10" x14ac:dyDescent="0.3">
      <c r="A1126" s="84">
        <v>1125</v>
      </c>
      <c r="B1126" s="84" t="s">
        <v>1965</v>
      </c>
      <c r="C1126" s="84" t="s">
        <v>194</v>
      </c>
      <c r="D1126" s="115" t="s">
        <v>1966</v>
      </c>
      <c r="E1126" s="85" t="s">
        <v>1014</v>
      </c>
      <c r="F1126" s="85">
        <v>46112</v>
      </c>
      <c r="G1126" s="85" t="s">
        <v>897</v>
      </c>
      <c r="H1126" s="85" t="str">
        <f>TEXT(Table7[[#This Row],[EXPIRY DATE]],"YYY")</f>
        <v>2026</v>
      </c>
      <c r="I1126" s="84" t="s">
        <v>621</v>
      </c>
      <c r="J1126" s="69"/>
    </row>
    <row r="1127" spans="1:10" x14ac:dyDescent="0.3">
      <c r="A1127" s="84">
        <v>1126</v>
      </c>
      <c r="B1127" s="84" t="s">
        <v>1967</v>
      </c>
      <c r="C1127" s="84" t="s">
        <v>194</v>
      </c>
      <c r="D1127" s="115" t="s">
        <v>1968</v>
      </c>
      <c r="E1127" s="85" t="s">
        <v>802</v>
      </c>
      <c r="F1127" s="85">
        <v>46112</v>
      </c>
      <c r="G1127" s="85" t="s">
        <v>606</v>
      </c>
      <c r="H1127" s="85" t="str">
        <f>TEXT(Table7[[#This Row],[EXPIRY DATE]],"YYY")</f>
        <v>2026</v>
      </c>
      <c r="I1127" s="84" t="s">
        <v>607</v>
      </c>
      <c r="J1127" s="69"/>
    </row>
    <row r="1128" spans="1:10" x14ac:dyDescent="0.3">
      <c r="A1128" s="84">
        <v>1127</v>
      </c>
      <c r="B1128" s="84" t="s">
        <v>1967</v>
      </c>
      <c r="C1128" s="84" t="s">
        <v>194</v>
      </c>
      <c r="D1128" s="115" t="s">
        <v>1968</v>
      </c>
      <c r="E1128" s="85" t="s">
        <v>802</v>
      </c>
      <c r="F1128" s="85">
        <v>46112</v>
      </c>
      <c r="G1128" s="85" t="s">
        <v>606</v>
      </c>
      <c r="H1128" s="85" t="str">
        <f>TEXT(Table7[[#This Row],[EXPIRY DATE]],"YYY")</f>
        <v>2026</v>
      </c>
      <c r="I1128" s="84" t="s">
        <v>621</v>
      </c>
      <c r="J1128" s="69"/>
    </row>
    <row r="1129" spans="1:10" x14ac:dyDescent="0.3">
      <c r="A1129" s="84">
        <v>1128</v>
      </c>
      <c r="B1129" s="84" t="s">
        <v>1973</v>
      </c>
      <c r="C1129" s="84" t="s">
        <v>194</v>
      </c>
      <c r="D1129" s="115" t="s">
        <v>1974</v>
      </c>
      <c r="E1129" s="85" t="s">
        <v>605</v>
      </c>
      <c r="F1129" s="85">
        <v>46112</v>
      </c>
      <c r="G1129" s="85" t="str">
        <f>TEXT(Table7[[#This Row],[EXPIRY DATE]],"MMM")</f>
        <v>Mar</v>
      </c>
      <c r="H1129" s="85" t="str">
        <f>TEXT(Table7[[#This Row],[EXPIRY DATE]],"YYY")</f>
        <v>2026</v>
      </c>
      <c r="I1129" s="84" t="s">
        <v>607</v>
      </c>
      <c r="J1129" s="69"/>
    </row>
    <row r="1130" spans="1:10" x14ac:dyDescent="0.3">
      <c r="A1130" s="84">
        <v>1129</v>
      </c>
      <c r="B1130" s="84" t="s">
        <v>1975</v>
      </c>
      <c r="C1130" s="84" t="s">
        <v>194</v>
      </c>
      <c r="D1130" s="115" t="s">
        <v>1976</v>
      </c>
      <c r="E1130" s="85" t="s">
        <v>1014</v>
      </c>
      <c r="F1130" s="85">
        <v>46112</v>
      </c>
      <c r="G1130" s="85" t="str">
        <f>TEXT(Table7[[#This Row],[EXPIRY DATE]],"MMM")</f>
        <v>Mar</v>
      </c>
      <c r="H1130" s="85" t="str">
        <f>TEXT(Table7[[#This Row],[EXPIRY DATE]],"YYY")</f>
        <v>2026</v>
      </c>
      <c r="I1130" s="84" t="s">
        <v>621</v>
      </c>
      <c r="J1130" s="69"/>
    </row>
    <row r="1131" spans="1:10" x14ac:dyDescent="0.3">
      <c r="A1131" s="84">
        <v>1130</v>
      </c>
      <c r="B1131" s="84" t="s">
        <v>219</v>
      </c>
      <c r="C1131" s="84" t="s">
        <v>194</v>
      </c>
      <c r="D1131" s="115" t="s">
        <v>2014</v>
      </c>
      <c r="E1131" s="85" t="s">
        <v>605</v>
      </c>
      <c r="F1131" s="85">
        <v>46112</v>
      </c>
      <c r="G1131" s="85" t="str">
        <f>TEXT(Table7[[#This Row],[EXPIRY DATE]],"MMM")</f>
        <v>Mar</v>
      </c>
      <c r="H1131" s="85" t="str">
        <f>TEXT(Table7[[#This Row],[EXPIRY DATE]],"YYY")</f>
        <v>2026</v>
      </c>
      <c r="I1131" s="84" t="s">
        <v>607</v>
      </c>
      <c r="J1131" s="69"/>
    </row>
    <row r="1132" spans="1:10" x14ac:dyDescent="0.3">
      <c r="A1132" s="84">
        <v>1131</v>
      </c>
      <c r="B1132" s="84" t="s">
        <v>2015</v>
      </c>
      <c r="C1132" s="84" t="s">
        <v>194</v>
      </c>
      <c r="D1132" s="115" t="s">
        <v>2016</v>
      </c>
      <c r="E1132" s="85" t="s">
        <v>605</v>
      </c>
      <c r="F1132" s="85">
        <v>46112</v>
      </c>
      <c r="G1132" s="85" t="str">
        <f>TEXT(Table7[[#This Row],[EXPIRY DATE]],"MMM")</f>
        <v>Mar</v>
      </c>
      <c r="H1132" s="85" t="str">
        <f>TEXT(Table7[[#This Row],[EXPIRY DATE]],"YYY")</f>
        <v>2026</v>
      </c>
      <c r="I1132" s="84" t="s">
        <v>607</v>
      </c>
      <c r="J1132" s="69"/>
    </row>
    <row r="1133" spans="1:10" x14ac:dyDescent="0.3">
      <c r="A1133" s="84">
        <v>1132</v>
      </c>
      <c r="B1133" s="84" t="s">
        <v>917</v>
      </c>
      <c r="C1133" s="84" t="s">
        <v>194</v>
      </c>
      <c r="D1133" s="115" t="s">
        <v>2017</v>
      </c>
      <c r="E1133" s="85" t="s">
        <v>605</v>
      </c>
      <c r="F1133" s="85">
        <v>46112</v>
      </c>
      <c r="G1133" s="85" t="str">
        <f>TEXT(Table7[[#This Row],[EXPIRY DATE]],"MMM")</f>
        <v>Mar</v>
      </c>
      <c r="H1133" s="85" t="str">
        <f>TEXT(Table7[[#This Row],[EXPIRY DATE]],"YYY")</f>
        <v>2026</v>
      </c>
      <c r="I1133" s="84" t="s">
        <v>607</v>
      </c>
      <c r="J1133" s="69"/>
    </row>
    <row r="1134" spans="1:10" x14ac:dyDescent="0.3">
      <c r="A1134" s="84">
        <v>1133</v>
      </c>
      <c r="B1134" s="84" t="s">
        <v>1979</v>
      </c>
      <c r="C1134" s="84" t="s">
        <v>194</v>
      </c>
      <c r="D1134" s="115" t="s">
        <v>1980</v>
      </c>
      <c r="E1134" s="85" t="s">
        <v>605</v>
      </c>
      <c r="F1134" s="85">
        <v>46112</v>
      </c>
      <c r="G1134" s="85" t="str">
        <f>TEXT(Table7[[#This Row],[EXPIRY DATE]],"MMM")</f>
        <v>Mar</v>
      </c>
      <c r="H1134" s="85" t="str">
        <f>TEXT(Table7[[#This Row],[EXPIRY DATE]],"YYY")</f>
        <v>2026</v>
      </c>
      <c r="I1134" s="84" t="s">
        <v>607</v>
      </c>
      <c r="J1134" s="69"/>
    </row>
    <row r="1135" spans="1:10" x14ac:dyDescent="0.3">
      <c r="A1135" s="84">
        <v>1134</v>
      </c>
      <c r="B1135" s="84" t="s">
        <v>1981</v>
      </c>
      <c r="C1135" s="84" t="s">
        <v>194</v>
      </c>
      <c r="D1135" s="115" t="s">
        <v>1982</v>
      </c>
      <c r="E1135" s="85" t="s">
        <v>1014</v>
      </c>
      <c r="F1135" s="85">
        <v>46112</v>
      </c>
      <c r="G1135" s="85" t="str">
        <f>TEXT(Table7[[#This Row],[EXPIRY DATE]],"MMM")</f>
        <v>Mar</v>
      </c>
      <c r="H1135" s="85" t="str">
        <f>TEXT(Table7[[#This Row],[EXPIRY DATE]],"YYY")</f>
        <v>2026</v>
      </c>
      <c r="I1135" s="84" t="s">
        <v>621</v>
      </c>
      <c r="J1135" s="69"/>
    </row>
    <row r="1136" spans="1:10" x14ac:dyDescent="0.3">
      <c r="A1136" s="84">
        <v>1135</v>
      </c>
      <c r="B1136" s="84" t="s">
        <v>1102</v>
      </c>
      <c r="C1136" s="84" t="s">
        <v>194</v>
      </c>
      <c r="D1136" s="115" t="s">
        <v>1983</v>
      </c>
      <c r="E1136" s="85" t="s">
        <v>1014</v>
      </c>
      <c r="F1136" s="85">
        <v>46112</v>
      </c>
      <c r="G1136" s="85" t="str">
        <f>TEXT(Table7[[#This Row],[EXPIRY DATE]],"MMM")</f>
        <v>Mar</v>
      </c>
      <c r="H1136" s="85" t="str">
        <f>TEXT(Table7[[#This Row],[EXPIRY DATE]],"YYY")</f>
        <v>2026</v>
      </c>
      <c r="I1136" s="84" t="s">
        <v>621</v>
      </c>
      <c r="J1136" s="69"/>
    </row>
    <row r="1137" spans="1:10" x14ac:dyDescent="0.3">
      <c r="A1137" s="84">
        <v>1136</v>
      </c>
      <c r="B1137" s="84" t="s">
        <v>2018</v>
      </c>
      <c r="C1137" s="84" t="s">
        <v>194</v>
      </c>
      <c r="D1137" s="116" t="s">
        <v>2019</v>
      </c>
      <c r="E1137" s="85" t="s">
        <v>605</v>
      </c>
      <c r="F1137" s="85">
        <v>46112</v>
      </c>
      <c r="G1137" s="85" t="str">
        <f>TEXT(Table7[[#This Row],[EXPIRY DATE]],"MMM")</f>
        <v>Mar</v>
      </c>
      <c r="H1137" s="85" t="str">
        <f>TEXT(Table7[[#This Row],[EXPIRY DATE]],"YYY")</f>
        <v>2026</v>
      </c>
      <c r="I1137" s="84" t="s">
        <v>607</v>
      </c>
      <c r="J1137" s="69"/>
    </row>
    <row r="1138" spans="1:10" x14ac:dyDescent="0.3">
      <c r="A1138" s="84">
        <v>1137</v>
      </c>
      <c r="B1138" s="84" t="s">
        <v>1986</v>
      </c>
      <c r="C1138" s="84" t="s">
        <v>194</v>
      </c>
      <c r="D1138" s="115" t="s">
        <v>1987</v>
      </c>
      <c r="E1138" s="85" t="s">
        <v>601</v>
      </c>
      <c r="F1138" s="85">
        <v>46112</v>
      </c>
      <c r="G1138" s="85" t="str">
        <f>TEXT(Table7[[#This Row],[EXPIRY DATE]],"MMM")</f>
        <v>Mar</v>
      </c>
      <c r="H1138" s="85" t="str">
        <f>TEXT(Table7[[#This Row],[EXPIRY DATE]],"YYY")</f>
        <v>2026</v>
      </c>
      <c r="I1138" s="84" t="s">
        <v>839</v>
      </c>
      <c r="J1138" s="69"/>
    </row>
    <row r="1139" spans="1:10" x14ac:dyDescent="0.3">
      <c r="A1139" s="84">
        <v>1138</v>
      </c>
      <c r="B1139" s="84" t="s">
        <v>2020</v>
      </c>
      <c r="C1139" s="84" t="s">
        <v>194</v>
      </c>
      <c r="D1139" s="115" t="s">
        <v>2021</v>
      </c>
      <c r="E1139" s="85" t="s">
        <v>605</v>
      </c>
      <c r="F1139" s="85">
        <v>46112</v>
      </c>
      <c r="G1139" s="85" t="str">
        <f>TEXT(Table7[[#This Row],[EXPIRY DATE]],"MMM")</f>
        <v>Mar</v>
      </c>
      <c r="H1139" s="85" t="str">
        <f>TEXT(Table7[[#This Row],[EXPIRY DATE]],"YYY")</f>
        <v>2026</v>
      </c>
      <c r="I1139" s="84" t="s">
        <v>607</v>
      </c>
      <c r="J1139" s="69"/>
    </row>
    <row r="1140" spans="1:10" x14ac:dyDescent="0.3">
      <c r="A1140" s="84">
        <v>1139</v>
      </c>
      <c r="B1140" s="84" t="s">
        <v>1988</v>
      </c>
      <c r="C1140" s="84" t="s">
        <v>194</v>
      </c>
      <c r="D1140" s="115" t="s">
        <v>1989</v>
      </c>
      <c r="E1140" s="85" t="s">
        <v>605</v>
      </c>
      <c r="F1140" s="85">
        <v>46112</v>
      </c>
      <c r="G1140" s="85" t="str">
        <f>TEXT(Table7[[#This Row],[EXPIRY DATE]],"MMM")</f>
        <v>Mar</v>
      </c>
      <c r="H1140" s="85" t="str">
        <f>TEXT(Table7[[#This Row],[EXPIRY DATE]],"YYY")</f>
        <v>2026</v>
      </c>
      <c r="I1140" s="84" t="s">
        <v>607</v>
      </c>
      <c r="J1140" s="69"/>
    </row>
    <row r="1141" spans="1:10" x14ac:dyDescent="0.3">
      <c r="A1141" s="84">
        <v>1140</v>
      </c>
      <c r="B1141" s="84" t="s">
        <v>1990</v>
      </c>
      <c r="C1141" s="84" t="s">
        <v>194</v>
      </c>
      <c r="D1141" s="115" t="s">
        <v>1991</v>
      </c>
      <c r="E1141" s="85" t="s">
        <v>601</v>
      </c>
      <c r="F1141" s="85">
        <v>46112</v>
      </c>
      <c r="G1141" s="85" t="str">
        <f>TEXT(Table7[[#This Row],[EXPIRY DATE]],"MMM")</f>
        <v>Mar</v>
      </c>
      <c r="H1141" s="85" t="str">
        <f>TEXT(Table7[[#This Row],[EXPIRY DATE]],"YYY")</f>
        <v>2026</v>
      </c>
      <c r="I1141" s="84" t="s">
        <v>839</v>
      </c>
      <c r="J1141" s="69"/>
    </row>
    <row r="1142" spans="1:10" x14ac:dyDescent="0.3">
      <c r="A1142" s="84">
        <v>1141</v>
      </c>
      <c r="B1142" s="84" t="s">
        <v>2022</v>
      </c>
      <c r="C1142" s="84" t="s">
        <v>194</v>
      </c>
      <c r="D1142" s="115" t="s">
        <v>2023</v>
      </c>
      <c r="E1142" s="85" t="s">
        <v>590</v>
      </c>
      <c r="F1142" s="85">
        <v>46112</v>
      </c>
      <c r="G1142" s="85" t="s">
        <v>861</v>
      </c>
      <c r="H1142" s="85" t="str">
        <f>TEXT(Table7[[#This Row],[EXPIRY DATE]],"YYY")</f>
        <v>2026</v>
      </c>
      <c r="I1142" s="84" t="s">
        <v>607</v>
      </c>
      <c r="J1142" s="69"/>
    </row>
    <row r="1143" spans="1:10" x14ac:dyDescent="0.3">
      <c r="A1143" s="84">
        <v>1142</v>
      </c>
      <c r="B1143" s="84" t="s">
        <v>1992</v>
      </c>
      <c r="C1143" s="84" t="s">
        <v>194</v>
      </c>
      <c r="D1143" s="115" t="s">
        <v>1993</v>
      </c>
      <c r="E1143" s="85" t="s">
        <v>605</v>
      </c>
      <c r="F1143" s="85">
        <v>46112</v>
      </c>
      <c r="G1143" s="85" t="str">
        <f>TEXT(Table7[[#This Row],[EXPIRY DATE]],"MMM")</f>
        <v>Mar</v>
      </c>
      <c r="H1143" s="85" t="str">
        <f>TEXT(Table7[[#This Row],[EXPIRY DATE]],"YYY")</f>
        <v>2026</v>
      </c>
      <c r="I1143" s="84" t="s">
        <v>607</v>
      </c>
      <c r="J1143" s="69"/>
    </row>
    <row r="1144" spans="1:10" x14ac:dyDescent="0.3">
      <c r="A1144" s="84">
        <v>1143</v>
      </c>
      <c r="B1144" s="84" t="s">
        <v>2024</v>
      </c>
      <c r="C1144" s="84" t="s">
        <v>194</v>
      </c>
      <c r="D1144" s="115" t="s">
        <v>2025</v>
      </c>
      <c r="E1144" s="85" t="s">
        <v>605</v>
      </c>
      <c r="F1144" s="85">
        <v>46112</v>
      </c>
      <c r="G1144" s="85" t="str">
        <f>TEXT(Table7[[#This Row],[EXPIRY DATE]],"MMM")</f>
        <v>Mar</v>
      </c>
      <c r="H1144" s="85" t="str">
        <f>TEXT(Table7[[#This Row],[EXPIRY DATE]],"YYY")</f>
        <v>2026</v>
      </c>
      <c r="I1144" s="84" t="s">
        <v>607</v>
      </c>
      <c r="J1144" s="69"/>
    </row>
    <row r="1145" spans="1:10" x14ac:dyDescent="0.3">
      <c r="A1145" s="84">
        <v>1144</v>
      </c>
      <c r="B1145" s="84" t="s">
        <v>2026</v>
      </c>
      <c r="C1145" s="84" t="s">
        <v>194</v>
      </c>
      <c r="D1145" s="115" t="s">
        <v>2027</v>
      </c>
      <c r="E1145" s="85" t="s">
        <v>605</v>
      </c>
      <c r="F1145" s="85">
        <v>46112</v>
      </c>
      <c r="G1145" s="85" t="str">
        <f>TEXT(Table7[[#This Row],[EXPIRY DATE]],"MMM")</f>
        <v>Mar</v>
      </c>
      <c r="H1145" s="85" t="str">
        <f>TEXT(Table7[[#This Row],[EXPIRY DATE]],"YYY")</f>
        <v>2026</v>
      </c>
      <c r="I1145" s="84" t="s">
        <v>607</v>
      </c>
      <c r="J1145" s="69"/>
    </row>
    <row r="1146" spans="1:10" x14ac:dyDescent="0.3">
      <c r="A1146" s="84">
        <v>1145</v>
      </c>
      <c r="B1146" s="84" t="s">
        <v>1994</v>
      </c>
      <c r="C1146" s="84" t="s">
        <v>194</v>
      </c>
      <c r="D1146" s="115" t="s">
        <v>1995</v>
      </c>
      <c r="E1146" s="85" t="s">
        <v>601</v>
      </c>
      <c r="F1146" s="85">
        <v>46112</v>
      </c>
      <c r="G1146" s="85" t="str">
        <f>TEXT(Table7[[#This Row],[EXPIRY DATE]],"MMM")</f>
        <v>Mar</v>
      </c>
      <c r="H1146" s="85" t="str">
        <f>TEXT(Table7[[#This Row],[EXPIRY DATE]],"YYY")</f>
        <v>2026</v>
      </c>
      <c r="I1146" s="84" t="s">
        <v>839</v>
      </c>
      <c r="J1146" s="69"/>
    </row>
    <row r="1147" spans="1:10" ht="20.399999999999999" x14ac:dyDescent="0.3">
      <c r="A1147" s="84">
        <v>1146</v>
      </c>
      <c r="B1147" s="84" t="s">
        <v>2028</v>
      </c>
      <c r="C1147" s="84" t="s">
        <v>194</v>
      </c>
      <c r="D1147" s="115" t="s">
        <v>2029</v>
      </c>
      <c r="E1147" s="85" t="s">
        <v>616</v>
      </c>
      <c r="F1147" s="85">
        <v>46115</v>
      </c>
      <c r="G1147" s="85" t="s">
        <v>611</v>
      </c>
      <c r="H1147" s="85" t="str">
        <f>TEXT(Table7[[#This Row],[EXPIRY DATE]],"YYY")</f>
        <v>2026</v>
      </c>
      <c r="I1147" s="84" t="s">
        <v>791</v>
      </c>
      <c r="J1147" s="69"/>
    </row>
    <row r="1148" spans="1:10" x14ac:dyDescent="0.3">
      <c r="A1148" s="84">
        <v>1147</v>
      </c>
      <c r="B1148" s="84" t="s">
        <v>2030</v>
      </c>
      <c r="C1148" s="84" t="s">
        <v>194</v>
      </c>
      <c r="D1148" s="115" t="s">
        <v>2031</v>
      </c>
      <c r="E1148" s="85" t="s">
        <v>605</v>
      </c>
      <c r="F1148" s="85">
        <v>46115</v>
      </c>
      <c r="G1148" s="85" t="str">
        <f>TEXT(Table7[[#This Row],[EXPIRY DATE]],"MMM")</f>
        <v>Apr</v>
      </c>
      <c r="H1148" s="85" t="str">
        <f>TEXT(Table7[[#This Row],[EXPIRY DATE]],"YYY")</f>
        <v>2026</v>
      </c>
      <c r="I1148" s="85" t="s">
        <v>791</v>
      </c>
      <c r="J1148" s="69"/>
    </row>
    <row r="1149" spans="1:10" x14ac:dyDescent="0.3">
      <c r="A1149" s="84">
        <v>1148</v>
      </c>
      <c r="B1149" s="84" t="s">
        <v>2032</v>
      </c>
      <c r="C1149" s="84" t="s">
        <v>194</v>
      </c>
      <c r="D1149" s="115" t="s">
        <v>2033</v>
      </c>
      <c r="E1149" s="85" t="s">
        <v>605</v>
      </c>
      <c r="F1149" s="85">
        <v>46116</v>
      </c>
      <c r="G1149" s="85" t="str">
        <f>TEXT(Table7[[#This Row],[EXPIRY DATE]],"MMM")</f>
        <v>Apr</v>
      </c>
      <c r="H1149" s="85" t="str">
        <f>TEXT(Table7[[#This Row],[EXPIRY DATE]],"YYY")</f>
        <v>2026</v>
      </c>
      <c r="I1149" s="85" t="s">
        <v>791</v>
      </c>
      <c r="J1149" s="69"/>
    </row>
    <row r="1150" spans="1:10" x14ac:dyDescent="0.3">
      <c r="A1150" s="84">
        <v>1149</v>
      </c>
      <c r="B1150" s="84" t="s">
        <v>2034</v>
      </c>
      <c r="C1150" s="84" t="s">
        <v>194</v>
      </c>
      <c r="D1150" s="115" t="s">
        <v>2035</v>
      </c>
      <c r="E1150" s="85" t="s">
        <v>1172</v>
      </c>
      <c r="F1150" s="85">
        <v>46161</v>
      </c>
      <c r="G1150" s="85" t="str">
        <f>TEXT(Table7[[#This Row],[EXPIRY DATE]],"MMM")</f>
        <v>May</v>
      </c>
      <c r="H1150" s="85" t="str">
        <f>TEXT(Table7[[#This Row],[EXPIRY DATE]],"YYY")</f>
        <v>2026</v>
      </c>
      <c r="I1150" s="84" t="s">
        <v>791</v>
      </c>
      <c r="J1150" s="69"/>
    </row>
    <row r="1151" spans="1:10" ht="20.399999999999999" x14ac:dyDescent="0.3">
      <c r="A1151" s="84">
        <v>1150</v>
      </c>
      <c r="B1151" s="84" t="s">
        <v>2036</v>
      </c>
      <c r="C1151" s="84" t="s">
        <v>194</v>
      </c>
      <c r="D1151" s="115" t="s">
        <v>2037</v>
      </c>
      <c r="E1151" s="85" t="s">
        <v>616</v>
      </c>
      <c r="F1151" s="85">
        <v>46169</v>
      </c>
      <c r="G1151" s="85" t="s">
        <v>838</v>
      </c>
      <c r="H1151" s="85" t="str">
        <f>TEXT(Table7[[#This Row],[EXPIRY DATE]],"YYY")</f>
        <v>2026</v>
      </c>
      <c r="I1151" s="84" t="s">
        <v>791</v>
      </c>
      <c r="J1151" s="69"/>
    </row>
    <row r="1152" spans="1:10" x14ac:dyDescent="0.3">
      <c r="A1152" s="84">
        <v>1151</v>
      </c>
      <c r="B1152" s="84" t="s">
        <v>2038</v>
      </c>
      <c r="C1152" s="84" t="s">
        <v>194</v>
      </c>
      <c r="D1152" s="115" t="s">
        <v>2039</v>
      </c>
      <c r="E1152" s="85" t="s">
        <v>616</v>
      </c>
      <c r="F1152" s="85">
        <v>46169</v>
      </c>
      <c r="G1152" s="85" t="s">
        <v>838</v>
      </c>
      <c r="H1152" s="85" t="str">
        <f>TEXT(Table7[[#This Row],[EXPIRY DATE]],"YYY")</f>
        <v>2026</v>
      </c>
      <c r="I1152" s="84" t="s">
        <v>791</v>
      </c>
      <c r="J1152" s="69"/>
    </row>
    <row r="1153" spans="1:10" x14ac:dyDescent="0.3">
      <c r="A1153" s="84">
        <v>1152</v>
      </c>
      <c r="B1153" s="84" t="s">
        <v>2040</v>
      </c>
      <c r="C1153" s="84" t="s">
        <v>194</v>
      </c>
      <c r="D1153" s="115" t="s">
        <v>2041</v>
      </c>
      <c r="E1153" s="85" t="s">
        <v>1248</v>
      </c>
      <c r="F1153" s="85">
        <v>46174</v>
      </c>
      <c r="G1153" s="85" t="s">
        <v>1139</v>
      </c>
      <c r="H1153" s="85" t="str">
        <f>TEXT(Table7[[#This Row],[EXPIRY DATE]],"YYY")</f>
        <v>2026</v>
      </c>
      <c r="I1153" s="84" t="s">
        <v>791</v>
      </c>
      <c r="J1153" s="69"/>
    </row>
    <row r="1154" spans="1:10" x14ac:dyDescent="0.3">
      <c r="A1154" s="84">
        <v>1153</v>
      </c>
      <c r="B1154" s="84" t="s">
        <v>1318</v>
      </c>
      <c r="C1154" s="84" t="s">
        <v>194</v>
      </c>
      <c r="D1154" s="115" t="s">
        <v>2042</v>
      </c>
      <c r="E1154" s="85" t="s">
        <v>1248</v>
      </c>
      <c r="F1154" s="85">
        <v>46182</v>
      </c>
      <c r="G1154" s="85" t="s">
        <v>1139</v>
      </c>
      <c r="H1154" s="85" t="str">
        <f>TEXT(Table7[[#This Row],[EXPIRY DATE]],"YYY")</f>
        <v>2026</v>
      </c>
      <c r="I1154" s="84" t="s">
        <v>791</v>
      </c>
      <c r="J1154" s="69"/>
    </row>
    <row r="1155" spans="1:10" ht="20.399999999999999" x14ac:dyDescent="0.3">
      <c r="A1155" s="84">
        <v>1154</v>
      </c>
      <c r="B1155" s="84" t="s">
        <v>1762</v>
      </c>
      <c r="C1155" s="84" t="s">
        <v>194</v>
      </c>
      <c r="D1155" s="115" t="s">
        <v>2043</v>
      </c>
      <c r="E1155" s="85" t="s">
        <v>1172</v>
      </c>
      <c r="F1155" s="85">
        <v>46283</v>
      </c>
      <c r="G1155" s="85" t="s">
        <v>591</v>
      </c>
      <c r="H1155" s="85" t="str">
        <f>TEXT(Table7[[#This Row],[EXPIRY DATE]],"YYY")</f>
        <v>2026</v>
      </c>
      <c r="I1155" s="84" t="s">
        <v>791</v>
      </c>
      <c r="J1155" s="69"/>
    </row>
    <row r="1156" spans="1:10" x14ac:dyDescent="0.3">
      <c r="A1156" s="84">
        <v>1155</v>
      </c>
      <c r="B1156" s="84" t="s">
        <v>2044</v>
      </c>
      <c r="C1156" s="84" t="s">
        <v>194</v>
      </c>
      <c r="D1156" s="115" t="s">
        <v>2045</v>
      </c>
      <c r="E1156" s="85" t="s">
        <v>717</v>
      </c>
      <c r="F1156" s="85">
        <v>46360</v>
      </c>
      <c r="G1156" s="85" t="s">
        <v>625</v>
      </c>
      <c r="H1156" s="85" t="str">
        <f>TEXT(Table7[[#This Row],[EXPIRY DATE]],"YYY")</f>
        <v>2026</v>
      </c>
      <c r="I1156" s="84" t="s">
        <v>791</v>
      </c>
      <c r="J1156" s="69"/>
    </row>
    <row r="1157" spans="1:10" x14ac:dyDescent="0.3">
      <c r="A1157" s="84">
        <v>1156</v>
      </c>
      <c r="B1157" s="84" t="s">
        <v>1957</v>
      </c>
      <c r="C1157" s="84" t="s">
        <v>194</v>
      </c>
      <c r="D1157" s="115" t="s">
        <v>1958</v>
      </c>
      <c r="E1157" s="85" t="s">
        <v>601</v>
      </c>
      <c r="F1157" s="85">
        <v>46366</v>
      </c>
      <c r="G1157" s="85" t="str">
        <f>TEXT(Table7[[#This Row],[EXPIRY DATE]],"MMM")</f>
        <v>Dec</v>
      </c>
      <c r="H1157" s="85" t="str">
        <f>TEXT(Table7[[#This Row],[EXPIRY DATE]],"YYY")</f>
        <v>2026</v>
      </c>
      <c r="I1157" s="85" t="s">
        <v>791</v>
      </c>
      <c r="J1157" s="69"/>
    </row>
    <row r="1158" spans="1:10" x14ac:dyDescent="0.3">
      <c r="A1158" s="84">
        <v>1157</v>
      </c>
      <c r="B1158" s="84" t="s">
        <v>1952</v>
      </c>
      <c r="C1158" s="84" t="s">
        <v>194</v>
      </c>
      <c r="D1158" s="115" t="s">
        <v>1953</v>
      </c>
      <c r="E1158" s="85" t="s">
        <v>1014</v>
      </c>
      <c r="F1158" s="85">
        <v>46367</v>
      </c>
      <c r="G1158" s="85" t="str">
        <f>TEXT(Table7[[#This Row],[EXPIRY DATE]],"MMM")</f>
        <v>Dec</v>
      </c>
      <c r="H1158" s="85" t="str">
        <f>TEXT(Table7[[#This Row],[EXPIRY DATE]],"YYY")</f>
        <v>2026</v>
      </c>
      <c r="I1158" s="85" t="s">
        <v>791</v>
      </c>
      <c r="J1158" s="69"/>
    </row>
    <row r="1159" spans="1:10" x14ac:dyDescent="0.3">
      <c r="A1159" s="84">
        <v>1158</v>
      </c>
      <c r="B1159" s="84" t="s">
        <v>2002</v>
      </c>
      <c r="C1159" s="84" t="s">
        <v>194</v>
      </c>
      <c r="D1159" s="115" t="s">
        <v>2003</v>
      </c>
      <c r="E1159" s="85" t="s">
        <v>605</v>
      </c>
      <c r="F1159" s="85">
        <v>46367</v>
      </c>
      <c r="G1159" s="85" t="str">
        <f>TEXT(Table7[[#This Row],[EXPIRY DATE]],"MMM")</f>
        <v>Dec</v>
      </c>
      <c r="H1159" s="85" t="str">
        <f>TEXT(Table7[[#This Row],[EXPIRY DATE]],"YYY")</f>
        <v>2026</v>
      </c>
      <c r="I1159" s="85" t="s">
        <v>791</v>
      </c>
      <c r="J1159" s="69"/>
    </row>
    <row r="1160" spans="1:10" ht="20.399999999999999" x14ac:dyDescent="0.3">
      <c r="A1160" s="84">
        <v>1159</v>
      </c>
      <c r="B1160" s="84" t="s">
        <v>2006</v>
      </c>
      <c r="C1160" s="84" t="s">
        <v>194</v>
      </c>
      <c r="D1160" s="115" t="s">
        <v>2007</v>
      </c>
      <c r="E1160" s="85" t="s">
        <v>605</v>
      </c>
      <c r="F1160" s="85">
        <v>46367</v>
      </c>
      <c r="G1160" s="85" t="str">
        <f>TEXT(Table7[[#This Row],[EXPIRY DATE]],"MMM")</f>
        <v>Dec</v>
      </c>
      <c r="H1160" s="85" t="str">
        <f>TEXT(Table7[[#This Row],[EXPIRY DATE]],"YYY")</f>
        <v>2026</v>
      </c>
      <c r="I1160" s="85" t="s">
        <v>791</v>
      </c>
      <c r="J1160" s="69"/>
    </row>
    <row r="1161" spans="1:10" x14ac:dyDescent="0.3">
      <c r="A1161" s="84">
        <v>1160</v>
      </c>
      <c r="B1161" s="84" t="s">
        <v>2046</v>
      </c>
      <c r="C1161" s="84" t="s">
        <v>194</v>
      </c>
      <c r="D1161" s="115" t="s">
        <v>2047</v>
      </c>
      <c r="E1161" s="85" t="s">
        <v>717</v>
      </c>
      <c r="F1161" s="85">
        <v>46367</v>
      </c>
      <c r="G1161" s="85" t="str">
        <f>TEXT(Table7[[#This Row],[EXPIRY DATE]],"MMM")</f>
        <v>Dec</v>
      </c>
      <c r="H1161" s="85" t="str">
        <f>TEXT(Table7[[#This Row],[EXPIRY DATE]],"YYY")</f>
        <v>2026</v>
      </c>
      <c r="I1161" s="84" t="s">
        <v>791</v>
      </c>
      <c r="J1161" s="69"/>
    </row>
    <row r="1162" spans="1:10" x14ac:dyDescent="0.3">
      <c r="A1162" s="84">
        <v>1161</v>
      </c>
      <c r="B1162" s="84" t="s">
        <v>1979</v>
      </c>
      <c r="C1162" s="84" t="s">
        <v>194</v>
      </c>
      <c r="D1162" s="115" t="s">
        <v>1980</v>
      </c>
      <c r="E1162" s="85" t="s">
        <v>605</v>
      </c>
      <c r="F1162" s="85">
        <v>46367</v>
      </c>
      <c r="G1162" s="85" t="str">
        <f>TEXT(Table7[[#This Row],[EXPIRY DATE]],"MMM")</f>
        <v>Dec</v>
      </c>
      <c r="H1162" s="85" t="str">
        <f>TEXT(Table7[[#This Row],[EXPIRY DATE]],"YYY")</f>
        <v>2026</v>
      </c>
      <c r="I1162" s="85" t="s">
        <v>791</v>
      </c>
      <c r="J1162" s="69"/>
    </row>
    <row r="1163" spans="1:10" x14ac:dyDescent="0.3">
      <c r="A1163" s="84">
        <v>1162</v>
      </c>
      <c r="B1163" s="84" t="s">
        <v>2048</v>
      </c>
      <c r="C1163" s="84" t="s">
        <v>194</v>
      </c>
      <c r="D1163" s="115" t="s">
        <v>2049</v>
      </c>
      <c r="E1163" s="85" t="s">
        <v>717</v>
      </c>
      <c r="F1163" s="85">
        <v>46367</v>
      </c>
      <c r="G1163" s="85" t="str">
        <f>TEXT(Table7[[#This Row],[EXPIRY DATE]],"MMM")</f>
        <v>Dec</v>
      </c>
      <c r="H1163" s="85" t="str">
        <f>TEXT(Table7[[#This Row],[EXPIRY DATE]],"YYY")</f>
        <v>2026</v>
      </c>
      <c r="I1163" s="84" t="s">
        <v>791</v>
      </c>
      <c r="J1163" s="69"/>
    </row>
    <row r="1164" spans="1:10" x14ac:dyDescent="0.3">
      <c r="A1164" s="84">
        <v>1163</v>
      </c>
      <c r="B1164" s="84" t="s">
        <v>2050</v>
      </c>
      <c r="C1164" s="84" t="s">
        <v>194</v>
      </c>
      <c r="D1164" s="115" t="s">
        <v>2051</v>
      </c>
      <c r="E1164" s="85" t="s">
        <v>717</v>
      </c>
      <c r="F1164" s="85">
        <v>46367</v>
      </c>
      <c r="G1164" s="85" t="str">
        <f>TEXT(Table7[[#This Row],[EXPIRY DATE]],"MMM")</f>
        <v>Dec</v>
      </c>
      <c r="H1164" s="85" t="str">
        <f>TEXT(Table7[[#This Row],[EXPIRY DATE]],"YYY")</f>
        <v>2026</v>
      </c>
      <c r="I1164" s="84" t="s">
        <v>791</v>
      </c>
      <c r="J1164" s="69"/>
    </row>
    <row r="1165" spans="1:10" x14ac:dyDescent="0.3">
      <c r="A1165" s="84">
        <v>1164</v>
      </c>
      <c r="B1165" s="84" t="s">
        <v>2052</v>
      </c>
      <c r="C1165" s="84" t="s">
        <v>194</v>
      </c>
      <c r="D1165" s="115" t="s">
        <v>2053</v>
      </c>
      <c r="E1165" s="85" t="s">
        <v>717</v>
      </c>
      <c r="F1165" s="85">
        <v>46367</v>
      </c>
      <c r="G1165" s="85" t="str">
        <f>TEXT(Table7[[#This Row],[EXPIRY DATE]],"MMM")</f>
        <v>Dec</v>
      </c>
      <c r="H1165" s="85" t="str">
        <f>TEXT(Table7[[#This Row],[EXPIRY DATE]],"YYY")</f>
        <v>2026</v>
      </c>
      <c r="I1165" s="84" t="s">
        <v>791</v>
      </c>
      <c r="J1165" s="69"/>
    </row>
    <row r="1166" spans="1:10" x14ac:dyDescent="0.3">
      <c r="A1166" s="84">
        <v>1165</v>
      </c>
      <c r="B1166" s="84" t="s">
        <v>743</v>
      </c>
      <c r="C1166" s="84" t="s">
        <v>194</v>
      </c>
      <c r="D1166" s="115" t="s">
        <v>2054</v>
      </c>
      <c r="E1166" s="85" t="s">
        <v>616</v>
      </c>
      <c r="F1166" s="85">
        <v>46370</v>
      </c>
      <c r="G1166" s="85" t="str">
        <f>TEXT(Table7[[#This Row],[EXPIRY DATE]],"MMM")</f>
        <v>Dec</v>
      </c>
      <c r="H1166" s="85" t="str">
        <f>TEXT(Table7[[#This Row],[EXPIRY DATE]],"YYY")</f>
        <v>2026</v>
      </c>
      <c r="I1166" s="84" t="s">
        <v>791</v>
      </c>
      <c r="J1166" s="69"/>
    </row>
    <row r="1167" spans="1:10" x14ac:dyDescent="0.3">
      <c r="A1167" s="84">
        <v>1166</v>
      </c>
      <c r="B1167" s="84" t="s">
        <v>2055</v>
      </c>
      <c r="C1167" s="84" t="s">
        <v>194</v>
      </c>
      <c r="D1167" s="115" t="s">
        <v>2056</v>
      </c>
      <c r="E1167" s="85" t="s">
        <v>717</v>
      </c>
      <c r="F1167" s="85">
        <v>46371</v>
      </c>
      <c r="G1167" s="85" t="str">
        <f>TEXT(Table7[[#This Row],[EXPIRY DATE]],"MMM")</f>
        <v>Dec</v>
      </c>
      <c r="H1167" s="85" t="str">
        <f>TEXT(Table7[[#This Row],[EXPIRY DATE]],"YYY")</f>
        <v>2026</v>
      </c>
      <c r="I1167" s="84" t="s">
        <v>791</v>
      </c>
      <c r="J1167" s="69"/>
    </row>
    <row r="1168" spans="1:10" x14ac:dyDescent="0.3">
      <c r="A1168" s="84">
        <v>1167</v>
      </c>
      <c r="B1168" s="84" t="s">
        <v>1990</v>
      </c>
      <c r="C1168" s="84" t="s">
        <v>194</v>
      </c>
      <c r="D1168" s="115" t="s">
        <v>1991</v>
      </c>
      <c r="E1168" s="85" t="s">
        <v>601</v>
      </c>
      <c r="F1168" s="85">
        <v>46371</v>
      </c>
      <c r="G1168" s="85" t="str">
        <f>TEXT(Table7[[#This Row],[EXPIRY DATE]],"MMM")</f>
        <v>Dec</v>
      </c>
      <c r="H1168" s="85" t="str">
        <f>TEXT(Table7[[#This Row],[EXPIRY DATE]],"YYY")</f>
        <v>2026</v>
      </c>
      <c r="I1168" s="85" t="s">
        <v>791</v>
      </c>
      <c r="J1168" s="69"/>
    </row>
    <row r="1169" spans="1:10" x14ac:dyDescent="0.3">
      <c r="A1169" s="84">
        <v>1168</v>
      </c>
      <c r="B1169" s="84" t="s">
        <v>2057</v>
      </c>
      <c r="C1169" s="84" t="s">
        <v>194</v>
      </c>
      <c r="D1169" s="115" t="s">
        <v>2058</v>
      </c>
      <c r="E1169" s="85" t="s">
        <v>717</v>
      </c>
      <c r="F1169" s="85">
        <v>46372</v>
      </c>
      <c r="G1169" s="85" t="str">
        <f>TEXT(Table7[[#This Row],[EXPIRY DATE]],"MMM")</f>
        <v>Dec</v>
      </c>
      <c r="H1169" s="85" t="str">
        <f>TEXT(Table7[[#This Row],[EXPIRY DATE]],"YYY")</f>
        <v>2026</v>
      </c>
      <c r="I1169" s="84" t="s">
        <v>791</v>
      </c>
      <c r="J1169" s="69"/>
    </row>
    <row r="1170" spans="1:10" x14ac:dyDescent="0.3">
      <c r="A1170" s="84">
        <v>1169</v>
      </c>
      <c r="B1170" s="84" t="s">
        <v>2059</v>
      </c>
      <c r="C1170" s="84" t="s">
        <v>194</v>
      </c>
      <c r="D1170" s="115" t="s">
        <v>2060</v>
      </c>
      <c r="E1170" s="85" t="s">
        <v>613</v>
      </c>
      <c r="F1170" s="85">
        <v>46376</v>
      </c>
      <c r="G1170" s="85" t="s">
        <v>625</v>
      </c>
      <c r="H1170" s="85" t="str">
        <f>TEXT(Table7[[#This Row],[EXPIRY DATE]],"YYY")</f>
        <v>2026</v>
      </c>
      <c r="I1170" s="84" t="s">
        <v>791</v>
      </c>
      <c r="J1170" s="69"/>
    </row>
    <row r="1171" spans="1:10" ht="20.399999999999999" x14ac:dyDescent="0.3">
      <c r="A1171" s="84">
        <v>1170</v>
      </c>
      <c r="B1171" s="84" t="s">
        <v>2061</v>
      </c>
      <c r="C1171" s="84" t="s">
        <v>194</v>
      </c>
      <c r="D1171" s="115" t="s">
        <v>2062</v>
      </c>
      <c r="E1171" s="85" t="s">
        <v>613</v>
      </c>
      <c r="F1171" s="85">
        <v>46376</v>
      </c>
      <c r="G1171" s="85" t="s">
        <v>625</v>
      </c>
      <c r="H1171" s="85" t="str">
        <f>TEXT(Table7[[#This Row],[EXPIRY DATE]],"YYY")</f>
        <v>2026</v>
      </c>
      <c r="I1171" s="84" t="s">
        <v>791</v>
      </c>
      <c r="J1171" s="69"/>
    </row>
    <row r="1172" spans="1:10" ht="20.399999999999999" x14ac:dyDescent="0.3">
      <c r="A1172" s="84">
        <v>1171</v>
      </c>
      <c r="B1172" s="84" t="s">
        <v>2063</v>
      </c>
      <c r="C1172" s="84" t="s">
        <v>194</v>
      </c>
      <c r="D1172" s="115" t="s">
        <v>2064</v>
      </c>
      <c r="E1172" s="85" t="s">
        <v>613</v>
      </c>
      <c r="F1172" s="85">
        <v>46376</v>
      </c>
      <c r="G1172" s="85" t="s">
        <v>625</v>
      </c>
      <c r="H1172" s="85" t="str">
        <f>TEXT(Table7[[#This Row],[EXPIRY DATE]],"YYY")</f>
        <v>2026</v>
      </c>
      <c r="I1172" s="84" t="s">
        <v>791</v>
      </c>
      <c r="J1172" s="69"/>
    </row>
    <row r="1173" spans="1:10" x14ac:dyDescent="0.3">
      <c r="A1173" s="84">
        <v>1172</v>
      </c>
      <c r="B1173" s="84" t="s">
        <v>2065</v>
      </c>
      <c r="C1173" s="84" t="s">
        <v>194</v>
      </c>
      <c r="D1173" s="115" t="s">
        <v>2066</v>
      </c>
      <c r="E1173" s="84" t="s">
        <v>717</v>
      </c>
      <c r="F1173" s="85">
        <v>46376</v>
      </c>
      <c r="G1173" s="85" t="str">
        <f>TEXT(Table7[[#This Row],[EXPIRY DATE]],"MMM")</f>
        <v>Dec</v>
      </c>
      <c r="H1173" s="84" t="str">
        <f>TEXT(Table7[[#This Row],[EXPIRY DATE]],"YYY")</f>
        <v>2026</v>
      </c>
      <c r="I1173" s="84" t="s">
        <v>791</v>
      </c>
      <c r="J1173" s="69"/>
    </row>
    <row r="1174" spans="1:10" x14ac:dyDescent="0.3">
      <c r="A1174" s="84">
        <v>1173</v>
      </c>
      <c r="B1174" s="84" t="s">
        <v>959</v>
      </c>
      <c r="C1174" s="84" t="s">
        <v>194</v>
      </c>
      <c r="D1174" s="115" t="s">
        <v>1951</v>
      </c>
      <c r="E1174" s="85" t="s">
        <v>961</v>
      </c>
      <c r="F1174" s="85">
        <v>46387</v>
      </c>
      <c r="G1174" s="85" t="str">
        <f>TEXT(Table7[[#This Row],[EXPIRY DATE]],"MMM")</f>
        <v>Dec</v>
      </c>
      <c r="H1174" s="85" t="str">
        <f>TEXT(Table7[[#This Row],[EXPIRY DATE]],"YYY")</f>
        <v>2026</v>
      </c>
      <c r="I1174" s="84" t="s">
        <v>602</v>
      </c>
      <c r="J1174" s="69"/>
    </row>
    <row r="1175" spans="1:10" x14ac:dyDescent="0.3">
      <c r="A1175" s="84">
        <v>1174</v>
      </c>
      <c r="B1175" s="84" t="s">
        <v>1192</v>
      </c>
      <c r="C1175" s="84" t="s">
        <v>194</v>
      </c>
      <c r="D1175" s="115" t="s">
        <v>1941</v>
      </c>
      <c r="E1175" s="85" t="s">
        <v>1194</v>
      </c>
      <c r="F1175" s="85">
        <v>46635</v>
      </c>
      <c r="G1175" s="85" t="str">
        <f>TEXT(Table7[[#This Row],[EXPIRY DATE]],"MMM")</f>
        <v>Sep</v>
      </c>
      <c r="H1175" s="85" t="str">
        <f>TEXT(Table7[[#This Row],[EXPIRY DATE]],"YYY")</f>
        <v>2027</v>
      </c>
      <c r="I1175" s="84" t="s">
        <v>607</v>
      </c>
      <c r="J1175" s="69"/>
    </row>
    <row r="1176" spans="1:10" x14ac:dyDescent="0.3">
      <c r="A1176" s="84">
        <v>1175</v>
      </c>
      <c r="B1176" s="84" t="s">
        <v>1947</v>
      </c>
      <c r="C1176" s="84" t="s">
        <v>194</v>
      </c>
      <c r="D1176" s="115" t="s">
        <v>1948</v>
      </c>
      <c r="E1176" s="85" t="s">
        <v>1194</v>
      </c>
      <c r="F1176" s="85">
        <v>46652</v>
      </c>
      <c r="G1176" s="85" t="str">
        <f>TEXT(Table7[[#This Row],[EXPIRY DATE]],"MMM")</f>
        <v>Sep</v>
      </c>
      <c r="H1176" s="85" t="str">
        <f>TEXT(Table7[[#This Row],[EXPIRY DATE]],"YYY")</f>
        <v>2027</v>
      </c>
      <c r="I1176" s="84" t="s">
        <v>607</v>
      </c>
      <c r="J1176" s="69"/>
    </row>
    <row r="1177" spans="1:10" ht="20.399999999999999" x14ac:dyDescent="0.3">
      <c r="A1177" s="84">
        <v>1176</v>
      </c>
      <c r="B1177" s="84" t="s">
        <v>2006</v>
      </c>
      <c r="C1177" s="84" t="s">
        <v>194</v>
      </c>
      <c r="D1177" s="115" t="s">
        <v>2007</v>
      </c>
      <c r="E1177" s="85" t="s">
        <v>605</v>
      </c>
      <c r="F1177" s="85">
        <v>46752</v>
      </c>
      <c r="G1177" s="85" t="str">
        <f>TEXT(Table7[[#This Row],[EXPIRY DATE]],"MMM")</f>
        <v>Dec</v>
      </c>
      <c r="H1177" s="85" t="str">
        <f>TEXT(Table7[[#This Row],[EXPIRY DATE]],"YYY")</f>
        <v>2027</v>
      </c>
      <c r="I1177" s="84" t="s">
        <v>602</v>
      </c>
      <c r="J1177" s="69"/>
    </row>
    <row r="1178" spans="1:10" x14ac:dyDescent="0.3">
      <c r="A1178" s="84">
        <v>1177</v>
      </c>
      <c r="B1178" s="84" t="s">
        <v>917</v>
      </c>
      <c r="C1178" s="84" t="s">
        <v>194</v>
      </c>
      <c r="D1178" s="115" t="s">
        <v>2017</v>
      </c>
      <c r="E1178" s="85" t="s">
        <v>605</v>
      </c>
      <c r="F1178" s="85">
        <v>46752</v>
      </c>
      <c r="G1178" s="85" t="str">
        <f>TEXT(Table7[[#This Row],[EXPIRY DATE]],"MMM")</f>
        <v>Dec</v>
      </c>
      <c r="H1178" s="85" t="str">
        <f>TEXT(Table7[[#This Row],[EXPIRY DATE]],"YYY")</f>
        <v>2027</v>
      </c>
      <c r="I1178" s="84" t="s">
        <v>602</v>
      </c>
      <c r="J1178" s="69"/>
    </row>
    <row r="1179" spans="1:10" x14ac:dyDescent="0.3">
      <c r="A1179" s="84">
        <v>1178</v>
      </c>
      <c r="B1179" s="84" t="s">
        <v>2026</v>
      </c>
      <c r="C1179" s="84" t="s">
        <v>194</v>
      </c>
      <c r="D1179" s="115" t="s">
        <v>2027</v>
      </c>
      <c r="E1179" s="85" t="s">
        <v>605</v>
      </c>
      <c r="F1179" s="85">
        <v>46752</v>
      </c>
      <c r="G1179" s="85" t="str">
        <f>TEXT(Table7[[#This Row],[EXPIRY DATE]],"MMM")</f>
        <v>Dec</v>
      </c>
      <c r="H1179" s="85" t="str">
        <f>TEXT(Table7[[#This Row],[EXPIRY DATE]],"YYY")</f>
        <v>2027</v>
      </c>
      <c r="I1179" s="84" t="s">
        <v>602</v>
      </c>
      <c r="J1179" s="69"/>
    </row>
    <row r="1180" spans="1:10" x14ac:dyDescent="0.3">
      <c r="A1180" s="84">
        <v>1179</v>
      </c>
      <c r="B1180" s="84" t="s">
        <v>2002</v>
      </c>
      <c r="C1180" s="84" t="s">
        <v>194</v>
      </c>
      <c r="D1180" s="115" t="s">
        <v>2003</v>
      </c>
      <c r="E1180" s="85" t="s">
        <v>605</v>
      </c>
      <c r="F1180" s="85">
        <v>47118</v>
      </c>
      <c r="G1180" s="85" t="str">
        <f>TEXT(Table7[[#This Row],[EXPIRY DATE]],"MMM")</f>
        <v>Dec</v>
      </c>
      <c r="H1180" s="85" t="str">
        <f>TEXT(Table7[[#This Row],[EXPIRY DATE]],"YYY")</f>
        <v>2028</v>
      </c>
      <c r="I1180" s="84" t="s">
        <v>602</v>
      </c>
      <c r="J1180" s="69"/>
    </row>
    <row r="1181" spans="1:10" x14ac:dyDescent="0.3">
      <c r="A1181" s="84">
        <v>1180</v>
      </c>
      <c r="B1181" s="84" t="s">
        <v>2004</v>
      </c>
      <c r="C1181" s="84" t="s">
        <v>194</v>
      </c>
      <c r="D1181" s="115" t="s">
        <v>2005</v>
      </c>
      <c r="E1181" s="85" t="s">
        <v>605</v>
      </c>
      <c r="F1181" s="85">
        <v>47118</v>
      </c>
      <c r="G1181" s="85" t="str">
        <f>TEXT(Table7[[#This Row],[EXPIRY DATE]],"MMM")</f>
        <v>Dec</v>
      </c>
      <c r="H1181" s="85" t="str">
        <f>TEXT(Table7[[#This Row],[EXPIRY DATE]],"YYY")</f>
        <v>2028</v>
      </c>
      <c r="I1181" s="84" t="s">
        <v>602</v>
      </c>
      <c r="J1181" s="69"/>
    </row>
    <row r="1182" spans="1:10" x14ac:dyDescent="0.3">
      <c r="A1182" s="84">
        <v>1181</v>
      </c>
      <c r="B1182" s="84" t="s">
        <v>2012</v>
      </c>
      <c r="C1182" s="84" t="s">
        <v>194</v>
      </c>
      <c r="D1182" s="116" t="s">
        <v>2013</v>
      </c>
      <c r="E1182" s="85" t="s">
        <v>605</v>
      </c>
      <c r="F1182" s="85">
        <v>47118</v>
      </c>
      <c r="G1182" s="85" t="str">
        <f>TEXT(Table7[[#This Row],[EXPIRY DATE]],"MMM")</f>
        <v>Dec</v>
      </c>
      <c r="H1182" s="85" t="str">
        <f>TEXT(Table7[[#This Row],[EXPIRY DATE]],"YYY")</f>
        <v>2028</v>
      </c>
      <c r="I1182" s="84" t="s">
        <v>602</v>
      </c>
      <c r="J1182" s="69"/>
    </row>
    <row r="1183" spans="1:10" x14ac:dyDescent="0.3">
      <c r="A1183" s="84">
        <v>1182</v>
      </c>
      <c r="B1183" s="84" t="s">
        <v>219</v>
      </c>
      <c r="C1183" s="84" t="s">
        <v>194</v>
      </c>
      <c r="D1183" s="115" t="s">
        <v>2014</v>
      </c>
      <c r="E1183" s="85" t="s">
        <v>605</v>
      </c>
      <c r="F1183" s="85">
        <v>47118</v>
      </c>
      <c r="G1183" s="85" t="str">
        <f>TEXT(Table7[[#This Row],[EXPIRY DATE]],"MMM")</f>
        <v>Dec</v>
      </c>
      <c r="H1183" s="85" t="str">
        <f>TEXT(Table7[[#This Row],[EXPIRY DATE]],"YYY")</f>
        <v>2028</v>
      </c>
      <c r="I1183" s="84" t="s">
        <v>602</v>
      </c>
      <c r="J1183" s="69"/>
    </row>
    <row r="1184" spans="1:10" x14ac:dyDescent="0.3">
      <c r="A1184" s="84">
        <v>1183</v>
      </c>
      <c r="B1184" s="84" t="s">
        <v>2018</v>
      </c>
      <c r="C1184" s="84" t="s">
        <v>194</v>
      </c>
      <c r="D1184" s="116" t="s">
        <v>2019</v>
      </c>
      <c r="E1184" s="85" t="s">
        <v>605</v>
      </c>
      <c r="F1184" s="85">
        <v>47118</v>
      </c>
      <c r="G1184" s="85" t="str">
        <f>TEXT(Table7[[#This Row],[EXPIRY DATE]],"MMM")</f>
        <v>Dec</v>
      </c>
      <c r="H1184" s="85" t="str">
        <f>TEXT(Table7[[#This Row],[EXPIRY DATE]],"YYY")</f>
        <v>2028</v>
      </c>
      <c r="I1184" s="84" t="s">
        <v>602</v>
      </c>
      <c r="J1184" s="69"/>
    </row>
    <row r="1185" spans="1:10" x14ac:dyDescent="0.3">
      <c r="A1185" s="84">
        <v>1184</v>
      </c>
      <c r="B1185" s="84" t="s">
        <v>2067</v>
      </c>
      <c r="C1185" s="84" t="s">
        <v>194</v>
      </c>
      <c r="D1185" s="115" t="s">
        <v>2021</v>
      </c>
      <c r="E1185" s="85" t="s">
        <v>605</v>
      </c>
      <c r="F1185" s="85">
        <v>47118</v>
      </c>
      <c r="G1185" s="85" t="str">
        <f>TEXT(Table7[[#This Row],[EXPIRY DATE]],"MMM")</f>
        <v>Dec</v>
      </c>
      <c r="H1185" s="85" t="str">
        <f>TEXT(Table7[[#This Row],[EXPIRY DATE]],"YYY")</f>
        <v>2028</v>
      </c>
      <c r="I1185" s="84" t="s">
        <v>602</v>
      </c>
      <c r="J1185" s="69"/>
    </row>
    <row r="1186" spans="1:10" x14ac:dyDescent="0.3">
      <c r="A1186" s="84">
        <v>1185</v>
      </c>
      <c r="B1186" s="84" t="s">
        <v>355</v>
      </c>
      <c r="C1186" s="84" t="s">
        <v>194</v>
      </c>
      <c r="D1186" s="115" t="s">
        <v>2068</v>
      </c>
      <c r="E1186" s="85" t="s">
        <v>605</v>
      </c>
      <c r="F1186" s="85">
        <v>47118</v>
      </c>
      <c r="G1186" s="85" t="str">
        <f>TEXT(Table7[[#This Row],[EXPIRY DATE]],"MMM")</f>
        <v>Dec</v>
      </c>
      <c r="H1186" s="85" t="str">
        <f>TEXT(Table7[[#This Row],[EXPIRY DATE]],"YYY")</f>
        <v>2028</v>
      </c>
      <c r="I1186" s="84" t="s">
        <v>602</v>
      </c>
      <c r="J1186" s="69"/>
    </row>
    <row r="1187" spans="1:10" x14ac:dyDescent="0.3">
      <c r="A1187" s="84">
        <v>1186</v>
      </c>
      <c r="B1187" s="84" t="s">
        <v>2024</v>
      </c>
      <c r="C1187" s="84" t="s">
        <v>194</v>
      </c>
      <c r="D1187" s="115" t="s">
        <v>2025</v>
      </c>
      <c r="E1187" s="85" t="s">
        <v>605</v>
      </c>
      <c r="F1187" s="85">
        <v>47118</v>
      </c>
      <c r="G1187" s="85" t="str">
        <f>TEXT(Table7[[#This Row],[EXPIRY DATE]],"MMM")</f>
        <v>Dec</v>
      </c>
      <c r="H1187" s="85" t="str">
        <f>TEXT(Table7[[#This Row],[EXPIRY DATE]],"YYY")</f>
        <v>2028</v>
      </c>
      <c r="I1187" s="84" t="s">
        <v>602</v>
      </c>
      <c r="J1187" s="69"/>
    </row>
    <row r="1188" spans="1:10" x14ac:dyDescent="0.3">
      <c r="A1188" s="84">
        <v>1187</v>
      </c>
      <c r="B1188" s="84" t="s">
        <v>2008</v>
      </c>
      <c r="C1188" s="84" t="s">
        <v>194</v>
      </c>
      <c r="D1188" s="115" t="s">
        <v>2009</v>
      </c>
      <c r="E1188" s="85" t="s">
        <v>605</v>
      </c>
      <c r="F1188" s="85">
        <v>47483</v>
      </c>
      <c r="G1188" s="85" t="s">
        <v>625</v>
      </c>
      <c r="H1188" s="85" t="str">
        <f>TEXT(Table7[[#This Row],[EXPIRY DATE]],"YYY")</f>
        <v>2029</v>
      </c>
      <c r="I1188" s="84" t="s">
        <v>602</v>
      </c>
      <c r="J1188" s="69"/>
    </row>
    <row r="1189" spans="1:10" x14ac:dyDescent="0.3">
      <c r="A1189" s="84">
        <v>1188</v>
      </c>
      <c r="B1189" s="84" t="s">
        <v>1245</v>
      </c>
      <c r="C1189" s="84" t="s">
        <v>194</v>
      </c>
      <c r="D1189" s="115" t="s">
        <v>2069</v>
      </c>
      <c r="E1189" s="85" t="s">
        <v>605</v>
      </c>
      <c r="F1189" s="85" t="s">
        <v>629</v>
      </c>
      <c r="G1189" s="85" t="str">
        <f>TEXT(Table7[[#This Row],[EXPIRY DATE]],"MMM")</f>
        <v>LIFETIME</v>
      </c>
      <c r="H1189" s="85" t="str">
        <f>TEXT(Table7[[#This Row],[EXPIRY DATE]],"YYY")</f>
        <v>LIFETIME</v>
      </c>
      <c r="I1189" s="84" t="s">
        <v>602</v>
      </c>
      <c r="J1189" s="69"/>
    </row>
    <row r="1190" spans="1:10" ht="30.6" x14ac:dyDescent="0.3">
      <c r="A1190" s="84">
        <v>1189</v>
      </c>
      <c r="B1190" s="84" t="s">
        <v>2070</v>
      </c>
      <c r="C1190" s="92" t="s">
        <v>194</v>
      </c>
      <c r="D1190" s="119" t="s">
        <v>2071</v>
      </c>
      <c r="E1190" s="93" t="s">
        <v>2072</v>
      </c>
      <c r="F1190" s="93" t="s">
        <v>766</v>
      </c>
      <c r="G1190" s="93" t="str">
        <f>TEXT(Table7[[#This Row],[EXPIRY DATE]],"MMM")</f>
        <v>CLOSED</v>
      </c>
      <c r="H1190" s="93" t="str">
        <f>TEXT(Table7[[#This Row],[EXPIRY DATE]],"YYY")</f>
        <v>CLOSED</v>
      </c>
      <c r="I1190" s="92" t="s">
        <v>602</v>
      </c>
      <c r="J1190" s="75"/>
    </row>
    <row r="1191" spans="1:10" x14ac:dyDescent="0.3">
      <c r="A1191" s="84">
        <v>1190</v>
      </c>
      <c r="B1191" s="84" t="s">
        <v>2073</v>
      </c>
      <c r="C1191" s="92" t="s">
        <v>194</v>
      </c>
      <c r="D1191" s="119" t="s">
        <v>2074</v>
      </c>
      <c r="E1191" s="93" t="s">
        <v>2075</v>
      </c>
      <c r="F1191" s="93" t="s">
        <v>766</v>
      </c>
      <c r="G1191" s="93" t="str">
        <f>TEXT(Table7[[#This Row],[EXPIRY DATE]],"MMM")</f>
        <v>CLOSED</v>
      </c>
      <c r="H1191" s="93" t="str">
        <f>TEXT(Table7[[#This Row],[EXPIRY DATE]],"YYY")</f>
        <v>CLOSED</v>
      </c>
      <c r="I1191" s="92" t="s">
        <v>602</v>
      </c>
      <c r="J1191" s="75"/>
    </row>
    <row r="1192" spans="1:10" x14ac:dyDescent="0.3">
      <c r="A1192" s="84">
        <v>1191</v>
      </c>
      <c r="B1192" s="84" t="s">
        <v>2076</v>
      </c>
      <c r="C1192" s="84" t="s">
        <v>194</v>
      </c>
      <c r="D1192" s="115" t="s">
        <v>2077</v>
      </c>
      <c r="E1192" s="85" t="s">
        <v>605</v>
      </c>
      <c r="F1192" s="85" t="s">
        <v>629</v>
      </c>
      <c r="G1192" s="85" t="str">
        <f>TEXT(Table7[[#This Row],[EXPIRY DATE]],"MMM")</f>
        <v>LIFETIME</v>
      </c>
      <c r="H1192" s="85" t="str">
        <f>TEXT(Table7[[#This Row],[EXPIRY DATE]],"YYY")</f>
        <v>LIFETIME</v>
      </c>
      <c r="I1192" s="84" t="s">
        <v>602</v>
      </c>
      <c r="J1192" s="69"/>
    </row>
    <row r="1193" spans="1:10" x14ac:dyDescent="0.3">
      <c r="A1193" s="84">
        <v>1192</v>
      </c>
      <c r="B1193" s="84" t="s">
        <v>2078</v>
      </c>
      <c r="C1193" s="84" t="s">
        <v>194</v>
      </c>
      <c r="D1193" s="115" t="s">
        <v>2079</v>
      </c>
      <c r="E1193" s="85" t="s">
        <v>605</v>
      </c>
      <c r="F1193" s="85" t="s">
        <v>629</v>
      </c>
      <c r="G1193" s="85" t="str">
        <f>TEXT(Table7[[#This Row],[EXPIRY DATE]],"MMM")</f>
        <v>LIFETIME</v>
      </c>
      <c r="H1193" s="85" t="str">
        <f>TEXT(Table7[[#This Row],[EXPIRY DATE]],"YYY")</f>
        <v>LIFETIME</v>
      </c>
      <c r="I1193" s="84" t="s">
        <v>602</v>
      </c>
      <c r="J1193" s="69"/>
    </row>
    <row r="1194" spans="1:10" x14ac:dyDescent="0.3">
      <c r="A1194" s="84">
        <v>1193</v>
      </c>
      <c r="B1194" s="84" t="s">
        <v>2080</v>
      </c>
      <c r="C1194" s="84" t="s">
        <v>194</v>
      </c>
      <c r="D1194" s="115" t="s">
        <v>2081</v>
      </c>
      <c r="E1194" s="85" t="s">
        <v>1768</v>
      </c>
      <c r="F1194" s="84" t="s">
        <v>629</v>
      </c>
      <c r="G1194" s="85" t="s">
        <v>629</v>
      </c>
      <c r="H1194" s="85" t="str">
        <f>TEXT(Table7[[#This Row],[EXPIRY DATE]],"YYY")</f>
        <v>LIFETIME</v>
      </c>
      <c r="I1194" s="84" t="s">
        <v>602</v>
      </c>
      <c r="J1194" s="69"/>
    </row>
    <row r="1195" spans="1:10" ht="20.399999999999999" x14ac:dyDescent="0.3">
      <c r="A1195" s="84">
        <v>1194</v>
      </c>
      <c r="B1195" s="84" t="s">
        <v>1762</v>
      </c>
      <c r="C1195" s="84" t="s">
        <v>194</v>
      </c>
      <c r="D1195" s="115" t="s">
        <v>2043</v>
      </c>
      <c r="E1195" s="85" t="s">
        <v>1172</v>
      </c>
      <c r="F1195" s="84" t="s">
        <v>629</v>
      </c>
      <c r="G1195" s="85" t="s">
        <v>629</v>
      </c>
      <c r="H1195" s="85" t="str">
        <f>TEXT(Table7[[#This Row],[EXPIRY DATE]],"YYY")</f>
        <v>LIFETIME</v>
      </c>
      <c r="I1195" s="84" t="s">
        <v>602</v>
      </c>
      <c r="J1195" s="69"/>
    </row>
    <row r="1196" spans="1:10" x14ac:dyDescent="0.3">
      <c r="A1196" s="84">
        <v>1195</v>
      </c>
      <c r="B1196" s="84" t="s">
        <v>2015</v>
      </c>
      <c r="C1196" s="84" t="s">
        <v>194</v>
      </c>
      <c r="D1196" s="115" t="s">
        <v>2016</v>
      </c>
      <c r="E1196" s="85" t="s">
        <v>605</v>
      </c>
      <c r="F1196" s="85" t="s">
        <v>81</v>
      </c>
      <c r="G1196" s="85" t="str">
        <f>TEXT(Table7[[#This Row],[EXPIRY DATE]],"MMM")</f>
        <v>NA</v>
      </c>
      <c r="H1196" s="85" t="str">
        <f>TEXT(Table7[[#This Row],[EXPIRY DATE]],"YYY")</f>
        <v>NA</v>
      </c>
      <c r="I1196" s="84" t="s">
        <v>916</v>
      </c>
      <c r="J1196" s="69"/>
    </row>
    <row r="1197" spans="1:10" x14ac:dyDescent="0.3">
      <c r="A1197" s="84">
        <v>1196</v>
      </c>
      <c r="B1197" s="84" t="s">
        <v>917</v>
      </c>
      <c r="C1197" s="84" t="s">
        <v>194</v>
      </c>
      <c r="D1197" s="115" t="s">
        <v>2017</v>
      </c>
      <c r="E1197" s="85" t="s">
        <v>605</v>
      </c>
      <c r="F1197" s="85" t="s">
        <v>81</v>
      </c>
      <c r="G1197" s="85" t="str">
        <f>TEXT(Table7[[#This Row],[EXPIRY DATE]],"MMM")</f>
        <v>NA</v>
      </c>
      <c r="H1197" s="85" t="str">
        <f>TEXT(Table7[[#This Row],[EXPIRY DATE]],"YYY")</f>
        <v>NA</v>
      </c>
      <c r="I1197" s="84" t="s">
        <v>916</v>
      </c>
      <c r="J1197" s="69"/>
    </row>
    <row r="1198" spans="1:10" x14ac:dyDescent="0.3">
      <c r="A1198" s="84">
        <v>1197</v>
      </c>
      <c r="B1198" s="84" t="s">
        <v>2032</v>
      </c>
      <c r="C1198" s="84" t="s">
        <v>194</v>
      </c>
      <c r="D1198" s="115" t="s">
        <v>2033</v>
      </c>
      <c r="E1198" s="85" t="s">
        <v>605</v>
      </c>
      <c r="F1198" s="85" t="s">
        <v>629</v>
      </c>
      <c r="G1198" s="85" t="str">
        <f>TEXT(Table7[[#This Row],[EXPIRY DATE]],"MMM")</f>
        <v>LIFETIME</v>
      </c>
      <c r="H1198" s="85" t="str">
        <f>TEXT(Table7[[#This Row],[EXPIRY DATE]],"YYY")</f>
        <v>LIFETIME</v>
      </c>
      <c r="I1198" s="84" t="s">
        <v>602</v>
      </c>
      <c r="J1198" s="69"/>
    </row>
    <row r="1199" spans="1:10" x14ac:dyDescent="0.3">
      <c r="A1199" s="84">
        <v>1198</v>
      </c>
      <c r="B1199" s="84" t="s">
        <v>2082</v>
      </c>
      <c r="C1199" s="92" t="s">
        <v>194</v>
      </c>
      <c r="D1199" s="119" t="s">
        <v>2083</v>
      </c>
      <c r="E1199" s="93" t="s">
        <v>802</v>
      </c>
      <c r="F1199" s="93" t="s">
        <v>766</v>
      </c>
      <c r="G1199" s="93" t="str">
        <f>TEXT(Table7[[#This Row],[EXPIRY DATE]],"MMM")</f>
        <v>CLOSED</v>
      </c>
      <c r="H1199" s="93" t="str">
        <f>TEXT(Table7[[#This Row],[EXPIRY DATE]],"YYY")</f>
        <v>CLOSED</v>
      </c>
      <c r="I1199" s="92" t="s">
        <v>602</v>
      </c>
      <c r="J1199" s="75"/>
    </row>
    <row r="1200" spans="1:10" x14ac:dyDescent="0.3">
      <c r="A1200" s="84">
        <v>1199</v>
      </c>
      <c r="B1200" s="84" t="s">
        <v>2082</v>
      </c>
      <c r="C1200" s="92" t="s">
        <v>194</v>
      </c>
      <c r="D1200" s="119" t="s">
        <v>2083</v>
      </c>
      <c r="E1200" s="93" t="s">
        <v>802</v>
      </c>
      <c r="F1200" s="93" t="s">
        <v>766</v>
      </c>
      <c r="G1200" s="93" t="str">
        <f>TEXT(Table7[[#This Row],[EXPIRY DATE]],"MMM")</f>
        <v>CLOSED</v>
      </c>
      <c r="H1200" s="93" t="str">
        <f>TEXT(Table7[[#This Row],[EXPIRY DATE]],"YYY")</f>
        <v>CLOSED</v>
      </c>
      <c r="I1200" s="92" t="s">
        <v>607</v>
      </c>
      <c r="J1200" s="75"/>
    </row>
    <row r="1201" spans="1:10" x14ac:dyDescent="0.3">
      <c r="A1201" s="84">
        <v>1200</v>
      </c>
      <c r="B1201" s="84" t="s">
        <v>2082</v>
      </c>
      <c r="C1201" s="92" t="s">
        <v>194</v>
      </c>
      <c r="D1201" s="119" t="s">
        <v>2083</v>
      </c>
      <c r="E1201" s="93" t="s">
        <v>802</v>
      </c>
      <c r="F1201" s="93" t="s">
        <v>766</v>
      </c>
      <c r="G1201" s="93" t="str">
        <f>TEXT(Table7[[#This Row],[EXPIRY DATE]],"MMM")</f>
        <v>CLOSED</v>
      </c>
      <c r="H1201" s="93" t="str">
        <f>TEXT(Table7[[#This Row],[EXPIRY DATE]],"YYY")</f>
        <v>CLOSED</v>
      </c>
      <c r="I1201" s="92" t="s">
        <v>916</v>
      </c>
      <c r="J1201" s="75"/>
    </row>
    <row r="1202" spans="1:10" x14ac:dyDescent="0.3">
      <c r="A1202" s="84">
        <v>1201</v>
      </c>
      <c r="B1202" s="84" t="s">
        <v>2030</v>
      </c>
      <c r="C1202" s="84" t="s">
        <v>194</v>
      </c>
      <c r="D1202" s="115" t="s">
        <v>2031</v>
      </c>
      <c r="E1202" s="85" t="s">
        <v>605</v>
      </c>
      <c r="F1202" s="85" t="s">
        <v>629</v>
      </c>
      <c r="G1202" s="85" t="str">
        <f>TEXT(Table7[[#This Row],[EXPIRY DATE]],"MMM")</f>
        <v>LIFETIME</v>
      </c>
      <c r="H1202" s="85" t="str">
        <f>TEXT(Table7[[#This Row],[EXPIRY DATE]],"YYY")</f>
        <v>LIFETIME</v>
      </c>
      <c r="I1202" s="84" t="s">
        <v>602</v>
      </c>
      <c r="J1202" s="69"/>
    </row>
    <row r="1203" spans="1:10" x14ac:dyDescent="0.3">
      <c r="A1203" s="84">
        <v>1202</v>
      </c>
      <c r="B1203" s="84" t="s">
        <v>2084</v>
      </c>
      <c r="C1203" s="84" t="s">
        <v>194</v>
      </c>
      <c r="D1203" s="115" t="s">
        <v>2085</v>
      </c>
      <c r="E1203" s="85" t="s">
        <v>605</v>
      </c>
      <c r="F1203" s="85" t="s">
        <v>629</v>
      </c>
      <c r="G1203" s="85" t="str">
        <f>TEXT(Table7[[#This Row],[EXPIRY DATE]],"MMM")</f>
        <v>LIFETIME</v>
      </c>
      <c r="H1203" s="85" t="str">
        <f>TEXT(Table7[[#This Row],[EXPIRY DATE]],"YYY")</f>
        <v>LIFETIME</v>
      </c>
      <c r="I1203" s="84" t="s">
        <v>602</v>
      </c>
      <c r="J1203" s="69"/>
    </row>
    <row r="1204" spans="1:10" x14ac:dyDescent="0.3">
      <c r="A1204" s="84">
        <v>1203</v>
      </c>
      <c r="B1204" s="84" t="s">
        <v>2086</v>
      </c>
      <c r="C1204" s="92" t="s">
        <v>194</v>
      </c>
      <c r="D1204" s="119" t="s">
        <v>2087</v>
      </c>
      <c r="E1204" s="93" t="s">
        <v>802</v>
      </c>
      <c r="F1204" s="93" t="s">
        <v>766</v>
      </c>
      <c r="G1204" s="93" t="str">
        <f>TEXT(Table7[[#This Row],[EXPIRY DATE]],"MMM")</f>
        <v>CLOSED</v>
      </c>
      <c r="H1204" s="93" t="str">
        <f>TEXT(Table7[[#This Row],[EXPIRY DATE]],"YYY")</f>
        <v>CLOSED</v>
      </c>
      <c r="I1204" s="92" t="s">
        <v>602</v>
      </c>
      <c r="J1204" s="75"/>
    </row>
    <row r="1205" spans="1:10" x14ac:dyDescent="0.3">
      <c r="A1205" s="84">
        <v>1204</v>
      </c>
      <c r="B1205" s="84" t="s">
        <v>2086</v>
      </c>
      <c r="C1205" s="92" t="s">
        <v>194</v>
      </c>
      <c r="D1205" s="119" t="s">
        <v>2087</v>
      </c>
      <c r="E1205" s="93" t="s">
        <v>802</v>
      </c>
      <c r="F1205" s="93" t="s">
        <v>766</v>
      </c>
      <c r="G1205" s="93" t="str">
        <f>TEXT(Table7[[#This Row],[EXPIRY DATE]],"MMM")</f>
        <v>CLOSED</v>
      </c>
      <c r="H1205" s="93" t="str">
        <f>TEXT(Table7[[#This Row],[EXPIRY DATE]],"YYY")</f>
        <v>CLOSED</v>
      </c>
      <c r="I1205" s="92" t="s">
        <v>607</v>
      </c>
      <c r="J1205" s="75"/>
    </row>
    <row r="1206" spans="1:10" x14ac:dyDescent="0.3">
      <c r="A1206" s="84">
        <v>1205</v>
      </c>
      <c r="B1206" s="84" t="s">
        <v>2088</v>
      </c>
      <c r="C1206" s="84" t="s">
        <v>194</v>
      </c>
      <c r="D1206" s="115" t="s">
        <v>2089</v>
      </c>
      <c r="E1206" s="85" t="s">
        <v>605</v>
      </c>
      <c r="F1206" s="85" t="s">
        <v>629</v>
      </c>
      <c r="G1206" s="85" t="str">
        <f>TEXT(Table7[[#This Row],[EXPIRY DATE]],"MMM")</f>
        <v>LIFETIME</v>
      </c>
      <c r="H1206" s="85" t="str">
        <f>TEXT(Table7[[#This Row],[EXPIRY DATE]],"YYY")</f>
        <v>LIFETIME</v>
      </c>
      <c r="I1206" s="84" t="s">
        <v>602</v>
      </c>
      <c r="J1206" s="69"/>
    </row>
    <row r="1207" spans="1:10" x14ac:dyDescent="0.3">
      <c r="A1207" s="84">
        <v>1206</v>
      </c>
      <c r="B1207" s="84" t="s">
        <v>2090</v>
      </c>
      <c r="C1207" s="92" t="s">
        <v>194</v>
      </c>
      <c r="D1207" s="119" t="s">
        <v>2091</v>
      </c>
      <c r="E1207" s="93" t="s">
        <v>601</v>
      </c>
      <c r="F1207" s="93" t="s">
        <v>766</v>
      </c>
      <c r="G1207" s="93" t="str">
        <f>TEXT(Table7[[#This Row],[EXPIRY DATE]],"MMM")</f>
        <v>CLOSED</v>
      </c>
      <c r="H1207" s="93" t="str">
        <f>TEXT(Table7[[#This Row],[EXPIRY DATE]],"YYY")</f>
        <v>CLOSED</v>
      </c>
      <c r="I1207" s="92" t="s">
        <v>602</v>
      </c>
      <c r="J1207" s="75"/>
    </row>
    <row r="1208" spans="1:10" x14ac:dyDescent="0.3">
      <c r="A1208" s="84">
        <v>1207</v>
      </c>
      <c r="B1208" s="84" t="s">
        <v>2090</v>
      </c>
      <c r="C1208" s="92" t="s">
        <v>194</v>
      </c>
      <c r="D1208" s="119" t="s">
        <v>2091</v>
      </c>
      <c r="E1208" s="93" t="s">
        <v>601</v>
      </c>
      <c r="F1208" s="93" t="s">
        <v>766</v>
      </c>
      <c r="G1208" s="93" t="str">
        <f>TEXT(Table7[[#This Row],[EXPIRY DATE]],"MMM")</f>
        <v>CLOSED</v>
      </c>
      <c r="H1208" s="93" t="str">
        <f>TEXT(Table7[[#This Row],[EXPIRY DATE]],"YYY")</f>
        <v>CLOSED</v>
      </c>
      <c r="I1208" s="92" t="s">
        <v>839</v>
      </c>
      <c r="J1208" s="75"/>
    </row>
    <row r="1209" spans="1:10" x14ac:dyDescent="0.3">
      <c r="A1209" s="84">
        <v>1208</v>
      </c>
      <c r="B1209" s="84" t="s">
        <v>2034</v>
      </c>
      <c r="C1209" s="84" t="s">
        <v>194</v>
      </c>
      <c r="D1209" s="115" t="s">
        <v>2035</v>
      </c>
      <c r="E1209" s="85" t="s">
        <v>1172</v>
      </c>
      <c r="F1209" s="85" t="s">
        <v>629</v>
      </c>
      <c r="G1209" s="85" t="str">
        <f>TEXT(Table7[[#This Row],[EXPIRY DATE]],"MMM")</f>
        <v>LIFETIME</v>
      </c>
      <c r="H1209" s="85" t="str">
        <f>TEXT(Table7[[#This Row],[EXPIRY DATE]],"YYY")</f>
        <v>LIFETIME</v>
      </c>
      <c r="I1209" s="84" t="s">
        <v>602</v>
      </c>
      <c r="J1209" s="69"/>
    </row>
    <row r="1210" spans="1:10" x14ac:dyDescent="0.3">
      <c r="A1210" s="84">
        <v>1209</v>
      </c>
      <c r="B1210" s="84" t="s">
        <v>2026</v>
      </c>
      <c r="C1210" s="84" t="s">
        <v>194</v>
      </c>
      <c r="D1210" s="115" t="s">
        <v>2027</v>
      </c>
      <c r="E1210" s="85" t="s">
        <v>605</v>
      </c>
      <c r="F1210" s="85" t="s">
        <v>81</v>
      </c>
      <c r="G1210" s="85" t="str">
        <f>TEXT(Table7[[#This Row],[EXPIRY DATE]],"MMM")</f>
        <v>NA</v>
      </c>
      <c r="H1210" s="85" t="str">
        <f>TEXT(Table7[[#This Row],[EXPIRY DATE]],"YYY")</f>
        <v>NA</v>
      </c>
      <c r="I1210" s="84" t="s">
        <v>916</v>
      </c>
      <c r="J1210" s="69"/>
    </row>
    <row r="1211" spans="1:10" x14ac:dyDescent="0.3">
      <c r="A1211" s="84">
        <v>1210</v>
      </c>
      <c r="B1211" s="84" t="s">
        <v>2092</v>
      </c>
      <c r="C1211" s="84" t="s">
        <v>2093</v>
      </c>
      <c r="D1211" s="115" t="s">
        <v>2094</v>
      </c>
      <c r="E1211" s="85" t="s">
        <v>616</v>
      </c>
      <c r="F1211" s="85">
        <v>45978</v>
      </c>
      <c r="G1211" s="85" t="str">
        <f>TEXT(Table7[[#This Row],[EXPIRY DATE]],"MMM")</f>
        <v>Nov</v>
      </c>
      <c r="H1211" s="85" t="str">
        <f>TEXT(Table7[[#This Row],[EXPIRY DATE]],"YYY")</f>
        <v>2025</v>
      </c>
      <c r="I1211" s="84" t="s">
        <v>839</v>
      </c>
      <c r="J1211" s="69"/>
    </row>
    <row r="1212" spans="1:10" x14ac:dyDescent="0.3">
      <c r="A1212" s="84">
        <v>1211</v>
      </c>
      <c r="B1212" s="84" t="s">
        <v>2092</v>
      </c>
      <c r="C1212" s="84" t="s">
        <v>2093</v>
      </c>
      <c r="D1212" s="115" t="s">
        <v>2094</v>
      </c>
      <c r="E1212" s="85" t="s">
        <v>616</v>
      </c>
      <c r="F1212" s="85">
        <v>46053</v>
      </c>
      <c r="G1212" s="85" t="str">
        <f>TEXT(Table7[[#This Row],[EXPIRY DATE]],"MMM")</f>
        <v>Jan</v>
      </c>
      <c r="H1212" s="85" t="str">
        <f>TEXT(Table7[[#This Row],[EXPIRY DATE]],"YYY")</f>
        <v>2026</v>
      </c>
      <c r="I1212" s="84" t="s">
        <v>621</v>
      </c>
      <c r="J1212" s="69"/>
    </row>
    <row r="1213" spans="1:10" x14ac:dyDescent="0.3">
      <c r="A1213" s="84">
        <v>1212</v>
      </c>
      <c r="B1213" s="84" t="s">
        <v>2095</v>
      </c>
      <c r="C1213" s="84" t="s">
        <v>2093</v>
      </c>
      <c r="D1213" s="115" t="s">
        <v>2096</v>
      </c>
      <c r="E1213" s="85" t="s">
        <v>616</v>
      </c>
      <c r="F1213" s="85">
        <v>46139</v>
      </c>
      <c r="G1213" s="85" t="str">
        <f>TEXT(Table7[[#This Row],[EXPIRY DATE]],"MMM")</f>
        <v>Apr</v>
      </c>
      <c r="H1213" s="85" t="str">
        <f>TEXT(Table7[[#This Row],[EXPIRY DATE]],"YYY")</f>
        <v>2026</v>
      </c>
      <c r="I1213" s="84" t="s">
        <v>839</v>
      </c>
      <c r="J1213" s="69"/>
    </row>
    <row r="1214" spans="1:10" x14ac:dyDescent="0.3">
      <c r="A1214" s="84">
        <v>1213</v>
      </c>
      <c r="B1214" s="84" t="s">
        <v>2097</v>
      </c>
      <c r="C1214" s="84" t="s">
        <v>2093</v>
      </c>
      <c r="D1214" s="115" t="s">
        <v>2098</v>
      </c>
      <c r="E1214" s="85" t="s">
        <v>613</v>
      </c>
      <c r="F1214" s="85">
        <v>46150</v>
      </c>
      <c r="G1214" s="85" t="str">
        <f>TEXT(Table7[[#This Row],[EXPIRY DATE]],"MMM")</f>
        <v>May</v>
      </c>
      <c r="H1214" s="85" t="str">
        <f>TEXT(Table7[[#This Row],[EXPIRY DATE]],"YYY")</f>
        <v>2026</v>
      </c>
      <c r="I1214" s="84" t="s">
        <v>916</v>
      </c>
      <c r="J1214" s="69"/>
    </row>
    <row r="1215" spans="1:10" x14ac:dyDescent="0.3">
      <c r="A1215" s="84">
        <v>1214</v>
      </c>
      <c r="B1215" s="84" t="s">
        <v>2099</v>
      </c>
      <c r="C1215" s="84" t="s">
        <v>2093</v>
      </c>
      <c r="D1215" s="115" t="s">
        <v>2096</v>
      </c>
      <c r="E1215" s="85" t="s">
        <v>616</v>
      </c>
      <c r="F1215" s="85">
        <v>46293</v>
      </c>
      <c r="G1215" s="85" t="str">
        <f>TEXT(Table7[[#This Row],[EXPIRY DATE]],"MMM")</f>
        <v>Sep</v>
      </c>
      <c r="H1215" s="85" t="str">
        <f>TEXT(Table7[[#This Row],[EXPIRY DATE]],"YYY")</f>
        <v>2026</v>
      </c>
      <c r="I1215" s="84" t="s">
        <v>621</v>
      </c>
      <c r="J1215" s="69"/>
    </row>
    <row r="1216" spans="1:10" x14ac:dyDescent="0.3">
      <c r="A1216" s="84">
        <v>1215</v>
      </c>
      <c r="B1216" s="84" t="s">
        <v>2092</v>
      </c>
      <c r="C1216" s="84" t="s">
        <v>2093</v>
      </c>
      <c r="D1216" s="115" t="s">
        <v>2094</v>
      </c>
      <c r="E1216" s="85" t="s">
        <v>616</v>
      </c>
      <c r="F1216" s="85">
        <v>47172</v>
      </c>
      <c r="G1216" s="85" t="str">
        <f>TEXT(Table7[[#This Row],[EXPIRY DATE]],"MMM")</f>
        <v>Feb</v>
      </c>
      <c r="H1216" s="85" t="str">
        <f>TEXT(Table7[[#This Row],[EXPIRY DATE]],"YYY")</f>
        <v>2029</v>
      </c>
      <c r="I1216" s="85" t="s">
        <v>791</v>
      </c>
      <c r="J1216" s="69"/>
    </row>
    <row r="1217" spans="1:10" x14ac:dyDescent="0.3">
      <c r="A1217" s="84">
        <v>1216</v>
      </c>
      <c r="B1217" s="84" t="s">
        <v>2097</v>
      </c>
      <c r="C1217" s="84" t="s">
        <v>2093</v>
      </c>
      <c r="D1217" s="115" t="s">
        <v>2098</v>
      </c>
      <c r="E1217" s="85" t="s">
        <v>613</v>
      </c>
      <c r="F1217" s="85">
        <v>47185</v>
      </c>
      <c r="G1217" s="85" t="str">
        <f>TEXT(Table7[[#This Row],[EXPIRY DATE]],"MMM")</f>
        <v>Mar</v>
      </c>
      <c r="H1217" s="85" t="str">
        <f>TEXT(Table7[[#This Row],[EXPIRY DATE]],"YYY")</f>
        <v>2029</v>
      </c>
      <c r="I1217" s="85" t="s">
        <v>791</v>
      </c>
      <c r="J1217" s="69"/>
    </row>
    <row r="1218" spans="1:10" x14ac:dyDescent="0.3">
      <c r="A1218" s="84">
        <v>1217</v>
      </c>
      <c r="B1218" s="84" t="s">
        <v>2095</v>
      </c>
      <c r="C1218" s="84" t="s">
        <v>2093</v>
      </c>
      <c r="D1218" s="115" t="s">
        <v>2096</v>
      </c>
      <c r="E1218" s="85" t="s">
        <v>616</v>
      </c>
      <c r="F1218" s="85">
        <v>47234</v>
      </c>
      <c r="G1218" s="85" t="str">
        <f>TEXT(Table7[[#This Row],[EXPIRY DATE]],"MMM")</f>
        <v>Apr</v>
      </c>
      <c r="H1218" s="85" t="str">
        <f>TEXT(Table7[[#This Row],[EXPIRY DATE]],"YYY")</f>
        <v>2029</v>
      </c>
      <c r="I1218" s="85" t="s">
        <v>791</v>
      </c>
      <c r="J1218" s="69"/>
    </row>
    <row r="1219" spans="1:10" x14ac:dyDescent="0.3">
      <c r="A1219" s="84">
        <v>1218</v>
      </c>
      <c r="B1219" s="84" t="s">
        <v>2095</v>
      </c>
      <c r="C1219" s="84" t="s">
        <v>2093</v>
      </c>
      <c r="D1219" s="115" t="s">
        <v>2096</v>
      </c>
      <c r="E1219" s="85" t="s">
        <v>616</v>
      </c>
      <c r="F1219" s="85" t="s">
        <v>81</v>
      </c>
      <c r="G1219" s="85" t="str">
        <f>TEXT(Table7[[#This Row],[EXPIRY DATE]],"MMM")</f>
        <v>NA</v>
      </c>
      <c r="H1219" s="85" t="str">
        <f>TEXT(Table7[[#This Row],[EXPIRY DATE]],"YYY")</f>
        <v>NA</v>
      </c>
      <c r="I1219" s="84" t="s">
        <v>602</v>
      </c>
      <c r="J1219" s="69"/>
    </row>
    <row r="1220" spans="1:10" x14ac:dyDescent="0.3">
      <c r="A1220" s="84">
        <v>1219</v>
      </c>
      <c r="B1220" s="84" t="s">
        <v>2095</v>
      </c>
      <c r="C1220" s="84" t="s">
        <v>2093</v>
      </c>
      <c r="D1220" s="115" t="s">
        <v>2096</v>
      </c>
      <c r="E1220" s="85" t="s">
        <v>616</v>
      </c>
      <c r="F1220" s="85" t="s">
        <v>629</v>
      </c>
      <c r="G1220" s="85" t="str">
        <f>TEXT(Table7[[#This Row],[EXPIRY DATE]],"MMM")</f>
        <v>LIFETIME</v>
      </c>
      <c r="H1220" s="85" t="str">
        <f>TEXT(Table7[[#This Row],[EXPIRY DATE]],"YYY")</f>
        <v>LIFETIME</v>
      </c>
      <c r="I1220" s="84" t="s">
        <v>916</v>
      </c>
      <c r="J1220" s="69"/>
    </row>
    <row r="1221" spans="1:10" x14ac:dyDescent="0.3">
      <c r="A1221" s="84">
        <v>1220</v>
      </c>
      <c r="B1221" s="84" t="s">
        <v>2092</v>
      </c>
      <c r="C1221" s="84" t="s">
        <v>2093</v>
      </c>
      <c r="D1221" s="115" t="s">
        <v>2094</v>
      </c>
      <c r="E1221" s="85" t="s">
        <v>616</v>
      </c>
      <c r="F1221" s="85" t="s">
        <v>81</v>
      </c>
      <c r="G1221" s="85" t="str">
        <f>TEXT(Table7[[#This Row],[EXPIRY DATE]],"MMM")</f>
        <v>NA</v>
      </c>
      <c r="H1221" s="85" t="str">
        <f>TEXT(Table7[[#This Row],[EXPIRY DATE]],"YYY")</f>
        <v>NA</v>
      </c>
      <c r="I1221" s="84" t="s">
        <v>602</v>
      </c>
      <c r="J1221" s="69"/>
    </row>
    <row r="1222" spans="1:10" x14ac:dyDescent="0.3">
      <c r="A1222" s="84">
        <v>1221</v>
      </c>
      <c r="B1222" s="84" t="s">
        <v>2092</v>
      </c>
      <c r="C1222" s="84" t="s">
        <v>2093</v>
      </c>
      <c r="D1222" s="115" t="s">
        <v>2094</v>
      </c>
      <c r="E1222" s="85" t="s">
        <v>616</v>
      </c>
      <c r="F1222" s="85" t="s">
        <v>629</v>
      </c>
      <c r="G1222" s="85" t="str">
        <f>TEXT(Table7[[#This Row],[EXPIRY DATE]],"MMM")</f>
        <v>LIFETIME</v>
      </c>
      <c r="H1222" s="85" t="str">
        <f>TEXT(Table7[[#This Row],[EXPIRY DATE]],"YYY")</f>
        <v>LIFETIME</v>
      </c>
      <c r="I1222" s="84" t="s">
        <v>916</v>
      </c>
      <c r="J1222" s="69"/>
    </row>
    <row r="1223" spans="1:10" x14ac:dyDescent="0.3">
      <c r="A1223" s="84">
        <v>1222</v>
      </c>
      <c r="B1223" s="84" t="s">
        <v>2100</v>
      </c>
      <c r="C1223" s="102" t="s">
        <v>2101</v>
      </c>
      <c r="D1223" s="115" t="s">
        <v>2102</v>
      </c>
      <c r="E1223" s="103"/>
      <c r="F1223" s="103" t="s">
        <v>817</v>
      </c>
      <c r="G1223" s="103" t="str">
        <f>TEXT(Table7[[#This Row],[EXPIRY DATE]],"MMM")</f>
        <v>DORMANT</v>
      </c>
      <c r="H1223" s="103" t="str">
        <f>TEXT(Table7[[#This Row],[EXPIRY DATE]],"YYY")</f>
        <v>DORMANT</v>
      </c>
      <c r="I1223" s="103" t="s">
        <v>791</v>
      </c>
      <c r="J1223" s="77"/>
    </row>
    <row r="1224" spans="1:10" x14ac:dyDescent="0.3">
      <c r="A1224" s="84">
        <v>1223</v>
      </c>
      <c r="B1224" s="84" t="s">
        <v>2103</v>
      </c>
      <c r="C1224" s="84" t="s">
        <v>2104</v>
      </c>
      <c r="D1224" s="115" t="s">
        <v>2105</v>
      </c>
      <c r="E1224" s="85" t="s">
        <v>931</v>
      </c>
      <c r="F1224" s="85">
        <v>46112</v>
      </c>
      <c r="G1224" s="85" t="s">
        <v>606</v>
      </c>
      <c r="H1224" s="85" t="str">
        <f>TEXT(Table7[[#This Row],[EXPIRY DATE]],"YYY")</f>
        <v>2026</v>
      </c>
      <c r="I1224" s="84" t="s">
        <v>607</v>
      </c>
      <c r="J1224" s="69"/>
    </row>
    <row r="1225" spans="1:10" x14ac:dyDescent="0.3">
      <c r="A1225" s="84">
        <v>1224</v>
      </c>
      <c r="B1225" s="84" t="s">
        <v>504</v>
      </c>
      <c r="C1225" s="84" t="s">
        <v>2104</v>
      </c>
      <c r="D1225" s="115" t="s">
        <v>2106</v>
      </c>
      <c r="E1225" s="85" t="s">
        <v>1164</v>
      </c>
      <c r="F1225" s="85">
        <v>46227</v>
      </c>
      <c r="G1225" s="85" t="s">
        <v>619</v>
      </c>
      <c r="H1225" s="85" t="str">
        <f>TEXT(Table7[[#This Row],[EXPIRY DATE]],"YYY")</f>
        <v>2026</v>
      </c>
      <c r="I1225" s="84" t="s">
        <v>602</v>
      </c>
      <c r="J1225" s="69"/>
    </row>
    <row r="1226" spans="1:10" x14ac:dyDescent="0.3">
      <c r="A1226" s="84">
        <v>1225</v>
      </c>
      <c r="B1226" s="84" t="s">
        <v>2103</v>
      </c>
      <c r="C1226" s="84" t="s">
        <v>2104</v>
      </c>
      <c r="D1226" s="115" t="s">
        <v>2105</v>
      </c>
      <c r="E1226" s="85" t="s">
        <v>931</v>
      </c>
      <c r="F1226" s="85">
        <v>46244</v>
      </c>
      <c r="G1226" s="85" t="s">
        <v>897</v>
      </c>
      <c r="H1226" s="85" t="str">
        <f>TEXT(Table7[[#This Row],[EXPIRY DATE]],"YYY")</f>
        <v>2026</v>
      </c>
      <c r="I1226" s="84" t="s">
        <v>602</v>
      </c>
      <c r="J1226" s="69"/>
    </row>
    <row r="1227" spans="1:10" x14ac:dyDescent="0.3">
      <c r="A1227" s="84">
        <v>1226</v>
      </c>
      <c r="B1227" s="84" t="s">
        <v>2107</v>
      </c>
      <c r="C1227" s="84" t="s">
        <v>2104</v>
      </c>
      <c r="D1227" s="115" t="s">
        <v>2108</v>
      </c>
      <c r="E1227" s="85" t="s">
        <v>2109</v>
      </c>
      <c r="F1227" s="85">
        <v>46282</v>
      </c>
      <c r="G1227" s="85" t="s">
        <v>591</v>
      </c>
      <c r="H1227" s="85" t="str">
        <f>TEXT(Table7[[#This Row],[EXPIRY DATE]],"YYY")</f>
        <v>2026</v>
      </c>
      <c r="I1227" s="84" t="s">
        <v>607</v>
      </c>
      <c r="J1227" s="69"/>
    </row>
    <row r="1228" spans="1:10" x14ac:dyDescent="0.3">
      <c r="A1228" s="84">
        <v>1227</v>
      </c>
      <c r="B1228" s="84" t="s">
        <v>2110</v>
      </c>
      <c r="C1228" s="84" t="s">
        <v>2111</v>
      </c>
      <c r="D1228" s="115" t="s">
        <v>2112</v>
      </c>
      <c r="E1228" s="85" t="s">
        <v>717</v>
      </c>
      <c r="F1228" s="85">
        <v>45872</v>
      </c>
      <c r="G1228" s="85" t="str">
        <f>TEXT(Table7[[#This Row],[EXPIRY DATE]],"MMM")</f>
        <v>Aug</v>
      </c>
      <c r="H1228" s="85" t="str">
        <f>TEXT(Table7[[#This Row],[EXPIRY DATE]],"YYY")</f>
        <v>2025</v>
      </c>
      <c r="I1228" s="84" t="s">
        <v>602</v>
      </c>
      <c r="J1228" s="69"/>
    </row>
    <row r="1229" spans="1:10" ht="20.399999999999999" x14ac:dyDescent="0.3">
      <c r="A1229" s="84">
        <v>1228</v>
      </c>
      <c r="B1229" s="84" t="s">
        <v>2113</v>
      </c>
      <c r="C1229" s="84" t="s">
        <v>2111</v>
      </c>
      <c r="D1229" s="115" t="s">
        <v>2114</v>
      </c>
      <c r="E1229" s="85" t="s">
        <v>2115</v>
      </c>
      <c r="F1229" s="85">
        <v>45872</v>
      </c>
      <c r="G1229" s="85" t="str">
        <f>TEXT(Table7[[#This Row],[EXPIRY DATE]],"MMM")</f>
        <v>Aug</v>
      </c>
      <c r="H1229" s="85" t="str">
        <f>TEXT(Table7[[#This Row],[EXPIRY DATE]],"YYY")</f>
        <v>2025</v>
      </c>
      <c r="I1229" s="84" t="s">
        <v>602</v>
      </c>
      <c r="J1229" s="69"/>
    </row>
    <row r="1230" spans="1:10" x14ac:dyDescent="0.3">
      <c r="A1230" s="84">
        <v>1229</v>
      </c>
      <c r="B1230" s="84" t="s">
        <v>2116</v>
      </c>
      <c r="C1230" s="84" t="s">
        <v>2111</v>
      </c>
      <c r="D1230" s="115" t="s">
        <v>2117</v>
      </c>
      <c r="E1230" s="85" t="s">
        <v>717</v>
      </c>
      <c r="F1230" s="85">
        <v>45880</v>
      </c>
      <c r="G1230" s="85" t="str">
        <f>TEXT(Table7[[#This Row],[EXPIRY DATE]],"MMM")</f>
        <v>Aug</v>
      </c>
      <c r="H1230" s="85" t="str">
        <f>TEXT(Table7[[#This Row],[EXPIRY DATE]],"YYY")</f>
        <v>2025</v>
      </c>
      <c r="I1230" s="84" t="s">
        <v>602</v>
      </c>
      <c r="J1230" s="69"/>
    </row>
    <row r="1231" spans="1:10" x14ac:dyDescent="0.3">
      <c r="A1231" s="84">
        <v>1230</v>
      </c>
      <c r="B1231" s="84" t="s">
        <v>2118</v>
      </c>
      <c r="C1231" s="84" t="s">
        <v>2111</v>
      </c>
      <c r="D1231" s="115" t="s">
        <v>2119</v>
      </c>
      <c r="E1231" s="85" t="s">
        <v>605</v>
      </c>
      <c r="F1231" s="85">
        <v>46022</v>
      </c>
      <c r="G1231" s="85" t="str">
        <f>TEXT(Table7[[#This Row],[EXPIRY DATE]],"MMM")</f>
        <v>Dec</v>
      </c>
      <c r="H1231" s="85" t="str">
        <f>TEXT(Table7[[#This Row],[EXPIRY DATE]],"YYY")</f>
        <v>2025</v>
      </c>
      <c r="I1231" s="84" t="s">
        <v>602</v>
      </c>
      <c r="J1231" s="69"/>
    </row>
    <row r="1232" spans="1:10" x14ac:dyDescent="0.3">
      <c r="A1232" s="84">
        <v>1231</v>
      </c>
      <c r="B1232" s="84" t="s">
        <v>2120</v>
      </c>
      <c r="C1232" s="84" t="s">
        <v>2111</v>
      </c>
      <c r="D1232" s="115" t="s">
        <v>2121</v>
      </c>
      <c r="E1232" s="85" t="s">
        <v>652</v>
      </c>
      <c r="F1232" s="85">
        <v>46037</v>
      </c>
      <c r="G1232" s="85" t="str">
        <f>TEXT(Table7[[#This Row],[EXPIRY DATE]],"MMM")</f>
        <v>Jan</v>
      </c>
      <c r="H1232" s="85" t="str">
        <f>TEXT(Table7[[#This Row],[EXPIRY DATE]],"YYY")</f>
        <v>2026</v>
      </c>
      <c r="I1232" s="84" t="s">
        <v>621</v>
      </c>
      <c r="J1232" s="69"/>
    </row>
    <row r="1233" spans="1:10" x14ac:dyDescent="0.3">
      <c r="A1233" s="84">
        <v>1232</v>
      </c>
      <c r="B1233" s="84" t="s">
        <v>2122</v>
      </c>
      <c r="C1233" s="84" t="s">
        <v>2111</v>
      </c>
      <c r="D1233" s="115" t="s">
        <v>2123</v>
      </c>
      <c r="E1233" s="85" t="s">
        <v>652</v>
      </c>
      <c r="F1233" s="85">
        <v>46037</v>
      </c>
      <c r="G1233" s="85" t="str">
        <f>TEXT(Table7[[#This Row],[EXPIRY DATE]],"MMM")</f>
        <v>Jan</v>
      </c>
      <c r="H1233" s="85" t="str">
        <f>TEXT(Table7[[#This Row],[EXPIRY DATE]],"YYY")</f>
        <v>2026</v>
      </c>
      <c r="I1233" s="84" t="s">
        <v>621</v>
      </c>
      <c r="J1233" s="69"/>
    </row>
    <row r="1234" spans="1:10" x14ac:dyDescent="0.3">
      <c r="A1234" s="84">
        <v>1233</v>
      </c>
      <c r="B1234" s="84" t="s">
        <v>2120</v>
      </c>
      <c r="C1234" s="84" t="s">
        <v>2111</v>
      </c>
      <c r="D1234" s="115" t="s">
        <v>2121</v>
      </c>
      <c r="E1234" s="85" t="s">
        <v>652</v>
      </c>
      <c r="F1234" s="85">
        <v>46112</v>
      </c>
      <c r="G1234" s="85" t="str">
        <f>TEXT(Table7[[#This Row],[EXPIRY DATE]],"MMM")</f>
        <v>Mar</v>
      </c>
      <c r="H1234" s="85" t="str">
        <f>TEXT(Table7[[#This Row],[EXPIRY DATE]],"YYY")</f>
        <v>2026</v>
      </c>
      <c r="I1234" s="84" t="s">
        <v>602</v>
      </c>
      <c r="J1234" s="69"/>
    </row>
    <row r="1235" spans="1:10" x14ac:dyDescent="0.3">
      <c r="A1235" s="84">
        <v>1234</v>
      </c>
      <c r="B1235" s="84" t="s">
        <v>2120</v>
      </c>
      <c r="C1235" s="84" t="s">
        <v>2111</v>
      </c>
      <c r="D1235" s="115" t="s">
        <v>2121</v>
      </c>
      <c r="E1235" s="85" t="s">
        <v>652</v>
      </c>
      <c r="F1235" s="85">
        <v>46112</v>
      </c>
      <c r="G1235" s="85" t="s">
        <v>606</v>
      </c>
      <c r="H1235" s="85" t="str">
        <f>TEXT(Table7[[#This Row],[EXPIRY DATE]],"YYY")</f>
        <v>2026</v>
      </c>
      <c r="I1235" s="84" t="s">
        <v>607</v>
      </c>
      <c r="J1235" s="69"/>
    </row>
    <row r="1236" spans="1:10" x14ac:dyDescent="0.3">
      <c r="A1236" s="84">
        <v>1235</v>
      </c>
      <c r="B1236" s="84" t="s">
        <v>2122</v>
      </c>
      <c r="C1236" s="84" t="s">
        <v>2111</v>
      </c>
      <c r="D1236" s="115" t="s">
        <v>2123</v>
      </c>
      <c r="E1236" s="85" t="s">
        <v>652</v>
      </c>
      <c r="F1236" s="85">
        <v>46112</v>
      </c>
      <c r="G1236" s="85" t="str">
        <f>TEXT(Table7[[#This Row],[EXPIRY DATE]],"MMM")</f>
        <v>Mar</v>
      </c>
      <c r="H1236" s="85" t="str">
        <f>TEXT(Table7[[#This Row],[EXPIRY DATE]],"YYY")</f>
        <v>2026</v>
      </c>
      <c r="I1236" s="84" t="s">
        <v>602</v>
      </c>
      <c r="J1236" s="69"/>
    </row>
    <row r="1237" spans="1:10" x14ac:dyDescent="0.3">
      <c r="A1237" s="84">
        <v>1236</v>
      </c>
      <c r="B1237" s="84" t="s">
        <v>2122</v>
      </c>
      <c r="C1237" s="84" t="s">
        <v>2111</v>
      </c>
      <c r="D1237" s="115" t="s">
        <v>2123</v>
      </c>
      <c r="E1237" s="85" t="s">
        <v>652</v>
      </c>
      <c r="F1237" s="85">
        <v>46112</v>
      </c>
      <c r="G1237" s="85" t="s">
        <v>606</v>
      </c>
      <c r="H1237" s="85" t="str">
        <f>TEXT(Table7[[#This Row],[EXPIRY DATE]],"YYY")</f>
        <v>2026</v>
      </c>
      <c r="I1237" s="84" t="s">
        <v>607</v>
      </c>
      <c r="J1237" s="69"/>
    </row>
    <row r="1238" spans="1:10" ht="20.399999999999999" x14ac:dyDescent="0.3">
      <c r="A1238" s="84">
        <v>1237</v>
      </c>
      <c r="B1238" s="84" t="s">
        <v>2124</v>
      </c>
      <c r="C1238" s="84" t="s">
        <v>2111</v>
      </c>
      <c r="D1238" s="115" t="s">
        <v>2125</v>
      </c>
      <c r="E1238" s="85" t="s">
        <v>605</v>
      </c>
      <c r="F1238" s="85">
        <v>46112</v>
      </c>
      <c r="G1238" s="85" t="str">
        <f>TEXT(Table7[[#This Row],[EXPIRY DATE]],"MMM")</f>
        <v>Mar</v>
      </c>
      <c r="H1238" s="85" t="str">
        <f>TEXT(Table7[[#This Row],[EXPIRY DATE]],"YYY")</f>
        <v>2026</v>
      </c>
      <c r="I1238" s="84" t="s">
        <v>607</v>
      </c>
      <c r="J1238" s="69"/>
    </row>
    <row r="1239" spans="1:10" ht="20.399999999999999" x14ac:dyDescent="0.3">
      <c r="A1239" s="84">
        <v>1238</v>
      </c>
      <c r="B1239" s="84" t="s">
        <v>2126</v>
      </c>
      <c r="C1239" s="84" t="s">
        <v>2111</v>
      </c>
      <c r="D1239" s="115" t="s">
        <v>2127</v>
      </c>
      <c r="E1239" s="85" t="s">
        <v>605</v>
      </c>
      <c r="F1239" s="85">
        <v>46112</v>
      </c>
      <c r="G1239" s="85" t="str">
        <f>TEXT(Table7[[#This Row],[EXPIRY DATE]],"MMM")</f>
        <v>Mar</v>
      </c>
      <c r="H1239" s="85" t="str">
        <f>TEXT(Table7[[#This Row],[EXPIRY DATE]],"YYY")</f>
        <v>2026</v>
      </c>
      <c r="I1239" s="84" t="s">
        <v>607</v>
      </c>
      <c r="J1239" s="69"/>
    </row>
    <row r="1240" spans="1:10" x14ac:dyDescent="0.3">
      <c r="A1240" s="84">
        <v>1239</v>
      </c>
      <c r="B1240" s="84" t="s">
        <v>2118</v>
      </c>
      <c r="C1240" s="84" t="s">
        <v>2111</v>
      </c>
      <c r="D1240" s="115" t="s">
        <v>2119</v>
      </c>
      <c r="E1240" s="85" t="s">
        <v>605</v>
      </c>
      <c r="F1240" s="85">
        <v>46112</v>
      </c>
      <c r="G1240" s="85" t="s">
        <v>606</v>
      </c>
      <c r="H1240" s="85" t="str">
        <f>TEXT(Table7[[#This Row],[EXPIRY DATE]],"YYY")</f>
        <v>2026</v>
      </c>
      <c r="I1240" s="84" t="s">
        <v>607</v>
      </c>
      <c r="J1240" s="69"/>
    </row>
    <row r="1241" spans="1:10" ht="30.6" x14ac:dyDescent="0.3">
      <c r="A1241" s="84">
        <v>1240</v>
      </c>
      <c r="B1241" s="84" t="s">
        <v>2128</v>
      </c>
      <c r="C1241" s="84" t="s">
        <v>2111</v>
      </c>
      <c r="D1241" s="115" t="s">
        <v>2129</v>
      </c>
      <c r="E1241" s="85" t="s">
        <v>605</v>
      </c>
      <c r="F1241" s="85">
        <v>46112</v>
      </c>
      <c r="G1241" s="85" t="s">
        <v>606</v>
      </c>
      <c r="H1241" s="85" t="str">
        <f>TEXT(Table7[[#This Row],[EXPIRY DATE]],"YYY")</f>
        <v>2026</v>
      </c>
      <c r="I1241" s="84" t="s">
        <v>607</v>
      </c>
      <c r="J1241" s="69"/>
    </row>
    <row r="1242" spans="1:10" x14ac:dyDescent="0.3">
      <c r="A1242" s="84">
        <v>1241</v>
      </c>
      <c r="B1242" s="84" t="s">
        <v>2130</v>
      </c>
      <c r="C1242" s="84" t="s">
        <v>2111</v>
      </c>
      <c r="D1242" s="115" t="s">
        <v>2131</v>
      </c>
      <c r="E1242" s="85" t="s">
        <v>605</v>
      </c>
      <c r="F1242" s="85">
        <v>46112</v>
      </c>
      <c r="G1242" s="85" t="str">
        <f>TEXT(Table7[[#This Row],[EXPIRY DATE]],"MMM")</f>
        <v>Mar</v>
      </c>
      <c r="H1242" s="85" t="str">
        <f>TEXT(Table7[[#This Row],[EXPIRY DATE]],"YYY")</f>
        <v>2026</v>
      </c>
      <c r="I1242" s="84" t="s">
        <v>607</v>
      </c>
      <c r="J1242" s="69"/>
    </row>
    <row r="1243" spans="1:10" x14ac:dyDescent="0.3">
      <c r="A1243" s="84">
        <v>1242</v>
      </c>
      <c r="B1243" s="84" t="s">
        <v>2132</v>
      </c>
      <c r="C1243" s="84" t="s">
        <v>2111</v>
      </c>
      <c r="D1243" s="115" t="s">
        <v>2133</v>
      </c>
      <c r="E1243" s="85" t="s">
        <v>717</v>
      </c>
      <c r="F1243" s="85">
        <v>46237</v>
      </c>
      <c r="G1243" s="85" t="str">
        <f>TEXT(Table7[[#This Row],[EXPIRY DATE]],"MMM")</f>
        <v>Aug</v>
      </c>
      <c r="H1243" s="85" t="str">
        <f>TEXT(Table7[[#This Row],[EXPIRY DATE]],"YYY")</f>
        <v>2026</v>
      </c>
      <c r="I1243" s="84" t="s">
        <v>602</v>
      </c>
      <c r="J1243" s="69"/>
    </row>
    <row r="1244" spans="1:10" ht="20.399999999999999" x14ac:dyDescent="0.3">
      <c r="A1244" s="84">
        <v>1243</v>
      </c>
      <c r="B1244" s="84" t="s">
        <v>1116</v>
      </c>
      <c r="C1244" s="84" t="s">
        <v>2111</v>
      </c>
      <c r="D1244" s="115" t="s">
        <v>2134</v>
      </c>
      <c r="E1244" s="85" t="s">
        <v>717</v>
      </c>
      <c r="F1244" s="85">
        <v>46239</v>
      </c>
      <c r="G1244" s="85" t="str">
        <f>TEXT(Table7[[#This Row],[EXPIRY DATE]],"MMM")</f>
        <v>Aug</v>
      </c>
      <c r="H1244" s="85" t="str">
        <f>TEXT(Table7[[#This Row],[EXPIRY DATE]],"YYY")</f>
        <v>2026</v>
      </c>
      <c r="I1244" s="84" t="s">
        <v>602</v>
      </c>
      <c r="J1244" s="69"/>
    </row>
    <row r="1245" spans="1:10" x14ac:dyDescent="0.3">
      <c r="A1245" s="84">
        <v>1244</v>
      </c>
      <c r="B1245" s="84" t="s">
        <v>2135</v>
      </c>
      <c r="C1245" s="84" t="s">
        <v>2111</v>
      </c>
      <c r="D1245" s="115" t="s">
        <v>2136</v>
      </c>
      <c r="E1245" s="85" t="s">
        <v>610</v>
      </c>
      <c r="F1245" s="85">
        <v>46387</v>
      </c>
      <c r="G1245" s="85" t="str">
        <f>TEXT(Table7[[#This Row],[EXPIRY DATE]],"MMM")</f>
        <v>Dec</v>
      </c>
      <c r="H1245" s="85" t="str">
        <f>TEXT(Table7[[#This Row],[EXPIRY DATE]],"YYY")</f>
        <v>2026</v>
      </c>
      <c r="I1245" s="84" t="s">
        <v>602</v>
      </c>
      <c r="J1245" s="69"/>
    </row>
    <row r="1246" spans="1:10" x14ac:dyDescent="0.3">
      <c r="A1246" s="84">
        <v>1245</v>
      </c>
      <c r="B1246" s="84" t="s">
        <v>2135</v>
      </c>
      <c r="C1246" s="84" t="s">
        <v>2111</v>
      </c>
      <c r="D1246" s="115" t="s">
        <v>2137</v>
      </c>
      <c r="E1246" s="85" t="s">
        <v>610</v>
      </c>
      <c r="F1246" s="85">
        <v>46387</v>
      </c>
      <c r="G1246" s="85" t="str">
        <f>TEXT(Table7[[#This Row],[EXPIRY DATE]],"MMM")</f>
        <v>Dec</v>
      </c>
      <c r="H1246" s="85" t="str">
        <f>TEXT(Table7[[#This Row],[EXPIRY DATE]],"YYY")</f>
        <v>2026</v>
      </c>
      <c r="I1246" s="84" t="s">
        <v>607</v>
      </c>
      <c r="J1246" s="69"/>
    </row>
    <row r="1247" spans="1:10" ht="20.399999999999999" x14ac:dyDescent="0.3">
      <c r="A1247" s="84">
        <v>1246</v>
      </c>
      <c r="B1247" s="84" t="s">
        <v>2124</v>
      </c>
      <c r="C1247" s="84" t="s">
        <v>2111</v>
      </c>
      <c r="D1247" s="115" t="s">
        <v>2125</v>
      </c>
      <c r="E1247" s="85"/>
      <c r="F1247" s="85">
        <v>47118</v>
      </c>
      <c r="G1247" s="85" t="str">
        <f>TEXT(Table7[[#This Row],[EXPIRY DATE]],"MMM")</f>
        <v>Dec</v>
      </c>
      <c r="H1247" s="85" t="str">
        <f>TEXT(Table7[[#This Row],[EXPIRY DATE]],"YYY")</f>
        <v>2028</v>
      </c>
      <c r="I1247" s="84" t="s">
        <v>602</v>
      </c>
      <c r="J1247" s="69"/>
    </row>
    <row r="1248" spans="1:10" ht="20.399999999999999" x14ac:dyDescent="0.3">
      <c r="A1248" s="84">
        <v>1247</v>
      </c>
      <c r="B1248" s="84" t="s">
        <v>2126</v>
      </c>
      <c r="C1248" s="84" t="s">
        <v>2111</v>
      </c>
      <c r="D1248" s="115" t="s">
        <v>2138</v>
      </c>
      <c r="E1248" s="85" t="s">
        <v>605</v>
      </c>
      <c r="F1248" s="85">
        <v>47118</v>
      </c>
      <c r="G1248" s="85" t="str">
        <f>TEXT(Table7[[#This Row],[EXPIRY DATE]],"MMM")</f>
        <v>Dec</v>
      </c>
      <c r="H1248" s="85" t="str">
        <f>TEXT(Table7[[#This Row],[EXPIRY DATE]],"YYY")</f>
        <v>2028</v>
      </c>
      <c r="I1248" s="84" t="s">
        <v>602</v>
      </c>
      <c r="J1248" s="69"/>
    </row>
    <row r="1249" spans="1:10" x14ac:dyDescent="0.3">
      <c r="A1249" s="84">
        <v>1248</v>
      </c>
      <c r="B1249" s="84" t="s">
        <v>2130</v>
      </c>
      <c r="C1249" s="84" t="s">
        <v>2111</v>
      </c>
      <c r="D1249" s="115" t="s">
        <v>2131</v>
      </c>
      <c r="E1249" s="85" t="s">
        <v>605</v>
      </c>
      <c r="F1249" s="85">
        <v>47118</v>
      </c>
      <c r="G1249" s="85" t="str">
        <f>TEXT(Table7[[#This Row],[EXPIRY DATE]],"MMM")</f>
        <v>Dec</v>
      </c>
      <c r="H1249" s="85" t="str">
        <f>TEXT(Table7[[#This Row],[EXPIRY DATE]],"YYY")</f>
        <v>2028</v>
      </c>
      <c r="I1249" s="84" t="s">
        <v>602</v>
      </c>
      <c r="J1249" s="69"/>
    </row>
    <row r="1250" spans="1:10" ht="30.6" x14ac:dyDescent="0.3">
      <c r="A1250" s="84">
        <v>1249</v>
      </c>
      <c r="B1250" s="84" t="s">
        <v>2128</v>
      </c>
      <c r="C1250" s="84" t="s">
        <v>2111</v>
      </c>
      <c r="D1250" s="115" t="s">
        <v>2129</v>
      </c>
      <c r="E1250" s="85" t="s">
        <v>605</v>
      </c>
      <c r="F1250" s="85">
        <v>47483</v>
      </c>
      <c r="G1250" s="85" t="s">
        <v>625</v>
      </c>
      <c r="H1250" s="85" t="str">
        <f>TEXT(Table7[[#This Row],[EXPIRY DATE]],"YYY")</f>
        <v>2029</v>
      </c>
      <c r="I1250" s="84" t="s">
        <v>602</v>
      </c>
      <c r="J1250" s="69"/>
    </row>
    <row r="1251" spans="1:10" x14ac:dyDescent="0.3">
      <c r="A1251" s="84">
        <v>1250</v>
      </c>
      <c r="B1251" s="84" t="s">
        <v>2139</v>
      </c>
      <c r="C1251" s="84" t="s">
        <v>527</v>
      </c>
      <c r="D1251" s="115" t="s">
        <v>2140</v>
      </c>
      <c r="E1251" s="85" t="s">
        <v>601</v>
      </c>
      <c r="F1251" s="85">
        <v>46345</v>
      </c>
      <c r="G1251" s="85" t="s">
        <v>842</v>
      </c>
      <c r="H1251" s="85" t="str">
        <f>TEXT(Table7[[#This Row],[EXPIRY DATE]],"YYY")</f>
        <v>2026</v>
      </c>
      <c r="I1251" s="84" t="s">
        <v>602</v>
      </c>
      <c r="J1251" s="69"/>
    </row>
    <row r="1252" spans="1:10" x14ac:dyDescent="0.3">
      <c r="A1252" s="84">
        <v>1251</v>
      </c>
      <c r="B1252" s="84" t="s">
        <v>2141</v>
      </c>
      <c r="C1252" s="84" t="s">
        <v>2142</v>
      </c>
      <c r="D1252" s="115" t="s">
        <v>2143</v>
      </c>
      <c r="E1252" s="85" t="s">
        <v>652</v>
      </c>
      <c r="F1252" s="85">
        <v>46112</v>
      </c>
      <c r="G1252" s="85" t="s">
        <v>625</v>
      </c>
      <c r="H1252" s="85" t="str">
        <f>TEXT(Table7[[#This Row],[EXPIRY DATE]],"YYY")</f>
        <v>2026</v>
      </c>
      <c r="I1252" s="84" t="s">
        <v>607</v>
      </c>
      <c r="J1252" s="69"/>
    </row>
    <row r="1253" spans="1:10" x14ac:dyDescent="0.3">
      <c r="A1253" s="84">
        <v>1252</v>
      </c>
      <c r="B1253" s="84" t="s">
        <v>2144</v>
      </c>
      <c r="C1253" s="84" t="s">
        <v>2142</v>
      </c>
      <c r="D1253" s="115" t="s">
        <v>2140</v>
      </c>
      <c r="E1253" s="85" t="s">
        <v>601</v>
      </c>
      <c r="F1253" s="85">
        <v>46345</v>
      </c>
      <c r="G1253" s="85" t="s">
        <v>842</v>
      </c>
      <c r="H1253" s="85" t="str">
        <f>TEXT(Table7[[#This Row],[EXPIRY DATE]],"YYY")</f>
        <v>2026</v>
      </c>
      <c r="I1253" s="84" t="s">
        <v>602</v>
      </c>
      <c r="J1253" s="69"/>
    </row>
    <row r="1254" spans="1:10" ht="20.399999999999999" x14ac:dyDescent="0.3">
      <c r="A1254" s="84">
        <v>1253</v>
      </c>
      <c r="B1254" s="84" t="s">
        <v>2145</v>
      </c>
      <c r="C1254" s="84" t="s">
        <v>2146</v>
      </c>
      <c r="D1254" s="115" t="s">
        <v>2147</v>
      </c>
      <c r="E1254" s="85" t="s">
        <v>2148</v>
      </c>
      <c r="F1254" s="85">
        <v>46260</v>
      </c>
      <c r="G1254" s="85" t="s">
        <v>897</v>
      </c>
      <c r="H1254" s="85" t="str">
        <f>TEXT(Table7[[#This Row],[EXPIRY DATE]],"YYY")</f>
        <v>2026</v>
      </c>
      <c r="I1254" s="84" t="s">
        <v>791</v>
      </c>
      <c r="J1254" s="69"/>
    </row>
    <row r="1255" spans="1:10" x14ac:dyDescent="0.3">
      <c r="A1255" s="84">
        <v>1254</v>
      </c>
      <c r="B1255" s="84" t="s">
        <v>2149</v>
      </c>
      <c r="C1255" s="84" t="s">
        <v>2150</v>
      </c>
      <c r="D1255" s="115" t="s">
        <v>2151</v>
      </c>
      <c r="E1255" s="85"/>
      <c r="F1255" s="85" t="s">
        <v>81</v>
      </c>
      <c r="G1255" s="85" t="str">
        <f>TEXT(Table7[[#This Row],[EXPIRY DATE]],"MMM")</f>
        <v>NA</v>
      </c>
      <c r="H1255" s="85" t="str">
        <f>TEXT(Table7[[#This Row],[EXPIRY DATE]],"YYY")</f>
        <v>NA</v>
      </c>
      <c r="I1255" s="84" t="s">
        <v>602</v>
      </c>
      <c r="J1255" s="69"/>
    </row>
    <row r="1256" spans="1:10" x14ac:dyDescent="0.3">
      <c r="A1256" s="84">
        <v>1255</v>
      </c>
      <c r="B1256" s="84" t="s">
        <v>2152</v>
      </c>
      <c r="C1256" s="84" t="s">
        <v>2150</v>
      </c>
      <c r="D1256" s="115" t="s">
        <v>2153</v>
      </c>
      <c r="E1256" s="85"/>
      <c r="F1256" s="85" t="s">
        <v>81</v>
      </c>
      <c r="G1256" s="85" t="str">
        <f>TEXT(Table7[[#This Row],[EXPIRY DATE]],"MMM")</f>
        <v>NA</v>
      </c>
      <c r="H1256" s="85" t="str">
        <f>TEXT(Table7[[#This Row],[EXPIRY DATE]],"YYY")</f>
        <v>NA</v>
      </c>
      <c r="I1256" s="84" t="s">
        <v>602</v>
      </c>
      <c r="J1256" s="69"/>
    </row>
    <row r="1257" spans="1:10" x14ac:dyDescent="0.3">
      <c r="A1257" s="84">
        <v>1256</v>
      </c>
      <c r="B1257" s="84" t="s">
        <v>2154</v>
      </c>
      <c r="C1257" s="84" t="s">
        <v>2150</v>
      </c>
      <c r="D1257" s="115" t="s">
        <v>2155</v>
      </c>
      <c r="E1257" s="85"/>
      <c r="F1257" s="85" t="s">
        <v>81</v>
      </c>
      <c r="G1257" s="85" t="str">
        <f>TEXT(Table7[[#This Row],[EXPIRY DATE]],"MMM")</f>
        <v>NA</v>
      </c>
      <c r="H1257" s="85" t="str">
        <f>TEXT(Table7[[#This Row],[EXPIRY DATE]],"YYY")</f>
        <v>NA</v>
      </c>
      <c r="I1257" s="84" t="s">
        <v>602</v>
      </c>
      <c r="J1257" s="69"/>
    </row>
    <row r="1258" spans="1:10" x14ac:dyDescent="0.3">
      <c r="A1258" s="84">
        <v>1257</v>
      </c>
      <c r="B1258" s="84" t="s">
        <v>2156</v>
      </c>
      <c r="C1258" s="84" t="s">
        <v>2150</v>
      </c>
      <c r="D1258" s="115" t="s">
        <v>2157</v>
      </c>
      <c r="E1258" s="85"/>
      <c r="F1258" s="85" t="s">
        <v>81</v>
      </c>
      <c r="G1258" s="85" t="str">
        <f>TEXT(Table7[[#This Row],[EXPIRY DATE]],"MMM")</f>
        <v>NA</v>
      </c>
      <c r="H1258" s="85" t="str">
        <f>TEXT(Table7[[#This Row],[EXPIRY DATE]],"YYY")</f>
        <v>NA</v>
      </c>
      <c r="I1258" s="84" t="s">
        <v>602</v>
      </c>
      <c r="J1258" s="69"/>
    </row>
    <row r="1259" spans="1:10" x14ac:dyDescent="0.3">
      <c r="A1259" s="84">
        <v>1258</v>
      </c>
      <c r="B1259" s="84" t="s">
        <v>2158</v>
      </c>
      <c r="C1259" s="84" t="s">
        <v>2150</v>
      </c>
      <c r="D1259" s="115" t="s">
        <v>2159</v>
      </c>
      <c r="E1259" s="85"/>
      <c r="F1259" s="85" t="s">
        <v>81</v>
      </c>
      <c r="G1259" s="85" t="str">
        <f>TEXT(Table7[[#This Row],[EXPIRY DATE]],"MMM")</f>
        <v>NA</v>
      </c>
      <c r="H1259" s="85" t="str">
        <f>TEXT(Table7[[#This Row],[EXPIRY DATE]],"YYY")</f>
        <v>NA</v>
      </c>
      <c r="I1259" s="84" t="s">
        <v>602</v>
      </c>
      <c r="J1259" s="69"/>
    </row>
    <row r="1260" spans="1:10" x14ac:dyDescent="0.3">
      <c r="A1260" s="84">
        <v>1259</v>
      </c>
      <c r="B1260" s="84" t="s">
        <v>2160</v>
      </c>
      <c r="C1260" s="84" t="s">
        <v>2150</v>
      </c>
      <c r="D1260" s="115" t="s">
        <v>2161</v>
      </c>
      <c r="E1260" s="85"/>
      <c r="F1260" s="85" t="s">
        <v>81</v>
      </c>
      <c r="G1260" s="85" t="str">
        <f>TEXT(Table7[[#This Row],[EXPIRY DATE]],"MMM")</f>
        <v>NA</v>
      </c>
      <c r="H1260" s="85" t="str">
        <f>TEXT(Table7[[#This Row],[EXPIRY DATE]],"YYY")</f>
        <v>NA</v>
      </c>
      <c r="I1260" s="84" t="s">
        <v>602</v>
      </c>
      <c r="J1260" s="69"/>
    </row>
    <row r="1261" spans="1:10" x14ac:dyDescent="0.3">
      <c r="A1261" s="84">
        <v>1260</v>
      </c>
      <c r="B1261" s="84" t="s">
        <v>2162</v>
      </c>
      <c r="C1261" s="84" t="s">
        <v>2150</v>
      </c>
      <c r="D1261" s="115" t="s">
        <v>2163</v>
      </c>
      <c r="E1261" s="85"/>
      <c r="F1261" s="85" t="s">
        <v>81</v>
      </c>
      <c r="G1261" s="85" t="str">
        <f>TEXT(Table7[[#This Row],[EXPIRY DATE]],"MMM")</f>
        <v>NA</v>
      </c>
      <c r="H1261" s="85" t="str">
        <f>TEXT(Table7[[#This Row],[EXPIRY DATE]],"YYY")</f>
        <v>NA</v>
      </c>
      <c r="I1261" s="84" t="s">
        <v>602</v>
      </c>
      <c r="J1261" s="69"/>
    </row>
    <row r="1262" spans="1:10" x14ac:dyDescent="0.3">
      <c r="A1262" s="84">
        <v>1261</v>
      </c>
      <c r="B1262" s="84" t="s">
        <v>2164</v>
      </c>
      <c r="C1262" s="84" t="s">
        <v>2150</v>
      </c>
      <c r="D1262" s="115" t="s">
        <v>2165</v>
      </c>
      <c r="E1262" s="85"/>
      <c r="F1262" s="85" t="s">
        <v>81</v>
      </c>
      <c r="G1262" s="85" t="str">
        <f>TEXT(Table7[[#This Row],[EXPIRY DATE]],"MMM")</f>
        <v>NA</v>
      </c>
      <c r="H1262" s="85" t="str">
        <f>TEXT(Table7[[#This Row],[EXPIRY DATE]],"YYY")</f>
        <v>NA</v>
      </c>
      <c r="I1262" s="84" t="s">
        <v>602</v>
      </c>
      <c r="J1262" s="69"/>
    </row>
    <row r="1263" spans="1:10" ht="20.399999999999999" x14ac:dyDescent="0.3">
      <c r="A1263" s="84">
        <v>1262</v>
      </c>
      <c r="B1263" s="84" t="s">
        <v>2166</v>
      </c>
      <c r="C1263" s="84" t="s">
        <v>2167</v>
      </c>
      <c r="D1263" s="115" t="s">
        <v>2168</v>
      </c>
      <c r="E1263" s="85" t="s">
        <v>2169</v>
      </c>
      <c r="F1263" s="85">
        <v>45382</v>
      </c>
      <c r="G1263" s="85" t="str">
        <f>TEXT(Table7[[#This Row],[EXPIRY DATE]],"MMM")</f>
        <v>Mar</v>
      </c>
      <c r="H1263" s="85" t="str">
        <f>TEXT(Table7[[#This Row],[EXPIRY DATE]],"YYY")</f>
        <v>2024</v>
      </c>
      <c r="I1263" s="84" t="s">
        <v>607</v>
      </c>
      <c r="J1263" s="69"/>
    </row>
    <row r="1264" spans="1:10" x14ac:dyDescent="0.3">
      <c r="A1264" s="84">
        <v>1263</v>
      </c>
      <c r="B1264" s="84" t="s">
        <v>2170</v>
      </c>
      <c r="C1264" s="84" t="s">
        <v>2167</v>
      </c>
      <c r="D1264" s="115" t="s">
        <v>2171</v>
      </c>
      <c r="E1264" s="85" t="s">
        <v>2169</v>
      </c>
      <c r="F1264" s="85">
        <v>45382</v>
      </c>
      <c r="G1264" s="85" t="str">
        <f>TEXT(Table7[[#This Row],[EXPIRY DATE]],"MMM")</f>
        <v>Mar</v>
      </c>
      <c r="H1264" s="85" t="str">
        <f>TEXT(Table7[[#This Row],[EXPIRY DATE]],"YYY")</f>
        <v>2024</v>
      </c>
      <c r="I1264" s="84" t="s">
        <v>607</v>
      </c>
      <c r="J1264" s="69"/>
    </row>
    <row r="1265" spans="1:10" x14ac:dyDescent="0.3">
      <c r="A1265" s="84">
        <v>1264</v>
      </c>
      <c r="B1265" s="84" t="s">
        <v>2172</v>
      </c>
      <c r="C1265" s="84" t="s">
        <v>2167</v>
      </c>
      <c r="D1265" s="115" t="s">
        <v>2173</v>
      </c>
      <c r="E1265" s="85" t="s">
        <v>931</v>
      </c>
      <c r="F1265" s="85">
        <v>45990</v>
      </c>
      <c r="G1265" s="85" t="str">
        <f>TEXT(Table7[[#This Row],[EXPIRY DATE]],"MMM")</f>
        <v>Nov</v>
      </c>
      <c r="H1265" s="85" t="str">
        <f>TEXT(Table7[[#This Row],[EXPIRY DATE]],"YYY")</f>
        <v>2025</v>
      </c>
      <c r="I1265" s="84" t="s">
        <v>916</v>
      </c>
      <c r="J1265" s="69"/>
    </row>
    <row r="1266" spans="1:10" ht="30.6" x14ac:dyDescent="0.3">
      <c r="A1266" s="84">
        <v>1265</v>
      </c>
      <c r="B1266" s="84" t="s">
        <v>2174</v>
      </c>
      <c r="C1266" s="84" t="s">
        <v>2167</v>
      </c>
      <c r="D1266" s="115" t="s">
        <v>2175</v>
      </c>
      <c r="E1266" s="85" t="s">
        <v>949</v>
      </c>
      <c r="F1266" s="85">
        <v>45991</v>
      </c>
      <c r="G1266" s="85" t="str">
        <f>TEXT(Table7[[#This Row],[EXPIRY DATE]],"MMM")</f>
        <v>Nov</v>
      </c>
      <c r="H1266" s="85" t="str">
        <f>TEXT(Table7[[#This Row],[EXPIRY DATE]],"YYY")</f>
        <v>2025</v>
      </c>
      <c r="I1266" s="84" t="s">
        <v>916</v>
      </c>
      <c r="J1266" s="69"/>
    </row>
    <row r="1267" spans="1:10" x14ac:dyDescent="0.3">
      <c r="A1267" s="84">
        <v>1266</v>
      </c>
      <c r="B1267" s="84" t="s">
        <v>2172</v>
      </c>
      <c r="C1267" s="84" t="s">
        <v>2167</v>
      </c>
      <c r="D1267" s="115" t="s">
        <v>2173</v>
      </c>
      <c r="E1267" s="85" t="s">
        <v>931</v>
      </c>
      <c r="F1267" s="85">
        <v>46076</v>
      </c>
      <c r="G1267" s="85" t="str">
        <f>TEXT(Table7[[#This Row],[EXPIRY DATE]],"MMM")</f>
        <v>Feb</v>
      </c>
      <c r="H1267" s="85" t="str">
        <f>TEXT(Table7[[#This Row],[EXPIRY DATE]],"YYY")</f>
        <v>2026</v>
      </c>
      <c r="I1267" s="84" t="s">
        <v>621</v>
      </c>
      <c r="J1267" s="69"/>
    </row>
    <row r="1268" spans="1:10" x14ac:dyDescent="0.3">
      <c r="A1268" s="84">
        <v>1267</v>
      </c>
      <c r="B1268" s="84" t="s">
        <v>2176</v>
      </c>
      <c r="C1268" s="84" t="s">
        <v>2167</v>
      </c>
      <c r="D1268" s="115" t="s">
        <v>2177</v>
      </c>
      <c r="E1268" s="85" t="s">
        <v>2178</v>
      </c>
      <c r="F1268" s="85">
        <v>46098</v>
      </c>
      <c r="G1268" s="85" t="str">
        <f>TEXT(Table7[[#This Row],[EXPIRY DATE]],"MMM")</f>
        <v>Mar</v>
      </c>
      <c r="H1268" s="85" t="str">
        <f>TEXT(Table7[[#This Row],[EXPIRY DATE]],"YYY")</f>
        <v>2026</v>
      </c>
      <c r="I1268" s="84" t="s">
        <v>916</v>
      </c>
      <c r="J1268" s="69"/>
    </row>
    <row r="1269" spans="1:10" x14ac:dyDescent="0.3">
      <c r="A1269" s="84">
        <v>1268</v>
      </c>
      <c r="B1269" s="84" t="s">
        <v>2179</v>
      </c>
      <c r="C1269" s="84" t="s">
        <v>2167</v>
      </c>
      <c r="D1269" s="115" t="s">
        <v>2180</v>
      </c>
      <c r="E1269" s="85" t="s">
        <v>2181</v>
      </c>
      <c r="F1269" s="85">
        <v>46106</v>
      </c>
      <c r="G1269" s="85" t="s">
        <v>606</v>
      </c>
      <c r="H1269" s="85" t="str">
        <f>TEXT(Table7[[#This Row],[EXPIRY DATE]],"YYY")</f>
        <v>2026</v>
      </c>
      <c r="I1269" s="84" t="s">
        <v>916</v>
      </c>
      <c r="J1269" s="69"/>
    </row>
    <row r="1270" spans="1:10" x14ac:dyDescent="0.3">
      <c r="A1270" s="84">
        <v>1269</v>
      </c>
      <c r="B1270" s="84" t="s">
        <v>2182</v>
      </c>
      <c r="C1270" s="84" t="s">
        <v>2167</v>
      </c>
      <c r="D1270" s="115" t="s">
        <v>2183</v>
      </c>
      <c r="E1270" s="85"/>
      <c r="F1270" s="85">
        <v>46112</v>
      </c>
      <c r="G1270" s="85" t="str">
        <f>TEXT(Table7[[#This Row],[EXPIRY DATE]],"MMM")</f>
        <v>Mar</v>
      </c>
      <c r="H1270" s="85" t="str">
        <f>TEXT(Table7[[#This Row],[EXPIRY DATE]],"YYY")</f>
        <v>2026</v>
      </c>
      <c r="I1270" s="84" t="s">
        <v>839</v>
      </c>
      <c r="J1270" s="69"/>
    </row>
    <row r="1271" spans="1:10" x14ac:dyDescent="0.3">
      <c r="A1271" s="84">
        <v>1270</v>
      </c>
      <c r="B1271" s="84" t="s">
        <v>2182</v>
      </c>
      <c r="C1271" s="84" t="s">
        <v>2167</v>
      </c>
      <c r="D1271" s="115" t="s">
        <v>2183</v>
      </c>
      <c r="E1271" s="85"/>
      <c r="F1271" s="85">
        <v>46112</v>
      </c>
      <c r="G1271" s="85" t="str">
        <f>TEXT(Table7[[#This Row],[EXPIRY DATE]],"MMM")</f>
        <v>Mar</v>
      </c>
      <c r="H1271" s="85" t="str">
        <f>TEXT(Table7[[#This Row],[EXPIRY DATE]],"YYY")</f>
        <v>2026</v>
      </c>
      <c r="I1271" s="84" t="s">
        <v>2184</v>
      </c>
      <c r="J1271" s="69"/>
    </row>
    <row r="1272" spans="1:10" x14ac:dyDescent="0.3">
      <c r="A1272" s="84">
        <v>1271</v>
      </c>
      <c r="B1272" s="84" t="s">
        <v>2185</v>
      </c>
      <c r="C1272" s="84" t="s">
        <v>2167</v>
      </c>
      <c r="D1272" s="115" t="s">
        <v>2186</v>
      </c>
      <c r="E1272" s="85" t="s">
        <v>2187</v>
      </c>
      <c r="F1272" s="85">
        <v>46112</v>
      </c>
      <c r="G1272" s="85" t="str">
        <f>TEXT(Table7[[#This Row],[EXPIRY DATE]],"MMM")</f>
        <v>Mar</v>
      </c>
      <c r="H1272" s="85" t="str">
        <f>TEXT(Table7[[#This Row],[EXPIRY DATE]],"YYY")</f>
        <v>2026</v>
      </c>
      <c r="I1272" s="84" t="s">
        <v>607</v>
      </c>
      <c r="J1272" s="69"/>
    </row>
    <row r="1273" spans="1:10" x14ac:dyDescent="0.3">
      <c r="A1273" s="84">
        <v>1272</v>
      </c>
      <c r="B1273" s="84" t="s">
        <v>2185</v>
      </c>
      <c r="C1273" s="84" t="s">
        <v>2167</v>
      </c>
      <c r="D1273" s="115" t="s">
        <v>2186</v>
      </c>
      <c r="E1273" s="85" t="s">
        <v>2187</v>
      </c>
      <c r="F1273" s="85">
        <v>46112</v>
      </c>
      <c r="G1273" s="85" t="str">
        <f>TEXT(Table7[[#This Row],[EXPIRY DATE]],"MMM")</f>
        <v>Mar</v>
      </c>
      <c r="H1273" s="85" t="str">
        <f>TEXT(Table7[[#This Row],[EXPIRY DATE]],"YYY")</f>
        <v>2026</v>
      </c>
      <c r="I1273" s="84" t="s">
        <v>2188</v>
      </c>
      <c r="J1273" s="69"/>
    </row>
    <row r="1274" spans="1:10" x14ac:dyDescent="0.3">
      <c r="A1274" s="84">
        <v>1273</v>
      </c>
      <c r="B1274" s="84" t="s">
        <v>2185</v>
      </c>
      <c r="C1274" s="84" t="s">
        <v>2167</v>
      </c>
      <c r="D1274" s="115" t="s">
        <v>2186</v>
      </c>
      <c r="E1274" s="85" t="s">
        <v>2187</v>
      </c>
      <c r="F1274" s="85">
        <v>46112</v>
      </c>
      <c r="G1274" s="85" t="str">
        <f>TEXT(Table7[[#This Row],[EXPIRY DATE]],"MMM")</f>
        <v>Mar</v>
      </c>
      <c r="H1274" s="85" t="str">
        <f>TEXT(Table7[[#This Row],[EXPIRY DATE]],"YYY")</f>
        <v>2026</v>
      </c>
      <c r="I1274" s="84" t="s">
        <v>916</v>
      </c>
      <c r="J1274" s="69"/>
    </row>
    <row r="1275" spans="1:10" ht="20.399999999999999" x14ac:dyDescent="0.3">
      <c r="A1275" s="84">
        <v>1274</v>
      </c>
      <c r="B1275" s="84" t="s">
        <v>2189</v>
      </c>
      <c r="C1275" s="84" t="s">
        <v>2167</v>
      </c>
      <c r="D1275" s="115" t="s">
        <v>2190</v>
      </c>
      <c r="E1275" s="85" t="s">
        <v>931</v>
      </c>
      <c r="F1275" s="85">
        <v>46112</v>
      </c>
      <c r="G1275" s="85" t="str">
        <f>TEXT(Table7[[#This Row],[EXPIRY DATE]],"MMM")</f>
        <v>Mar</v>
      </c>
      <c r="H1275" s="85" t="str">
        <f>TEXT(Table7[[#This Row],[EXPIRY DATE]],"YYY")</f>
        <v>2026</v>
      </c>
      <c r="I1275" s="84" t="s">
        <v>1082</v>
      </c>
      <c r="J1275" s="69"/>
    </row>
    <row r="1276" spans="1:10" ht="20.399999999999999" x14ac:dyDescent="0.3">
      <c r="A1276" s="84">
        <v>1275</v>
      </c>
      <c r="B1276" s="84" t="s">
        <v>2189</v>
      </c>
      <c r="C1276" s="84" t="s">
        <v>2167</v>
      </c>
      <c r="D1276" s="115" t="s">
        <v>2190</v>
      </c>
      <c r="E1276" s="85" t="s">
        <v>931</v>
      </c>
      <c r="F1276" s="85">
        <v>46112</v>
      </c>
      <c r="G1276" s="85" t="str">
        <f>TEXT(Table7[[#This Row],[EXPIRY DATE]],"MMM")</f>
        <v>Mar</v>
      </c>
      <c r="H1276" s="85" t="str">
        <f>TEXT(Table7[[#This Row],[EXPIRY DATE]],"YYY")</f>
        <v>2026</v>
      </c>
      <c r="I1276" s="84" t="s">
        <v>916</v>
      </c>
      <c r="J1276" s="69"/>
    </row>
    <row r="1277" spans="1:10" x14ac:dyDescent="0.3">
      <c r="A1277" s="84">
        <v>1276</v>
      </c>
      <c r="B1277" s="84" t="s">
        <v>2172</v>
      </c>
      <c r="C1277" s="84" t="s">
        <v>2167</v>
      </c>
      <c r="D1277" s="115" t="s">
        <v>2173</v>
      </c>
      <c r="E1277" s="85" t="s">
        <v>931</v>
      </c>
      <c r="F1277" s="85">
        <v>46112</v>
      </c>
      <c r="G1277" s="85" t="str">
        <f>TEXT(Table7[[#This Row],[EXPIRY DATE]],"MMM")</f>
        <v>Mar</v>
      </c>
      <c r="H1277" s="85" t="str">
        <f>TEXT(Table7[[#This Row],[EXPIRY DATE]],"YYY")</f>
        <v>2026</v>
      </c>
      <c r="I1277" s="84" t="s">
        <v>607</v>
      </c>
      <c r="J1277" s="69"/>
    </row>
    <row r="1278" spans="1:10" x14ac:dyDescent="0.3">
      <c r="A1278" s="84">
        <v>1277</v>
      </c>
      <c r="B1278" s="84" t="s">
        <v>2172</v>
      </c>
      <c r="C1278" s="84" t="s">
        <v>2167</v>
      </c>
      <c r="D1278" s="115" t="s">
        <v>2173</v>
      </c>
      <c r="E1278" s="85" t="s">
        <v>931</v>
      </c>
      <c r="F1278" s="85">
        <v>46112</v>
      </c>
      <c r="G1278" s="85" t="str">
        <f>TEXT(Table7[[#This Row],[EXPIRY DATE]],"MMM")</f>
        <v>Mar</v>
      </c>
      <c r="H1278" s="85" t="str">
        <f>TEXT(Table7[[#This Row],[EXPIRY DATE]],"YYY")</f>
        <v>2026</v>
      </c>
      <c r="I1278" s="84" t="s">
        <v>1082</v>
      </c>
      <c r="J1278" s="69"/>
    </row>
    <row r="1279" spans="1:10" x14ac:dyDescent="0.3">
      <c r="A1279" s="84">
        <v>1278</v>
      </c>
      <c r="B1279" s="84" t="s">
        <v>2191</v>
      </c>
      <c r="C1279" s="84" t="s">
        <v>2167</v>
      </c>
      <c r="D1279" s="115" t="s">
        <v>2192</v>
      </c>
      <c r="E1279" s="85" t="s">
        <v>1636</v>
      </c>
      <c r="F1279" s="85">
        <v>46112</v>
      </c>
      <c r="G1279" s="85" t="str">
        <f>TEXT(Table7[[#This Row],[EXPIRY DATE]],"MMM")</f>
        <v>Mar</v>
      </c>
      <c r="H1279" s="85" t="str">
        <f>TEXT(Table7[[#This Row],[EXPIRY DATE]],"YYY")</f>
        <v>2026</v>
      </c>
      <c r="I1279" s="84" t="s">
        <v>602</v>
      </c>
      <c r="J1279" s="69"/>
    </row>
    <row r="1280" spans="1:10" x14ac:dyDescent="0.3">
      <c r="A1280" s="84">
        <v>1279</v>
      </c>
      <c r="B1280" s="84" t="s">
        <v>2191</v>
      </c>
      <c r="C1280" s="84" t="s">
        <v>2167</v>
      </c>
      <c r="D1280" s="115" t="s">
        <v>2192</v>
      </c>
      <c r="E1280" s="85" t="s">
        <v>1636</v>
      </c>
      <c r="F1280" s="85">
        <v>46112</v>
      </c>
      <c r="G1280" s="85" t="str">
        <f>TEXT(Table7[[#This Row],[EXPIRY DATE]],"MMM")</f>
        <v>Mar</v>
      </c>
      <c r="H1280" s="85" t="str">
        <f>TEXT(Table7[[#This Row],[EXPIRY DATE]],"YYY")</f>
        <v>2026</v>
      </c>
      <c r="I1280" s="84" t="s">
        <v>607</v>
      </c>
      <c r="J1280" s="69"/>
    </row>
    <row r="1281" spans="1:10" x14ac:dyDescent="0.3">
      <c r="A1281" s="84">
        <v>1280</v>
      </c>
      <c r="B1281" s="84" t="s">
        <v>2179</v>
      </c>
      <c r="C1281" s="84" t="s">
        <v>2167</v>
      </c>
      <c r="D1281" s="115" t="s">
        <v>2180</v>
      </c>
      <c r="E1281" s="85" t="s">
        <v>2181</v>
      </c>
      <c r="F1281" s="85">
        <v>46112</v>
      </c>
      <c r="G1281" s="85" t="s">
        <v>606</v>
      </c>
      <c r="H1281" s="85" t="str">
        <f>TEXT(Table7[[#This Row],[EXPIRY DATE]],"YYY")</f>
        <v>2026</v>
      </c>
      <c r="I1281" s="84" t="s">
        <v>607</v>
      </c>
      <c r="J1281" s="69"/>
    </row>
    <row r="1282" spans="1:10" x14ac:dyDescent="0.3">
      <c r="A1282" s="84">
        <v>1281</v>
      </c>
      <c r="B1282" s="84" t="s">
        <v>2193</v>
      </c>
      <c r="C1282" s="84" t="s">
        <v>2167</v>
      </c>
      <c r="D1282" s="115" t="s">
        <v>2194</v>
      </c>
      <c r="E1282" s="85" t="s">
        <v>605</v>
      </c>
      <c r="F1282" s="85">
        <v>46112</v>
      </c>
      <c r="G1282" s="85" t="str">
        <f>TEXT(Table7[[#This Row],[EXPIRY DATE]],"MMM")</f>
        <v>Mar</v>
      </c>
      <c r="H1282" s="85" t="str">
        <f>TEXT(Table7[[#This Row],[EXPIRY DATE]],"YYY")</f>
        <v>2026</v>
      </c>
      <c r="I1282" s="84" t="s">
        <v>607</v>
      </c>
      <c r="J1282" s="69"/>
    </row>
    <row r="1283" spans="1:10" ht="20.399999999999999" x14ac:dyDescent="0.3">
      <c r="A1283" s="84">
        <v>1282</v>
      </c>
      <c r="B1283" s="84" t="s">
        <v>2166</v>
      </c>
      <c r="C1283" s="84" t="s">
        <v>2167</v>
      </c>
      <c r="D1283" s="115" t="s">
        <v>2168</v>
      </c>
      <c r="E1283" s="85" t="s">
        <v>2169</v>
      </c>
      <c r="F1283" s="85">
        <v>46112</v>
      </c>
      <c r="G1283" s="85" t="str">
        <f>TEXT(Table7[[#This Row],[EXPIRY DATE]],"MMM")</f>
        <v>Mar</v>
      </c>
      <c r="H1283" s="85" t="str">
        <f>TEXT(Table7[[#This Row],[EXPIRY DATE]],"YYY")</f>
        <v>2026</v>
      </c>
      <c r="I1283" s="84" t="s">
        <v>602</v>
      </c>
      <c r="J1283" s="69"/>
    </row>
    <row r="1284" spans="1:10" ht="20.399999999999999" x14ac:dyDescent="0.3">
      <c r="A1284" s="84">
        <v>1283</v>
      </c>
      <c r="B1284" s="84" t="s">
        <v>2166</v>
      </c>
      <c r="C1284" s="84" t="s">
        <v>2167</v>
      </c>
      <c r="D1284" s="115" t="s">
        <v>2168</v>
      </c>
      <c r="E1284" s="85" t="s">
        <v>2169</v>
      </c>
      <c r="F1284" s="85">
        <v>46112</v>
      </c>
      <c r="G1284" s="85" t="str">
        <f>TEXT(Table7[[#This Row],[EXPIRY DATE]],"MMM")</f>
        <v>Mar</v>
      </c>
      <c r="H1284" s="85" t="str">
        <f>TEXT(Table7[[#This Row],[EXPIRY DATE]],"YYY")</f>
        <v>2026</v>
      </c>
      <c r="I1284" s="84" t="s">
        <v>2188</v>
      </c>
      <c r="J1284" s="69"/>
    </row>
    <row r="1285" spans="1:10" x14ac:dyDescent="0.3">
      <c r="A1285" s="84">
        <v>1284</v>
      </c>
      <c r="B1285" s="84" t="s">
        <v>2170</v>
      </c>
      <c r="C1285" s="84" t="s">
        <v>2167</v>
      </c>
      <c r="D1285" s="115" t="s">
        <v>2171</v>
      </c>
      <c r="E1285" s="85" t="s">
        <v>2169</v>
      </c>
      <c r="F1285" s="85">
        <v>46112</v>
      </c>
      <c r="G1285" s="85" t="str">
        <f>TEXT(Table7[[#This Row],[EXPIRY DATE]],"MMM")</f>
        <v>Mar</v>
      </c>
      <c r="H1285" s="85" t="str">
        <f>TEXT(Table7[[#This Row],[EXPIRY DATE]],"YYY")</f>
        <v>2026</v>
      </c>
      <c r="I1285" s="84" t="s">
        <v>602</v>
      </c>
      <c r="J1285" s="69"/>
    </row>
    <row r="1286" spans="1:10" x14ac:dyDescent="0.3">
      <c r="A1286" s="84">
        <v>1285</v>
      </c>
      <c r="B1286" s="84" t="s">
        <v>2182</v>
      </c>
      <c r="C1286" s="84" t="s">
        <v>2167</v>
      </c>
      <c r="D1286" s="115" t="s">
        <v>2183</v>
      </c>
      <c r="E1286" s="85"/>
      <c r="F1286" s="85">
        <v>46138</v>
      </c>
      <c r="G1286" s="85" t="str">
        <f>TEXT(Table7[[#This Row],[EXPIRY DATE]],"MMM")</f>
        <v>Apr</v>
      </c>
      <c r="H1286" s="85" t="str">
        <f>TEXT(Table7[[#This Row],[EXPIRY DATE]],"YYY")</f>
        <v>2026</v>
      </c>
      <c r="I1286" s="84" t="s">
        <v>916</v>
      </c>
      <c r="J1286" s="69"/>
    </row>
    <row r="1287" spans="1:10" x14ac:dyDescent="0.3">
      <c r="A1287" s="84">
        <v>1286</v>
      </c>
      <c r="B1287" s="84" t="s">
        <v>2195</v>
      </c>
      <c r="C1287" s="84" t="s">
        <v>2167</v>
      </c>
      <c r="D1287" s="115" t="s">
        <v>2196</v>
      </c>
      <c r="E1287" s="85" t="s">
        <v>616</v>
      </c>
      <c r="F1287" s="85">
        <v>46212</v>
      </c>
      <c r="G1287" s="85" t="s">
        <v>944</v>
      </c>
      <c r="H1287" s="85" t="str">
        <f>TEXT(Table7[[#This Row],[EXPIRY DATE]],"YYY")</f>
        <v>2026</v>
      </c>
      <c r="I1287" s="84" t="s">
        <v>839</v>
      </c>
      <c r="J1287" s="69"/>
    </row>
    <row r="1288" spans="1:10" ht="20.399999999999999" x14ac:dyDescent="0.3">
      <c r="A1288" s="84">
        <v>1287</v>
      </c>
      <c r="B1288" s="84" t="s">
        <v>2166</v>
      </c>
      <c r="C1288" s="84" t="s">
        <v>2167</v>
      </c>
      <c r="D1288" s="115" t="s">
        <v>2168</v>
      </c>
      <c r="E1288" s="85" t="s">
        <v>2169</v>
      </c>
      <c r="F1288" s="85">
        <v>46213</v>
      </c>
      <c r="G1288" s="85" t="str">
        <f>TEXT(Table7[[#This Row],[EXPIRY DATE]],"MMM")</f>
        <v>Jul</v>
      </c>
      <c r="H1288" s="85" t="str">
        <f>TEXT(Table7[[#This Row],[EXPIRY DATE]],"YYY")</f>
        <v>2026</v>
      </c>
      <c r="I1288" s="84" t="s">
        <v>916</v>
      </c>
      <c r="J1288" s="69"/>
    </row>
    <row r="1289" spans="1:10" x14ac:dyDescent="0.3">
      <c r="A1289" s="84">
        <v>1288</v>
      </c>
      <c r="B1289" s="84" t="s">
        <v>2197</v>
      </c>
      <c r="C1289" s="84" t="s">
        <v>2167</v>
      </c>
      <c r="D1289" s="115" t="s">
        <v>2198</v>
      </c>
      <c r="E1289" s="85" t="s">
        <v>616</v>
      </c>
      <c r="F1289" s="85">
        <v>46237</v>
      </c>
      <c r="G1289" s="85" t="s">
        <v>897</v>
      </c>
      <c r="H1289" s="85" t="str">
        <f>TEXT(Table7[[#This Row],[EXPIRY DATE]],"YYY")</f>
        <v>2026</v>
      </c>
      <c r="I1289" s="84" t="s">
        <v>839</v>
      </c>
      <c r="J1289" s="69"/>
    </row>
    <row r="1290" spans="1:10" x14ac:dyDescent="0.3">
      <c r="A1290" s="84">
        <v>1289</v>
      </c>
      <c r="B1290" s="84" t="s">
        <v>2182</v>
      </c>
      <c r="C1290" s="84" t="s">
        <v>2167</v>
      </c>
      <c r="D1290" s="115" t="s">
        <v>2183</v>
      </c>
      <c r="E1290" s="85" t="s">
        <v>652</v>
      </c>
      <c r="F1290" s="85">
        <v>46240</v>
      </c>
      <c r="G1290" s="85" t="str">
        <f>TEXT(Table7[[#This Row],[EXPIRY DATE]],"MMM")</f>
        <v>Aug</v>
      </c>
      <c r="H1290" s="85" t="str">
        <f>TEXT(Table7[[#This Row],[EXPIRY DATE]],"YYY")</f>
        <v>2026</v>
      </c>
      <c r="I1290" s="84" t="s">
        <v>2199</v>
      </c>
      <c r="J1290" s="69"/>
    </row>
    <row r="1291" spans="1:10" x14ac:dyDescent="0.3">
      <c r="A1291" s="84">
        <v>1290</v>
      </c>
      <c r="B1291" s="84" t="s">
        <v>2191</v>
      </c>
      <c r="C1291" s="84" t="s">
        <v>2167</v>
      </c>
      <c r="D1291" s="115" t="s">
        <v>2192</v>
      </c>
      <c r="E1291" s="85" t="s">
        <v>1636</v>
      </c>
      <c r="F1291" s="85">
        <v>46285</v>
      </c>
      <c r="G1291" s="85" t="str">
        <f>TEXT(Table7[[#This Row],[EXPIRY DATE]],"MMM")</f>
        <v>Sep</v>
      </c>
      <c r="H1291" s="85" t="str">
        <f>TEXT(Table7[[#This Row],[EXPIRY DATE]],"YYY")</f>
        <v>2026</v>
      </c>
      <c r="I1291" s="84" t="s">
        <v>916</v>
      </c>
      <c r="J1291" s="69"/>
    </row>
    <row r="1292" spans="1:10" ht="30.6" x14ac:dyDescent="0.3">
      <c r="A1292" s="84">
        <v>1291</v>
      </c>
      <c r="B1292" s="84" t="s">
        <v>2174</v>
      </c>
      <c r="C1292" s="84" t="s">
        <v>2167</v>
      </c>
      <c r="D1292" s="115" t="s">
        <v>2175</v>
      </c>
      <c r="E1292" s="85" t="s">
        <v>949</v>
      </c>
      <c r="F1292" s="85">
        <v>46316</v>
      </c>
      <c r="G1292" s="85" t="str">
        <f>TEXT(Table7[[#This Row],[EXPIRY DATE]],"MMM")</f>
        <v>Oct</v>
      </c>
      <c r="H1292" s="85" t="str">
        <f>TEXT(Table7[[#This Row],[EXPIRY DATE]],"YYY")</f>
        <v>2026</v>
      </c>
      <c r="I1292" s="85" t="s">
        <v>791</v>
      </c>
      <c r="J1292" s="69"/>
    </row>
    <row r="1293" spans="1:10" ht="20.399999999999999" x14ac:dyDescent="0.3">
      <c r="A1293" s="84">
        <v>1292</v>
      </c>
      <c r="B1293" s="84" t="s">
        <v>2200</v>
      </c>
      <c r="C1293" s="84" t="s">
        <v>2167</v>
      </c>
      <c r="D1293" s="115" t="s">
        <v>2201</v>
      </c>
      <c r="E1293" s="85"/>
      <c r="F1293" s="85">
        <v>46477</v>
      </c>
      <c r="G1293" s="85" t="str">
        <f>TEXT(Table7[[#This Row],[EXPIRY DATE]],"MMM")</f>
        <v>Mar</v>
      </c>
      <c r="H1293" s="85" t="str">
        <f>TEXT(Table7[[#This Row],[EXPIRY DATE]],"YYY")</f>
        <v>2027</v>
      </c>
      <c r="I1293" s="84" t="s">
        <v>916</v>
      </c>
      <c r="J1293" s="69"/>
    </row>
    <row r="1294" spans="1:10" x14ac:dyDescent="0.3">
      <c r="A1294" s="84">
        <v>1293</v>
      </c>
      <c r="B1294" s="84" t="s">
        <v>2202</v>
      </c>
      <c r="C1294" s="84" t="s">
        <v>2167</v>
      </c>
      <c r="D1294" s="115" t="s">
        <v>2203</v>
      </c>
      <c r="E1294" s="85" t="s">
        <v>14</v>
      </c>
      <c r="F1294" s="85">
        <v>46477</v>
      </c>
      <c r="G1294" s="85" t="s">
        <v>606</v>
      </c>
      <c r="H1294" s="85" t="str">
        <f>TEXT(Table7[[#This Row],[EXPIRY DATE]],"YYY")</f>
        <v>2027</v>
      </c>
      <c r="I1294" s="84" t="s">
        <v>839</v>
      </c>
      <c r="J1294" s="69"/>
    </row>
    <row r="1295" spans="1:10" x14ac:dyDescent="0.3">
      <c r="A1295" s="84">
        <v>1294</v>
      </c>
      <c r="B1295" s="84" t="s">
        <v>2202</v>
      </c>
      <c r="C1295" s="84" t="s">
        <v>2167</v>
      </c>
      <c r="D1295" s="115" t="s">
        <v>2203</v>
      </c>
      <c r="E1295" s="85" t="s">
        <v>14</v>
      </c>
      <c r="F1295" s="85">
        <v>46477</v>
      </c>
      <c r="G1295" s="85" t="s">
        <v>606</v>
      </c>
      <c r="H1295" s="85" t="str">
        <f>TEXT(Table7[[#This Row],[EXPIRY DATE]],"YYY")</f>
        <v>2027</v>
      </c>
      <c r="I1295" s="84" t="s">
        <v>2184</v>
      </c>
      <c r="J1295" s="69"/>
    </row>
    <row r="1296" spans="1:10" ht="20.399999999999999" x14ac:dyDescent="0.3">
      <c r="A1296" s="84">
        <v>1295</v>
      </c>
      <c r="B1296" s="84" t="s">
        <v>2189</v>
      </c>
      <c r="C1296" s="84" t="s">
        <v>2167</v>
      </c>
      <c r="D1296" s="115" t="s">
        <v>2190</v>
      </c>
      <c r="E1296" s="85" t="s">
        <v>931</v>
      </c>
      <c r="F1296" s="85">
        <v>46477</v>
      </c>
      <c r="G1296" s="85" t="str">
        <f>TEXT(Table7[[#This Row],[EXPIRY DATE]],"MMM")</f>
        <v>Mar</v>
      </c>
      <c r="H1296" s="85" t="str">
        <f>TEXT(Table7[[#This Row],[EXPIRY DATE]],"YYY")</f>
        <v>2027</v>
      </c>
      <c r="I1296" s="84" t="s">
        <v>839</v>
      </c>
      <c r="J1296" s="69"/>
    </row>
    <row r="1297" spans="1:10" x14ac:dyDescent="0.3">
      <c r="A1297" s="84">
        <v>1296</v>
      </c>
      <c r="B1297" s="84" t="s">
        <v>2204</v>
      </c>
      <c r="C1297" s="84" t="s">
        <v>2167</v>
      </c>
      <c r="D1297" s="115" t="s">
        <v>2205</v>
      </c>
      <c r="E1297" s="85" t="s">
        <v>2169</v>
      </c>
      <c r="F1297" s="85">
        <v>46477</v>
      </c>
      <c r="G1297" s="85" t="str">
        <f>TEXT(Table7[[#This Row],[EXPIRY DATE]],"MMM")</f>
        <v>Mar</v>
      </c>
      <c r="H1297" s="85" t="str">
        <f>TEXT(Table7[[#This Row],[EXPIRY DATE]],"YYY")</f>
        <v>2027</v>
      </c>
      <c r="I1297" s="84" t="s">
        <v>602</v>
      </c>
      <c r="J1297" s="69"/>
    </row>
    <row r="1298" spans="1:10" x14ac:dyDescent="0.3">
      <c r="A1298" s="84">
        <v>1297</v>
      </c>
      <c r="B1298" s="84" t="s">
        <v>2206</v>
      </c>
      <c r="C1298" s="84" t="s">
        <v>2167</v>
      </c>
      <c r="D1298" s="115" t="s">
        <v>2207</v>
      </c>
      <c r="E1298" s="85" t="s">
        <v>601</v>
      </c>
      <c r="F1298" s="85">
        <v>46600</v>
      </c>
      <c r="G1298" s="85" t="str">
        <f>TEXT(Table7[[#This Row],[EXPIRY DATE]],"MMM")</f>
        <v>Aug</v>
      </c>
      <c r="H1298" s="85" t="str">
        <f>TEXT(Table7[[#This Row],[EXPIRY DATE]],"YYY")</f>
        <v>2027</v>
      </c>
      <c r="I1298" s="85" t="s">
        <v>791</v>
      </c>
      <c r="J1298" s="69"/>
    </row>
    <row r="1299" spans="1:10" x14ac:dyDescent="0.3">
      <c r="A1299" s="84">
        <v>1298</v>
      </c>
      <c r="B1299" s="84" t="s">
        <v>2193</v>
      </c>
      <c r="C1299" s="84" t="s">
        <v>2167</v>
      </c>
      <c r="D1299" s="115" t="s">
        <v>2194</v>
      </c>
      <c r="E1299" s="85" t="s">
        <v>605</v>
      </c>
      <c r="F1299" s="85">
        <v>46752</v>
      </c>
      <c r="G1299" s="85" t="str">
        <f>TEXT(Table7[[#This Row],[EXPIRY DATE]],"MMM")</f>
        <v>Dec</v>
      </c>
      <c r="H1299" s="85" t="str">
        <f>TEXT(Table7[[#This Row],[EXPIRY DATE]],"YYY")</f>
        <v>2027</v>
      </c>
      <c r="I1299" s="84" t="s">
        <v>602</v>
      </c>
      <c r="J1299" s="69"/>
    </row>
    <row r="1300" spans="1:10" x14ac:dyDescent="0.3">
      <c r="A1300" s="84">
        <v>1299</v>
      </c>
      <c r="B1300" s="84" t="s">
        <v>2179</v>
      </c>
      <c r="C1300" s="84" t="s">
        <v>2167</v>
      </c>
      <c r="D1300" s="115" t="s">
        <v>2180</v>
      </c>
      <c r="E1300" s="85" t="s">
        <v>2181</v>
      </c>
      <c r="F1300" s="85">
        <v>47016</v>
      </c>
      <c r="G1300" s="85" t="s">
        <v>591</v>
      </c>
      <c r="H1300" s="85" t="str">
        <f>TEXT(Table7[[#This Row],[EXPIRY DATE]],"YYY")</f>
        <v>2028</v>
      </c>
      <c r="I1300" s="84" t="s">
        <v>2208</v>
      </c>
      <c r="J1300" s="69"/>
    </row>
    <row r="1301" spans="1:10" ht="20.399999999999999" x14ac:dyDescent="0.3">
      <c r="A1301" s="84">
        <v>1300</v>
      </c>
      <c r="B1301" s="84" t="s">
        <v>2189</v>
      </c>
      <c r="C1301" s="84" t="s">
        <v>2167</v>
      </c>
      <c r="D1301" s="115" t="s">
        <v>2190</v>
      </c>
      <c r="E1301" s="85" t="s">
        <v>931</v>
      </c>
      <c r="F1301" s="85">
        <v>47152</v>
      </c>
      <c r="G1301" s="85" t="str">
        <f>TEXT(Table7[[#This Row],[EXPIRY DATE]],"MMM")</f>
        <v>Feb</v>
      </c>
      <c r="H1301" s="85" t="str">
        <f>TEXT(Table7[[#This Row],[EXPIRY DATE]],"YYY")</f>
        <v>2029</v>
      </c>
      <c r="I1301" s="85" t="s">
        <v>791</v>
      </c>
      <c r="J1301" s="69"/>
    </row>
    <row r="1302" spans="1:10" x14ac:dyDescent="0.3">
      <c r="A1302" s="84">
        <v>1301</v>
      </c>
      <c r="B1302" s="84" t="s">
        <v>2170</v>
      </c>
      <c r="C1302" s="84" t="s">
        <v>2167</v>
      </c>
      <c r="D1302" s="115" t="s">
        <v>2171</v>
      </c>
      <c r="E1302" s="85" t="s">
        <v>2169</v>
      </c>
      <c r="F1302" s="85">
        <v>47179</v>
      </c>
      <c r="G1302" s="85" t="str">
        <f>TEXT(Table7[[#This Row],[EXPIRY DATE]],"MMM")</f>
        <v>Mar</v>
      </c>
      <c r="H1302" s="85" t="str">
        <f>TEXT(Table7[[#This Row],[EXPIRY DATE]],"YYY")</f>
        <v>2029</v>
      </c>
      <c r="I1302" s="85" t="s">
        <v>791</v>
      </c>
      <c r="J1302" s="69"/>
    </row>
    <row r="1303" spans="1:10" x14ac:dyDescent="0.3">
      <c r="A1303" s="84">
        <v>1302</v>
      </c>
      <c r="B1303" s="84" t="s">
        <v>2182</v>
      </c>
      <c r="C1303" s="84" t="s">
        <v>2167</v>
      </c>
      <c r="D1303" s="115" t="s">
        <v>2183</v>
      </c>
      <c r="E1303" s="85"/>
      <c r="F1303" s="85">
        <v>47205</v>
      </c>
      <c r="G1303" s="85" t="str">
        <f>TEXT(Table7[[#This Row],[EXPIRY DATE]],"MMM")</f>
        <v>Mar</v>
      </c>
      <c r="H1303" s="85" t="str">
        <f>TEXT(Table7[[#This Row],[EXPIRY DATE]],"YYY")</f>
        <v>2029</v>
      </c>
      <c r="I1303" s="85" t="s">
        <v>791</v>
      </c>
      <c r="J1303" s="69"/>
    </row>
    <row r="1304" spans="1:10" ht="20.399999999999999" x14ac:dyDescent="0.3">
      <c r="A1304" s="84">
        <v>1303</v>
      </c>
      <c r="B1304" s="84" t="s">
        <v>2166</v>
      </c>
      <c r="C1304" s="84" t="s">
        <v>2167</v>
      </c>
      <c r="D1304" s="115" t="s">
        <v>2168</v>
      </c>
      <c r="E1304" s="85" t="s">
        <v>2169</v>
      </c>
      <c r="F1304" s="85">
        <v>47207</v>
      </c>
      <c r="G1304" s="85" t="str">
        <f>TEXT(Table7[[#This Row],[EXPIRY DATE]],"MMM")</f>
        <v>Mar</v>
      </c>
      <c r="H1304" s="85" t="str">
        <f>TEXT(Table7[[#This Row],[EXPIRY DATE]],"YYY")</f>
        <v>2029</v>
      </c>
      <c r="I1304" s="85" t="s">
        <v>791</v>
      </c>
      <c r="J1304" s="69"/>
    </row>
    <row r="1305" spans="1:10" x14ac:dyDescent="0.3">
      <c r="A1305" s="84">
        <v>1304</v>
      </c>
      <c r="B1305" s="84" t="s">
        <v>2209</v>
      </c>
      <c r="C1305" s="84" t="s">
        <v>2167</v>
      </c>
      <c r="D1305" s="115" t="s">
        <v>2210</v>
      </c>
      <c r="E1305" s="85" t="s">
        <v>931</v>
      </c>
      <c r="F1305" s="85">
        <v>47259</v>
      </c>
      <c r="G1305" s="85" t="str">
        <f>TEXT(Table7[[#This Row],[EXPIRY DATE]],"MMM")</f>
        <v>May</v>
      </c>
      <c r="H1305" s="85" t="str">
        <f>TEXT(Table7[[#This Row],[EXPIRY DATE]],"YYY")</f>
        <v>2029</v>
      </c>
      <c r="I1305" s="85" t="s">
        <v>791</v>
      </c>
      <c r="J1305" s="69"/>
    </row>
    <row r="1306" spans="1:10" x14ac:dyDescent="0.3">
      <c r="A1306" s="84">
        <v>1305</v>
      </c>
      <c r="B1306" s="84" t="s">
        <v>2176</v>
      </c>
      <c r="C1306" s="84" t="s">
        <v>2167</v>
      </c>
      <c r="D1306" s="115" t="s">
        <v>2211</v>
      </c>
      <c r="E1306" s="85" t="s">
        <v>2178</v>
      </c>
      <c r="F1306" s="85">
        <v>47300</v>
      </c>
      <c r="G1306" s="85" t="str">
        <f>TEXT(Table7[[#This Row],[EXPIRY DATE]],"MMM")</f>
        <v>Jul</v>
      </c>
      <c r="H1306" s="85" t="str">
        <f>TEXT(Table7[[#This Row],[EXPIRY DATE]],"YYY")</f>
        <v>2029</v>
      </c>
      <c r="I1306" s="85" t="s">
        <v>791</v>
      </c>
      <c r="J1306" s="69"/>
    </row>
    <row r="1307" spans="1:10" x14ac:dyDescent="0.3">
      <c r="A1307" s="84">
        <v>1306</v>
      </c>
      <c r="B1307" s="84" t="s">
        <v>2172</v>
      </c>
      <c r="C1307" s="84" t="s">
        <v>2167</v>
      </c>
      <c r="D1307" s="115" t="s">
        <v>2173</v>
      </c>
      <c r="E1307" s="85" t="s">
        <v>931</v>
      </c>
      <c r="F1307" s="85">
        <v>47304</v>
      </c>
      <c r="G1307" s="85" t="str">
        <f>TEXT(Table7[[#This Row],[EXPIRY DATE]],"MMM")</f>
        <v>Jul</v>
      </c>
      <c r="H1307" s="85" t="str">
        <f>TEXT(Table7[[#This Row],[EXPIRY DATE]],"YYY")</f>
        <v>2029</v>
      </c>
      <c r="I1307" s="85" t="s">
        <v>791</v>
      </c>
      <c r="J1307" s="69"/>
    </row>
    <row r="1308" spans="1:10" x14ac:dyDescent="0.3">
      <c r="A1308" s="84">
        <v>1307</v>
      </c>
      <c r="B1308" s="84" t="s">
        <v>2191</v>
      </c>
      <c r="C1308" s="84" t="s">
        <v>2167</v>
      </c>
      <c r="D1308" s="115" t="s">
        <v>2192</v>
      </c>
      <c r="E1308" s="85" t="s">
        <v>1636</v>
      </c>
      <c r="F1308" s="85">
        <v>47315</v>
      </c>
      <c r="G1308" s="85" t="str">
        <f>TEXT(Table7[[#This Row],[EXPIRY DATE]],"MMM")</f>
        <v>Jul</v>
      </c>
      <c r="H1308" s="85" t="str">
        <f>TEXT(Table7[[#This Row],[EXPIRY DATE]],"YYY")</f>
        <v>2029</v>
      </c>
      <c r="I1308" s="85" t="s">
        <v>791</v>
      </c>
      <c r="J1308" s="69"/>
    </row>
    <row r="1309" spans="1:10" ht="20.399999999999999" x14ac:dyDescent="0.3">
      <c r="A1309" s="84">
        <v>1308</v>
      </c>
      <c r="B1309" s="84" t="s">
        <v>2212</v>
      </c>
      <c r="C1309" s="84" t="s">
        <v>2167</v>
      </c>
      <c r="D1309" s="115" t="s">
        <v>2213</v>
      </c>
      <c r="E1309" s="85" t="s">
        <v>931</v>
      </c>
      <c r="F1309" s="85">
        <v>47328</v>
      </c>
      <c r="G1309" s="85" t="str">
        <f>TEXT(Table7[[#This Row],[EXPIRY DATE]],"MMM")</f>
        <v>Jul</v>
      </c>
      <c r="H1309" s="85" t="str">
        <f>TEXT(Table7[[#This Row],[EXPIRY DATE]],"YYY")</f>
        <v>2029</v>
      </c>
      <c r="I1309" s="85" t="s">
        <v>791</v>
      </c>
      <c r="J1309" s="69"/>
    </row>
    <row r="1310" spans="1:10" x14ac:dyDescent="0.3">
      <c r="A1310" s="84">
        <v>1309</v>
      </c>
      <c r="B1310" s="84" t="s">
        <v>2185</v>
      </c>
      <c r="C1310" s="84" t="s">
        <v>2167</v>
      </c>
      <c r="D1310" s="115" t="s">
        <v>2186</v>
      </c>
      <c r="E1310" s="85" t="s">
        <v>2187</v>
      </c>
      <c r="F1310" s="85">
        <v>47428</v>
      </c>
      <c r="G1310" s="85" t="str">
        <f>TEXT(Table7[[#This Row],[EXPIRY DATE]],"MMM")</f>
        <v>Nov</v>
      </c>
      <c r="H1310" s="85" t="str">
        <f>TEXT(Table7[[#This Row],[EXPIRY DATE]],"YYY")</f>
        <v>2029</v>
      </c>
      <c r="I1310" s="85" t="s">
        <v>791</v>
      </c>
      <c r="J1310" s="69"/>
    </row>
    <row r="1311" spans="1:10" ht="20.399999999999999" x14ac:dyDescent="0.3">
      <c r="A1311" s="84">
        <v>1310</v>
      </c>
      <c r="B1311" s="84" t="s">
        <v>2200</v>
      </c>
      <c r="C1311" s="84" t="s">
        <v>2167</v>
      </c>
      <c r="D1311" s="115" t="s">
        <v>2201</v>
      </c>
      <c r="E1311" s="85"/>
      <c r="F1311" s="85">
        <v>47435</v>
      </c>
      <c r="G1311" s="85" t="str">
        <f>TEXT(Table7[[#This Row],[EXPIRY DATE]],"MMM")</f>
        <v>Nov</v>
      </c>
      <c r="H1311" s="85" t="str">
        <f>TEXT(Table7[[#This Row],[EXPIRY DATE]],"YYY")</f>
        <v>2029</v>
      </c>
      <c r="I1311" s="85" t="s">
        <v>791</v>
      </c>
      <c r="J1311" s="69"/>
    </row>
    <row r="1312" spans="1:10" x14ac:dyDescent="0.3">
      <c r="A1312" s="84">
        <v>1311</v>
      </c>
      <c r="B1312" s="84" t="s">
        <v>2202</v>
      </c>
      <c r="C1312" s="84" t="s">
        <v>2167</v>
      </c>
      <c r="D1312" s="115" t="s">
        <v>2203</v>
      </c>
      <c r="E1312" s="85" t="s">
        <v>14</v>
      </c>
      <c r="F1312" s="85">
        <v>47435</v>
      </c>
      <c r="G1312" s="85" t="s">
        <v>842</v>
      </c>
      <c r="H1312" s="85" t="str">
        <f>TEXT(Table7[[#This Row],[EXPIRY DATE]],"YYY")</f>
        <v>2029</v>
      </c>
      <c r="I1312" s="84" t="s">
        <v>791</v>
      </c>
      <c r="J1312" s="69"/>
    </row>
    <row r="1313" spans="1:10" x14ac:dyDescent="0.3">
      <c r="A1313" s="84">
        <v>1312</v>
      </c>
      <c r="B1313" s="84" t="s">
        <v>2179</v>
      </c>
      <c r="C1313" s="84" t="s">
        <v>2167</v>
      </c>
      <c r="D1313" s="115" t="s">
        <v>2180</v>
      </c>
      <c r="E1313" s="85" t="s">
        <v>2181</v>
      </c>
      <c r="F1313" s="85">
        <v>47534</v>
      </c>
      <c r="G1313" s="85" t="s">
        <v>887</v>
      </c>
      <c r="H1313" s="85" t="str">
        <f>TEXT(Table7[[#This Row],[EXPIRY DATE]],"YYY")</f>
        <v>2030</v>
      </c>
      <c r="I1313" s="84" t="s">
        <v>791</v>
      </c>
      <c r="J1313" s="69"/>
    </row>
    <row r="1314" spans="1:10" x14ac:dyDescent="0.3">
      <c r="A1314" s="84">
        <v>1313</v>
      </c>
      <c r="B1314" s="84" t="s">
        <v>2204</v>
      </c>
      <c r="C1314" s="84" t="s">
        <v>2167</v>
      </c>
      <c r="D1314" s="115" t="s">
        <v>2205</v>
      </c>
      <c r="E1314" s="85" t="s">
        <v>2169</v>
      </c>
      <c r="F1314" s="85">
        <v>47568</v>
      </c>
      <c r="G1314" s="85" t="str">
        <f>TEXT(Table7[[#This Row],[EXPIRY DATE]],"MMM")</f>
        <v>Mar</v>
      </c>
      <c r="H1314" s="85" t="str">
        <f>TEXT(Table7[[#This Row],[EXPIRY DATE]],"YYY")</f>
        <v>2030</v>
      </c>
      <c r="I1314" s="85" t="s">
        <v>791</v>
      </c>
      <c r="J1314" s="69"/>
    </row>
    <row r="1315" spans="1:10" x14ac:dyDescent="0.3">
      <c r="A1315" s="84">
        <v>1314</v>
      </c>
      <c r="B1315" s="84" t="s">
        <v>2197</v>
      </c>
      <c r="C1315" s="84" t="s">
        <v>2167</v>
      </c>
      <c r="D1315" s="115" t="s">
        <v>2198</v>
      </c>
      <c r="E1315" s="85" t="s">
        <v>616</v>
      </c>
      <c r="F1315" s="85">
        <v>47593</v>
      </c>
      <c r="G1315" s="85" t="s">
        <v>611</v>
      </c>
      <c r="H1315" s="85" t="str">
        <f>TEXT(Table7[[#This Row],[EXPIRY DATE]],"YYY")</f>
        <v>2030</v>
      </c>
      <c r="I1315" s="84" t="s">
        <v>791</v>
      </c>
      <c r="J1315" s="69"/>
    </row>
    <row r="1316" spans="1:10" x14ac:dyDescent="0.3">
      <c r="A1316" s="84">
        <v>1315</v>
      </c>
      <c r="B1316" s="84" t="s">
        <v>2195</v>
      </c>
      <c r="C1316" s="84" t="s">
        <v>2167</v>
      </c>
      <c r="D1316" s="115" t="s">
        <v>2196</v>
      </c>
      <c r="E1316" s="85" t="s">
        <v>616</v>
      </c>
      <c r="F1316" s="85">
        <v>47593</v>
      </c>
      <c r="G1316" s="85" t="s">
        <v>611</v>
      </c>
      <c r="H1316" s="85" t="str">
        <f>TEXT(Table7[[#This Row],[EXPIRY DATE]],"YYY")</f>
        <v>2030</v>
      </c>
      <c r="I1316" s="84" t="s">
        <v>791</v>
      </c>
      <c r="J1316" s="69"/>
    </row>
    <row r="1317" spans="1:10" ht="30.6" x14ac:dyDescent="0.3">
      <c r="A1317" s="84">
        <v>1316</v>
      </c>
      <c r="B1317" s="84" t="s">
        <v>2214</v>
      </c>
      <c r="C1317" s="84" t="s">
        <v>2167</v>
      </c>
      <c r="D1317" s="115" t="s">
        <v>2215</v>
      </c>
      <c r="E1317" s="85" t="s">
        <v>2178</v>
      </c>
      <c r="F1317" s="85">
        <v>47671</v>
      </c>
      <c r="G1317" s="85" t="str">
        <f>TEXT(Table7[[#This Row],[EXPIRY DATE]],"MMM")</f>
        <v>Jul</v>
      </c>
      <c r="H1317" s="85" t="str">
        <f>TEXT(Table7[[#This Row],[EXPIRY DATE]],"YYY")</f>
        <v>2030</v>
      </c>
      <c r="I1317" s="85" t="s">
        <v>791</v>
      </c>
      <c r="J1317" s="69"/>
    </row>
    <row r="1318" spans="1:10" ht="30.6" x14ac:dyDescent="0.3">
      <c r="A1318" s="84">
        <v>1317</v>
      </c>
      <c r="B1318" s="84" t="s">
        <v>2174</v>
      </c>
      <c r="C1318" s="84" t="s">
        <v>2167</v>
      </c>
      <c r="D1318" s="115" t="s">
        <v>2175</v>
      </c>
      <c r="E1318" s="85" t="s">
        <v>949</v>
      </c>
      <c r="F1318" s="85" t="s">
        <v>2216</v>
      </c>
      <c r="G1318" s="85" t="str">
        <f>TEXT(Table7[[#This Row],[EXPIRY DATE]],"MMM")</f>
        <v>DONE BY GIPL</v>
      </c>
      <c r="H1318" s="85" t="str">
        <f>TEXT(Table7[[#This Row],[EXPIRY DATE]],"YYY")</f>
        <v>DONE BY GIPL</v>
      </c>
      <c r="I1318" s="84" t="s">
        <v>2188</v>
      </c>
      <c r="J1318" s="69"/>
    </row>
    <row r="1319" spans="1:10" x14ac:dyDescent="0.3">
      <c r="A1319" s="84">
        <v>1318</v>
      </c>
      <c r="B1319" s="84" t="s">
        <v>2182</v>
      </c>
      <c r="C1319" s="84" t="s">
        <v>2167</v>
      </c>
      <c r="D1319" s="115" t="s">
        <v>2183</v>
      </c>
      <c r="E1319" s="85"/>
      <c r="F1319" s="85" t="s">
        <v>629</v>
      </c>
      <c r="G1319" s="85" t="str">
        <f>TEXT(Table7[[#This Row],[EXPIRY DATE]],"MMM")</f>
        <v>LIFETIME</v>
      </c>
      <c r="H1319" s="85" t="str">
        <f>TEXT(Table7[[#This Row],[EXPIRY DATE]],"YYY")</f>
        <v>LIFETIME</v>
      </c>
      <c r="I1319" s="84" t="s">
        <v>602</v>
      </c>
      <c r="J1319" s="69"/>
    </row>
    <row r="1320" spans="1:10" x14ac:dyDescent="0.3">
      <c r="A1320" s="84">
        <v>1319</v>
      </c>
      <c r="B1320" s="84" t="s">
        <v>2182</v>
      </c>
      <c r="C1320" s="84" t="s">
        <v>2167</v>
      </c>
      <c r="D1320" s="115" t="s">
        <v>2217</v>
      </c>
      <c r="E1320" s="85" t="s">
        <v>931</v>
      </c>
      <c r="F1320" s="85" t="s">
        <v>2216</v>
      </c>
      <c r="G1320" s="85" t="str">
        <f>TEXT(Table7[[#This Row],[EXPIRY DATE]],"MMM")</f>
        <v>DONE BY GIPL</v>
      </c>
      <c r="H1320" s="85" t="str">
        <f>TEXT(Table7[[#This Row],[EXPIRY DATE]],"YYY")</f>
        <v>DONE BY GIPL</v>
      </c>
      <c r="I1320" s="84" t="s">
        <v>2218</v>
      </c>
      <c r="J1320" s="69"/>
    </row>
    <row r="1321" spans="1:10" ht="20.399999999999999" x14ac:dyDescent="0.3">
      <c r="A1321" s="84">
        <v>1320</v>
      </c>
      <c r="B1321" s="84" t="s">
        <v>2200</v>
      </c>
      <c r="C1321" s="84" t="s">
        <v>2167</v>
      </c>
      <c r="D1321" s="115" t="s">
        <v>2201</v>
      </c>
      <c r="E1321" s="85"/>
      <c r="F1321" s="85" t="s">
        <v>81</v>
      </c>
      <c r="G1321" s="85" t="str">
        <f>TEXT(Table7[[#This Row],[EXPIRY DATE]],"MMM")</f>
        <v>NA</v>
      </c>
      <c r="H1321" s="85" t="str">
        <f>TEXT(Table7[[#This Row],[EXPIRY DATE]],"YYY")</f>
        <v>NA</v>
      </c>
      <c r="I1321" s="84" t="s">
        <v>602</v>
      </c>
      <c r="J1321" s="69"/>
    </row>
    <row r="1322" spans="1:10" x14ac:dyDescent="0.3">
      <c r="A1322" s="84">
        <v>1321</v>
      </c>
      <c r="B1322" s="84" t="s">
        <v>2185</v>
      </c>
      <c r="C1322" s="84" t="s">
        <v>2167</v>
      </c>
      <c r="D1322" s="115" t="s">
        <v>2186</v>
      </c>
      <c r="E1322" s="85" t="s">
        <v>2187</v>
      </c>
      <c r="F1322" s="85" t="s">
        <v>629</v>
      </c>
      <c r="G1322" s="85" t="str">
        <f>TEXT(Table7[[#This Row],[EXPIRY DATE]],"MMM")</f>
        <v>LIFETIME</v>
      </c>
      <c r="H1322" s="85" t="str">
        <f>TEXT(Table7[[#This Row],[EXPIRY DATE]],"YYY")</f>
        <v>LIFETIME</v>
      </c>
      <c r="I1322" s="84" t="s">
        <v>602</v>
      </c>
      <c r="J1322" s="69"/>
    </row>
    <row r="1323" spans="1:10" x14ac:dyDescent="0.3">
      <c r="A1323" s="84">
        <v>1322</v>
      </c>
      <c r="B1323" s="84" t="s">
        <v>2219</v>
      </c>
      <c r="C1323" s="84" t="s">
        <v>2167</v>
      </c>
      <c r="D1323" s="115" t="s">
        <v>2220</v>
      </c>
      <c r="E1323" s="85" t="s">
        <v>14</v>
      </c>
      <c r="F1323" s="85" t="s">
        <v>81</v>
      </c>
      <c r="G1323" s="85" t="str">
        <f>TEXT(Table7[[#This Row],[EXPIRY DATE]],"MMM")</f>
        <v>NA</v>
      </c>
      <c r="H1323" s="85" t="str">
        <f>TEXT(Table7[[#This Row],[EXPIRY DATE]],"YYY")</f>
        <v>NA</v>
      </c>
      <c r="I1323" s="84" t="s">
        <v>621</v>
      </c>
      <c r="J1323" s="69"/>
    </row>
    <row r="1324" spans="1:10" x14ac:dyDescent="0.3">
      <c r="A1324" s="84">
        <v>1323</v>
      </c>
      <c r="B1324" s="84" t="s">
        <v>2197</v>
      </c>
      <c r="C1324" s="84" t="s">
        <v>2167</v>
      </c>
      <c r="D1324" s="115" t="s">
        <v>2198</v>
      </c>
      <c r="E1324" s="85" t="s">
        <v>616</v>
      </c>
      <c r="F1324" s="84" t="s">
        <v>629</v>
      </c>
      <c r="G1324" s="85" t="s">
        <v>629</v>
      </c>
      <c r="H1324" s="85" t="str">
        <f>TEXT(Table7[[#This Row],[EXPIRY DATE]],"YYY")</f>
        <v>LIFETIME</v>
      </c>
      <c r="I1324" s="84" t="s">
        <v>602</v>
      </c>
      <c r="J1324" s="69"/>
    </row>
    <row r="1325" spans="1:10" x14ac:dyDescent="0.3">
      <c r="A1325" s="84">
        <v>1324</v>
      </c>
      <c r="B1325" s="84" t="s">
        <v>2202</v>
      </c>
      <c r="C1325" s="84" t="s">
        <v>2167</v>
      </c>
      <c r="D1325" s="115" t="s">
        <v>2203</v>
      </c>
      <c r="E1325" s="85" t="s">
        <v>14</v>
      </c>
      <c r="F1325" s="84" t="s">
        <v>629</v>
      </c>
      <c r="G1325" s="85" t="s">
        <v>629</v>
      </c>
      <c r="H1325" s="85" t="str">
        <f>TEXT(Table7[[#This Row],[EXPIRY DATE]],"YYY")</f>
        <v>LIFETIME</v>
      </c>
      <c r="I1325" s="84" t="s">
        <v>602</v>
      </c>
      <c r="J1325" s="69"/>
    </row>
    <row r="1326" spans="1:10" x14ac:dyDescent="0.3">
      <c r="A1326" s="84">
        <v>1325</v>
      </c>
      <c r="B1326" s="84" t="s">
        <v>2202</v>
      </c>
      <c r="C1326" s="84" t="s">
        <v>2167</v>
      </c>
      <c r="D1326" s="115" t="s">
        <v>2203</v>
      </c>
      <c r="E1326" s="85" t="s">
        <v>931</v>
      </c>
      <c r="F1326" s="85" t="s">
        <v>2216</v>
      </c>
      <c r="G1326" s="85" t="str">
        <f>TEXT(Table7[[#This Row],[EXPIRY DATE]],"MMM")</f>
        <v>DONE BY GIPL</v>
      </c>
      <c r="H1326" s="85" t="str">
        <f>TEXT(Table7[[#This Row],[EXPIRY DATE]],"YYY")</f>
        <v>DONE BY GIPL</v>
      </c>
      <c r="I1326" s="84" t="s">
        <v>2188</v>
      </c>
      <c r="J1326" s="69"/>
    </row>
    <row r="1327" spans="1:10" x14ac:dyDescent="0.3">
      <c r="A1327" s="84">
        <v>1326</v>
      </c>
      <c r="B1327" s="84" t="s">
        <v>2221</v>
      </c>
      <c r="C1327" s="84" t="s">
        <v>2167</v>
      </c>
      <c r="D1327" s="115" t="s">
        <v>2222</v>
      </c>
      <c r="E1327" s="85" t="s">
        <v>931</v>
      </c>
      <c r="F1327" s="85" t="s">
        <v>2216</v>
      </c>
      <c r="G1327" s="85" t="str">
        <f>TEXT(Table7[[#This Row],[EXPIRY DATE]],"MMM")</f>
        <v>DONE BY GIPL</v>
      </c>
      <c r="H1327" s="85" t="str">
        <f>TEXT(Table7[[#This Row],[EXPIRY DATE]],"YYY")</f>
        <v>DONE BY GIPL</v>
      </c>
      <c r="I1327" s="84" t="s">
        <v>2188</v>
      </c>
      <c r="J1327" s="69"/>
    </row>
    <row r="1328" spans="1:10" ht="20.399999999999999" x14ac:dyDescent="0.3">
      <c r="A1328" s="84">
        <v>1327</v>
      </c>
      <c r="B1328" s="84" t="s">
        <v>2189</v>
      </c>
      <c r="C1328" s="84" t="s">
        <v>2167</v>
      </c>
      <c r="D1328" s="115" t="s">
        <v>2190</v>
      </c>
      <c r="E1328" s="85" t="s">
        <v>931</v>
      </c>
      <c r="F1328" s="85" t="s">
        <v>81</v>
      </c>
      <c r="G1328" s="85" t="str">
        <f>TEXT(Table7[[#This Row],[EXPIRY DATE]],"MMM")</f>
        <v>NA</v>
      </c>
      <c r="H1328" s="85" t="str">
        <f>TEXT(Table7[[#This Row],[EXPIRY DATE]],"YYY")</f>
        <v>NA</v>
      </c>
      <c r="I1328" s="84" t="s">
        <v>602</v>
      </c>
      <c r="J1328" s="69"/>
    </row>
    <row r="1329" spans="1:10" ht="20.399999999999999" x14ac:dyDescent="0.3">
      <c r="A1329" s="84">
        <v>1328</v>
      </c>
      <c r="B1329" s="84" t="s">
        <v>2189</v>
      </c>
      <c r="C1329" s="84" t="s">
        <v>2167</v>
      </c>
      <c r="D1329" s="115" t="s">
        <v>2190</v>
      </c>
      <c r="E1329" s="85" t="s">
        <v>931</v>
      </c>
      <c r="F1329" s="85" t="s">
        <v>2216</v>
      </c>
      <c r="G1329" s="85" t="str">
        <f>TEXT(Table7[[#This Row],[EXPIRY DATE]],"MMM")</f>
        <v>DONE BY GIPL</v>
      </c>
      <c r="H1329" s="85" t="str">
        <f>TEXT(Table7[[#This Row],[EXPIRY DATE]],"YYY")</f>
        <v>DONE BY GIPL</v>
      </c>
      <c r="I1329" s="84" t="s">
        <v>2188</v>
      </c>
      <c r="J1329" s="69"/>
    </row>
    <row r="1330" spans="1:10" x14ac:dyDescent="0.3">
      <c r="A1330" s="84">
        <v>1329</v>
      </c>
      <c r="B1330" s="84" t="s">
        <v>2195</v>
      </c>
      <c r="C1330" s="84" t="s">
        <v>2167</v>
      </c>
      <c r="D1330" s="115" t="s">
        <v>2196</v>
      </c>
      <c r="E1330" s="85" t="s">
        <v>616</v>
      </c>
      <c r="F1330" s="84" t="s">
        <v>629</v>
      </c>
      <c r="G1330" s="85" t="s">
        <v>629</v>
      </c>
      <c r="H1330" s="85" t="str">
        <f>TEXT(Table7[[#This Row],[EXPIRY DATE]],"YYY")</f>
        <v>LIFETIME</v>
      </c>
      <c r="I1330" s="84" t="s">
        <v>602</v>
      </c>
      <c r="J1330" s="69"/>
    </row>
    <row r="1331" spans="1:10" x14ac:dyDescent="0.3">
      <c r="A1331" s="84">
        <v>1330</v>
      </c>
      <c r="B1331" s="84" t="s">
        <v>2172</v>
      </c>
      <c r="C1331" s="84" t="s">
        <v>2167</v>
      </c>
      <c r="D1331" s="115" t="s">
        <v>2173</v>
      </c>
      <c r="E1331" s="85" t="s">
        <v>931</v>
      </c>
      <c r="F1331" s="85" t="s">
        <v>629</v>
      </c>
      <c r="G1331" s="85" t="str">
        <f>TEXT(Table7[[#This Row],[EXPIRY DATE]],"MMM")</f>
        <v>LIFETIME</v>
      </c>
      <c r="H1331" s="85" t="str">
        <f>TEXT(Table7[[#This Row],[EXPIRY DATE]],"YYY")</f>
        <v>LIFETIME</v>
      </c>
      <c r="I1331" s="84" t="s">
        <v>602</v>
      </c>
      <c r="J1331" s="69"/>
    </row>
    <row r="1332" spans="1:10" x14ac:dyDescent="0.3">
      <c r="A1332" s="84">
        <v>1331</v>
      </c>
      <c r="B1332" s="84" t="s">
        <v>2204</v>
      </c>
      <c r="C1332" s="84" t="s">
        <v>2167</v>
      </c>
      <c r="D1332" s="115" t="s">
        <v>2205</v>
      </c>
      <c r="E1332" s="85" t="s">
        <v>2169</v>
      </c>
      <c r="F1332" s="85" t="s">
        <v>81</v>
      </c>
      <c r="G1332" s="85" t="str">
        <f>TEXT(Table7[[#This Row],[EXPIRY DATE]],"MMM")</f>
        <v>NA</v>
      </c>
      <c r="H1332" s="85" t="str">
        <f>TEXT(Table7[[#This Row],[EXPIRY DATE]],"YYY")</f>
        <v>NA</v>
      </c>
      <c r="I1332" s="84" t="s">
        <v>607</v>
      </c>
      <c r="J1332" s="69"/>
    </row>
    <row r="1333" spans="1:10" x14ac:dyDescent="0.3">
      <c r="A1333" s="84">
        <v>1332</v>
      </c>
      <c r="B1333" s="84" t="s">
        <v>2204</v>
      </c>
      <c r="C1333" s="84" t="s">
        <v>2167</v>
      </c>
      <c r="D1333" s="115" t="s">
        <v>2205</v>
      </c>
      <c r="E1333" s="85" t="s">
        <v>2169</v>
      </c>
      <c r="F1333" s="85" t="s">
        <v>81</v>
      </c>
      <c r="G1333" s="85" t="str">
        <f>TEXT(Table7[[#This Row],[EXPIRY DATE]],"MMM")</f>
        <v>NA</v>
      </c>
      <c r="H1333" s="85" t="str">
        <f>TEXT(Table7[[#This Row],[EXPIRY DATE]],"YYY")</f>
        <v>NA</v>
      </c>
      <c r="I1333" s="84" t="s">
        <v>916</v>
      </c>
      <c r="J1333" s="69"/>
    </row>
    <row r="1334" spans="1:10" x14ac:dyDescent="0.3">
      <c r="A1334" s="84">
        <v>1333</v>
      </c>
      <c r="B1334" s="84" t="s">
        <v>2179</v>
      </c>
      <c r="C1334" s="84" t="s">
        <v>2167</v>
      </c>
      <c r="D1334" s="115" t="s">
        <v>2180</v>
      </c>
      <c r="E1334" s="85" t="s">
        <v>2181</v>
      </c>
      <c r="F1334" s="84" t="s">
        <v>629</v>
      </c>
      <c r="G1334" s="85" t="s">
        <v>629</v>
      </c>
      <c r="H1334" s="85" t="str">
        <f>TEXT(Table7[[#This Row],[EXPIRY DATE]],"YYY")</f>
        <v>LIFETIME</v>
      </c>
      <c r="I1334" s="84" t="s">
        <v>602</v>
      </c>
      <c r="J1334" s="69"/>
    </row>
    <row r="1335" spans="1:10" x14ac:dyDescent="0.3">
      <c r="A1335" s="84">
        <v>1334</v>
      </c>
      <c r="B1335" s="84" t="s">
        <v>2223</v>
      </c>
      <c r="C1335" s="84" t="s">
        <v>2167</v>
      </c>
      <c r="D1335" s="115" t="s">
        <v>2224</v>
      </c>
      <c r="E1335" s="85" t="s">
        <v>949</v>
      </c>
      <c r="F1335" s="85" t="s">
        <v>2216</v>
      </c>
      <c r="G1335" s="85" t="s">
        <v>1139</v>
      </c>
      <c r="H1335" s="85" t="str">
        <f>TEXT(Table7[[#This Row],[EXPIRY DATE]],"YYY")</f>
        <v>DONE BY GIPL</v>
      </c>
      <c r="I1335" s="84" t="s">
        <v>2188</v>
      </c>
      <c r="J1335" s="69"/>
    </row>
    <row r="1336" spans="1:10" x14ac:dyDescent="0.3">
      <c r="A1336" s="84">
        <v>1335</v>
      </c>
      <c r="B1336" s="84" t="s">
        <v>2170</v>
      </c>
      <c r="C1336" s="102" t="s">
        <v>2167</v>
      </c>
      <c r="D1336" s="115" t="s">
        <v>2171</v>
      </c>
      <c r="E1336" s="103" t="s">
        <v>2169</v>
      </c>
      <c r="F1336" s="103" t="s">
        <v>817</v>
      </c>
      <c r="G1336" s="103" t="str">
        <f>TEXT(Table7[[#This Row],[EXPIRY DATE]],"MMM")</f>
        <v>DORMANT</v>
      </c>
      <c r="H1336" s="103" t="str">
        <f>TEXT(Table7[[#This Row],[EXPIRY DATE]],"YYY")</f>
        <v>DORMANT</v>
      </c>
      <c r="I1336" s="102" t="s">
        <v>916</v>
      </c>
      <c r="J1336" s="77"/>
    </row>
    <row r="1337" spans="1:10" ht="30.6" x14ac:dyDescent="0.3">
      <c r="A1337" s="84">
        <v>1336</v>
      </c>
      <c r="B1337" s="84" t="s">
        <v>2225</v>
      </c>
      <c r="C1337" s="84" t="s">
        <v>2167</v>
      </c>
      <c r="D1337" s="115" t="s">
        <v>2215</v>
      </c>
      <c r="E1337" s="85" t="s">
        <v>2178</v>
      </c>
      <c r="F1337" s="85" t="s">
        <v>629</v>
      </c>
      <c r="G1337" s="85" t="str">
        <f>TEXT(Table7[[#This Row],[EXPIRY DATE]],"MMM")</f>
        <v>LIFETIME</v>
      </c>
      <c r="H1337" s="85" t="str">
        <f>TEXT(Table7[[#This Row],[EXPIRY DATE]],"YYY")</f>
        <v>LIFETIME</v>
      </c>
      <c r="I1337" s="84" t="s">
        <v>602</v>
      </c>
      <c r="J1337" s="69"/>
    </row>
    <row r="1338" spans="1:10" x14ac:dyDescent="0.3">
      <c r="A1338" s="84">
        <v>1337</v>
      </c>
      <c r="B1338" s="84" t="s">
        <v>2176</v>
      </c>
      <c r="C1338" s="84" t="s">
        <v>2167</v>
      </c>
      <c r="D1338" s="115" t="s">
        <v>2211</v>
      </c>
      <c r="E1338" s="85" t="s">
        <v>2178</v>
      </c>
      <c r="F1338" s="85" t="s">
        <v>629</v>
      </c>
      <c r="G1338" s="85" t="str">
        <f>TEXT(Table7[[#This Row],[EXPIRY DATE]],"MMM")</f>
        <v>LIFETIME</v>
      </c>
      <c r="H1338" s="85" t="str">
        <f>TEXT(Table7[[#This Row],[EXPIRY DATE]],"YYY")</f>
        <v>LIFETIME</v>
      </c>
      <c r="I1338" s="84" t="s">
        <v>602</v>
      </c>
      <c r="J1338" s="69"/>
    </row>
    <row r="1339" spans="1:10" x14ac:dyDescent="0.3">
      <c r="A1339" s="84">
        <v>1338</v>
      </c>
      <c r="B1339" s="84" t="s">
        <v>2176</v>
      </c>
      <c r="C1339" s="84" t="s">
        <v>2167</v>
      </c>
      <c r="D1339" s="115" t="s">
        <v>2211</v>
      </c>
      <c r="E1339" s="85" t="s">
        <v>2178</v>
      </c>
      <c r="F1339" s="85" t="s">
        <v>2216</v>
      </c>
      <c r="G1339" s="85" t="str">
        <f>TEXT(Table7[[#This Row],[EXPIRY DATE]],"MMM")</f>
        <v>DONE BY GIPL</v>
      </c>
      <c r="H1339" s="85" t="str">
        <f>TEXT(Table7[[#This Row],[EXPIRY DATE]],"YYY")</f>
        <v>DONE BY GIPL</v>
      </c>
      <c r="I1339" s="84" t="s">
        <v>2188</v>
      </c>
      <c r="J1339" s="69"/>
    </row>
    <row r="1340" spans="1:10" x14ac:dyDescent="0.3">
      <c r="A1340" s="84">
        <v>1339</v>
      </c>
      <c r="B1340" s="84" t="s">
        <v>2226</v>
      </c>
      <c r="C1340" s="84" t="s">
        <v>2227</v>
      </c>
      <c r="D1340" s="115" t="s">
        <v>2228</v>
      </c>
      <c r="E1340" s="85" t="s">
        <v>802</v>
      </c>
      <c r="F1340" s="85">
        <v>47099</v>
      </c>
      <c r="G1340" s="85" t="str">
        <f>TEXT(Table7[[#This Row],[EXPIRY DATE]],"MMM")</f>
        <v>Dec</v>
      </c>
      <c r="H1340" s="85" t="str">
        <f>TEXT(Table7[[#This Row],[EXPIRY DATE]],"YYY")</f>
        <v>2028</v>
      </c>
      <c r="I1340" s="85" t="s">
        <v>791</v>
      </c>
      <c r="J1340" s="69"/>
    </row>
    <row r="1341" spans="1:10" x14ac:dyDescent="0.3">
      <c r="A1341" s="84">
        <v>1340</v>
      </c>
      <c r="B1341" s="84" t="s">
        <v>2229</v>
      </c>
      <c r="C1341" s="92" t="s">
        <v>2230</v>
      </c>
      <c r="D1341" s="119" t="s">
        <v>2231</v>
      </c>
      <c r="E1341" s="93"/>
      <c r="F1341" s="93" t="s">
        <v>766</v>
      </c>
      <c r="G1341" s="93" t="str">
        <f>TEXT(Table7[[#This Row],[EXPIRY DATE]],"MMM")</f>
        <v>CLOSED</v>
      </c>
      <c r="H1341" s="93" t="str">
        <f>TEXT(Table7[[#This Row],[EXPIRY DATE]],"YYY")</f>
        <v>CLOSED</v>
      </c>
      <c r="I1341" s="92" t="s">
        <v>607</v>
      </c>
      <c r="J1341" s="75"/>
    </row>
    <row r="1342" spans="1:10" x14ac:dyDescent="0.3">
      <c r="A1342" s="84">
        <v>1341</v>
      </c>
      <c r="B1342" s="84" t="s">
        <v>2232</v>
      </c>
      <c r="C1342" s="84" t="s">
        <v>2233</v>
      </c>
      <c r="D1342" s="115" t="s">
        <v>2234</v>
      </c>
      <c r="E1342" s="85" t="s">
        <v>616</v>
      </c>
      <c r="F1342" s="85">
        <v>46474</v>
      </c>
      <c r="G1342" s="85" t="str">
        <f>TEXT(Table7[[#This Row],[EXPIRY DATE]],"MMM")</f>
        <v>Mar</v>
      </c>
      <c r="H1342" s="85" t="str">
        <f>TEXT(Table7[[#This Row],[EXPIRY DATE]],"YYY")</f>
        <v>2027</v>
      </c>
      <c r="I1342" s="85" t="s">
        <v>791</v>
      </c>
      <c r="J1342" s="69"/>
    </row>
    <row r="1343" spans="1:10" x14ac:dyDescent="0.3">
      <c r="A1343" s="84">
        <v>1342</v>
      </c>
      <c r="B1343" s="84" t="s">
        <v>2235</v>
      </c>
      <c r="C1343" s="84" t="s">
        <v>2233</v>
      </c>
      <c r="D1343" s="115" t="s">
        <v>2236</v>
      </c>
      <c r="E1343" s="85" t="s">
        <v>616</v>
      </c>
      <c r="F1343" s="85">
        <v>46481</v>
      </c>
      <c r="G1343" s="85" t="str">
        <f>TEXT(Table7[[#This Row],[EXPIRY DATE]],"MMM")</f>
        <v>Apr</v>
      </c>
      <c r="H1343" s="85" t="str">
        <f>TEXT(Table7[[#This Row],[EXPIRY DATE]],"YYY")</f>
        <v>2027</v>
      </c>
      <c r="I1343" s="85" t="s">
        <v>791</v>
      </c>
      <c r="J1343" s="69"/>
    </row>
    <row r="1344" spans="1:10" x14ac:dyDescent="0.3">
      <c r="A1344" s="84">
        <v>1343</v>
      </c>
      <c r="B1344" s="84" t="s">
        <v>1934</v>
      </c>
      <c r="C1344" s="84" t="s">
        <v>2233</v>
      </c>
      <c r="D1344" s="115" t="s">
        <v>2237</v>
      </c>
      <c r="E1344" s="85" t="s">
        <v>616</v>
      </c>
      <c r="F1344" s="85">
        <v>46486</v>
      </c>
      <c r="G1344" s="85" t="str">
        <f>TEXT(Table7[[#This Row],[EXPIRY DATE]],"MMM")</f>
        <v>Apr</v>
      </c>
      <c r="H1344" s="85" t="str">
        <f>TEXT(Table7[[#This Row],[EXPIRY DATE]],"YYY")</f>
        <v>2027</v>
      </c>
      <c r="I1344" s="85" t="s">
        <v>791</v>
      </c>
      <c r="J1344" s="69"/>
    </row>
    <row r="1345" spans="1:10" ht="20.399999999999999" x14ac:dyDescent="0.3">
      <c r="A1345" s="84">
        <v>1344</v>
      </c>
      <c r="B1345" s="84" t="s">
        <v>2238</v>
      </c>
      <c r="C1345" s="84" t="s">
        <v>2233</v>
      </c>
      <c r="D1345" s="115" t="s">
        <v>2239</v>
      </c>
      <c r="E1345" s="85" t="s">
        <v>605</v>
      </c>
      <c r="F1345" s="85">
        <v>46516</v>
      </c>
      <c r="G1345" s="85" t="s">
        <v>838</v>
      </c>
      <c r="H1345" s="85" t="str">
        <f>TEXT(Table7[[#This Row],[EXPIRY DATE]],"YYY")</f>
        <v>2027</v>
      </c>
      <c r="I1345" s="84" t="s">
        <v>791</v>
      </c>
      <c r="J1345" s="69"/>
    </row>
    <row r="1346" spans="1:10" x14ac:dyDescent="0.3">
      <c r="A1346" s="84">
        <v>1345</v>
      </c>
      <c r="B1346" s="84" t="s">
        <v>2240</v>
      </c>
      <c r="C1346" s="84" t="s">
        <v>2233</v>
      </c>
      <c r="D1346" s="115" t="s">
        <v>2241</v>
      </c>
      <c r="E1346" s="85" t="s">
        <v>601</v>
      </c>
      <c r="F1346" s="85">
        <v>46524</v>
      </c>
      <c r="G1346" s="85" t="str">
        <f>TEXT(Table7[[#This Row],[EXPIRY DATE]],"MMM")</f>
        <v>May</v>
      </c>
      <c r="H1346" s="85" t="str">
        <f>TEXT(Table7[[#This Row],[EXPIRY DATE]],"YYY")</f>
        <v>2027</v>
      </c>
      <c r="I1346" s="85" t="s">
        <v>791</v>
      </c>
      <c r="J1346" s="69"/>
    </row>
    <row r="1347" spans="1:10" x14ac:dyDescent="0.3">
      <c r="A1347" s="84">
        <v>1346</v>
      </c>
      <c r="B1347" s="84" t="s">
        <v>2242</v>
      </c>
      <c r="C1347" s="84" t="s">
        <v>2233</v>
      </c>
      <c r="D1347" s="115" t="s">
        <v>2243</v>
      </c>
      <c r="E1347" s="85" t="s">
        <v>601</v>
      </c>
      <c r="F1347" s="85">
        <v>46558</v>
      </c>
      <c r="G1347" s="85" t="str">
        <f>TEXT(Table7[[#This Row],[EXPIRY DATE]],"MMM")</f>
        <v>Jun</v>
      </c>
      <c r="H1347" s="85" t="str">
        <f>TEXT(Table7[[#This Row],[EXPIRY DATE]],"YYY")</f>
        <v>2027</v>
      </c>
      <c r="I1347" s="85" t="s">
        <v>791</v>
      </c>
      <c r="J1347" s="69"/>
    </row>
    <row r="1348" spans="1:10" x14ac:dyDescent="0.3">
      <c r="A1348" s="84">
        <v>1347</v>
      </c>
      <c r="B1348" s="84" t="s">
        <v>2244</v>
      </c>
      <c r="C1348" s="84" t="s">
        <v>2233</v>
      </c>
      <c r="D1348" s="115" t="s">
        <v>2245</v>
      </c>
      <c r="E1348" s="85" t="s">
        <v>601</v>
      </c>
      <c r="F1348" s="85">
        <v>46564</v>
      </c>
      <c r="G1348" s="85" t="str">
        <f>TEXT(Table7[[#This Row],[EXPIRY DATE]],"MMM")</f>
        <v>Jun</v>
      </c>
      <c r="H1348" s="85" t="str">
        <f>TEXT(Table7[[#This Row],[EXPIRY DATE]],"YYY")</f>
        <v>2027</v>
      </c>
      <c r="I1348" s="85" t="s">
        <v>791</v>
      </c>
      <c r="J1348" s="69"/>
    </row>
    <row r="1349" spans="1:10" x14ac:dyDescent="0.3">
      <c r="A1349" s="84">
        <v>1348</v>
      </c>
      <c r="B1349" s="84" t="s">
        <v>2246</v>
      </c>
      <c r="C1349" s="84" t="s">
        <v>2233</v>
      </c>
      <c r="D1349" s="115" t="s">
        <v>2247</v>
      </c>
      <c r="E1349" s="85" t="s">
        <v>601</v>
      </c>
      <c r="F1349" s="85">
        <v>46575</v>
      </c>
      <c r="G1349" s="85" t="str">
        <f>TEXT(Table7[[#This Row],[EXPIRY DATE]],"MMM")</f>
        <v>Jul</v>
      </c>
      <c r="H1349" s="85" t="str">
        <f>TEXT(Table7[[#This Row],[EXPIRY DATE]],"YYY")</f>
        <v>2027</v>
      </c>
      <c r="I1349" s="85" t="s">
        <v>791</v>
      </c>
      <c r="J1349" s="69"/>
    </row>
    <row r="1350" spans="1:10" x14ac:dyDescent="0.3">
      <c r="A1350" s="84">
        <v>1349</v>
      </c>
      <c r="B1350" s="84" t="s">
        <v>2248</v>
      </c>
      <c r="C1350" s="84" t="s">
        <v>2233</v>
      </c>
      <c r="D1350" s="115" t="s">
        <v>2249</v>
      </c>
      <c r="E1350" s="85" t="s">
        <v>601</v>
      </c>
      <c r="F1350" s="85">
        <v>46617</v>
      </c>
      <c r="G1350" s="85" t="str">
        <f>TEXT(Table7[[#This Row],[EXPIRY DATE]],"MMM")</f>
        <v>Aug</v>
      </c>
      <c r="H1350" s="85" t="str">
        <f>TEXT(Table7[[#This Row],[EXPIRY DATE]],"YYY")</f>
        <v>2027</v>
      </c>
      <c r="I1350" s="85" t="s">
        <v>791</v>
      </c>
      <c r="J1350" s="69"/>
    </row>
    <row r="1351" spans="1:10" x14ac:dyDescent="0.3">
      <c r="A1351" s="84">
        <v>1350</v>
      </c>
      <c r="B1351" s="84" t="s">
        <v>2144</v>
      </c>
      <c r="C1351" s="84" t="s">
        <v>2233</v>
      </c>
      <c r="D1351" s="115" t="s">
        <v>2250</v>
      </c>
      <c r="E1351" s="85" t="s">
        <v>601</v>
      </c>
      <c r="F1351" s="85">
        <v>46621</v>
      </c>
      <c r="G1351" s="85" t="str">
        <f>TEXT(Table7[[#This Row],[EXPIRY DATE]],"MMM")</f>
        <v>Aug</v>
      </c>
      <c r="H1351" s="85" t="str">
        <f>TEXT(Table7[[#This Row],[EXPIRY DATE]],"YYY")</f>
        <v>2027</v>
      </c>
      <c r="I1351" s="85" t="s">
        <v>791</v>
      </c>
      <c r="J1351" s="69"/>
    </row>
    <row r="1352" spans="1:10" x14ac:dyDescent="0.3">
      <c r="A1352" s="84">
        <v>1351</v>
      </c>
      <c r="B1352" s="84" t="s">
        <v>2251</v>
      </c>
      <c r="C1352" s="84" t="s">
        <v>2233</v>
      </c>
      <c r="D1352" s="115" t="s">
        <v>2252</v>
      </c>
      <c r="E1352" s="85" t="s">
        <v>616</v>
      </c>
      <c r="F1352" s="85">
        <v>46631</v>
      </c>
      <c r="G1352" s="85" t="str">
        <f>TEXT(Table7[[#This Row],[EXPIRY DATE]],"MMM")</f>
        <v>Sep</v>
      </c>
      <c r="H1352" s="85" t="str">
        <f>TEXT(Table7[[#This Row],[EXPIRY DATE]],"YYY")</f>
        <v>2027</v>
      </c>
      <c r="I1352" s="85" t="s">
        <v>791</v>
      </c>
      <c r="J1352" s="69"/>
    </row>
    <row r="1353" spans="1:10" x14ac:dyDescent="0.3">
      <c r="A1353" s="84">
        <v>1352</v>
      </c>
      <c r="B1353" s="84" t="s">
        <v>2253</v>
      </c>
      <c r="C1353" s="84" t="s">
        <v>2233</v>
      </c>
      <c r="D1353" s="115" t="s">
        <v>2254</v>
      </c>
      <c r="E1353" s="85" t="s">
        <v>616</v>
      </c>
      <c r="F1353" s="85">
        <v>46635</v>
      </c>
      <c r="G1353" s="85" t="str">
        <f>TEXT(Table7[[#This Row],[EXPIRY DATE]],"MMM")</f>
        <v>Sep</v>
      </c>
      <c r="H1353" s="85" t="str">
        <f>TEXT(Table7[[#This Row],[EXPIRY DATE]],"YYY")</f>
        <v>2027</v>
      </c>
      <c r="I1353" s="85" t="s">
        <v>791</v>
      </c>
      <c r="J1353" s="69"/>
    </row>
    <row r="1354" spans="1:10" x14ac:dyDescent="0.3">
      <c r="A1354" s="84">
        <v>1353</v>
      </c>
      <c r="B1354" s="84" t="s">
        <v>2255</v>
      </c>
      <c r="C1354" s="84" t="s">
        <v>2233</v>
      </c>
      <c r="D1354" s="115" t="s">
        <v>2256</v>
      </c>
      <c r="E1354" s="85" t="s">
        <v>2257</v>
      </c>
      <c r="F1354" s="85">
        <v>46671</v>
      </c>
      <c r="G1354" s="85" t="str">
        <f>TEXT(Table7[[#This Row],[EXPIRY DATE]],"MMM")</f>
        <v>Oct</v>
      </c>
      <c r="H1354" s="85" t="str">
        <f>TEXT(Table7[[#This Row],[EXPIRY DATE]],"YYY")</f>
        <v>2027</v>
      </c>
      <c r="I1354" s="85" t="s">
        <v>791</v>
      </c>
      <c r="J1354" s="69"/>
    </row>
    <row r="1355" spans="1:10" x14ac:dyDescent="0.3">
      <c r="A1355" s="84">
        <v>1354</v>
      </c>
      <c r="B1355" s="84" t="s">
        <v>2258</v>
      </c>
      <c r="C1355" s="84" t="s">
        <v>2233</v>
      </c>
      <c r="D1355" s="115" t="s">
        <v>2259</v>
      </c>
      <c r="E1355" s="85" t="s">
        <v>616</v>
      </c>
      <c r="F1355" s="85">
        <v>46684</v>
      </c>
      <c r="G1355" s="85" t="str">
        <f>TEXT(Table7[[#This Row],[EXPIRY DATE]],"MMM")</f>
        <v>Oct</v>
      </c>
      <c r="H1355" s="85" t="str">
        <f>TEXT(Table7[[#This Row],[EXPIRY DATE]],"YYY")</f>
        <v>2027</v>
      </c>
      <c r="I1355" s="85" t="s">
        <v>791</v>
      </c>
      <c r="J1355" s="69"/>
    </row>
    <row r="1356" spans="1:10" x14ac:dyDescent="0.3">
      <c r="A1356" s="84">
        <v>1355</v>
      </c>
      <c r="B1356" s="84" t="s">
        <v>2260</v>
      </c>
      <c r="C1356" s="84" t="s">
        <v>2233</v>
      </c>
      <c r="D1356" s="115" t="s">
        <v>2261</v>
      </c>
      <c r="E1356" s="85" t="s">
        <v>616</v>
      </c>
      <c r="F1356" s="85">
        <v>46713</v>
      </c>
      <c r="G1356" s="85" t="str">
        <f>TEXT(Table7[[#This Row],[EXPIRY DATE]],"MMM")</f>
        <v>Nov</v>
      </c>
      <c r="H1356" s="85" t="str">
        <f>TEXT(Table7[[#This Row],[EXPIRY DATE]],"YYY")</f>
        <v>2027</v>
      </c>
      <c r="I1356" s="85" t="s">
        <v>791</v>
      </c>
      <c r="J1356" s="69"/>
    </row>
    <row r="1357" spans="1:10" x14ac:dyDescent="0.3">
      <c r="A1357" s="84">
        <v>1356</v>
      </c>
      <c r="B1357" s="84" t="s">
        <v>2262</v>
      </c>
      <c r="C1357" s="84" t="s">
        <v>2233</v>
      </c>
      <c r="D1357" s="115" t="s">
        <v>2263</v>
      </c>
      <c r="E1357" s="85" t="s">
        <v>616</v>
      </c>
      <c r="F1357" s="85">
        <v>46750</v>
      </c>
      <c r="G1357" s="85" t="str">
        <f>TEXT(Table7[[#This Row],[EXPIRY DATE]],"MMM")</f>
        <v>Dec</v>
      </c>
      <c r="H1357" s="85" t="str">
        <f>TEXT(Table7[[#This Row],[EXPIRY DATE]],"YYY")</f>
        <v>2027</v>
      </c>
      <c r="I1357" s="85" t="s">
        <v>791</v>
      </c>
      <c r="J1357" s="69"/>
    </row>
    <row r="1358" spans="1:10" x14ac:dyDescent="0.3">
      <c r="A1358" s="84">
        <v>1357</v>
      </c>
      <c r="B1358" s="84" t="s">
        <v>2251</v>
      </c>
      <c r="C1358" s="84" t="s">
        <v>2233</v>
      </c>
      <c r="D1358" s="115" t="s">
        <v>2252</v>
      </c>
      <c r="E1358" s="85" t="s">
        <v>616</v>
      </c>
      <c r="F1358" s="85" t="s">
        <v>629</v>
      </c>
      <c r="G1358" s="85" t="str">
        <f>TEXT(Table7[[#This Row],[EXPIRY DATE]],"MMM")</f>
        <v>LIFETIME</v>
      </c>
      <c r="H1358" s="85" t="str">
        <f>TEXT(Table7[[#This Row],[EXPIRY DATE]],"YYY")</f>
        <v>LIFETIME</v>
      </c>
      <c r="I1358" s="84" t="s">
        <v>916</v>
      </c>
      <c r="J1358" s="69"/>
    </row>
    <row r="1359" spans="1:10" x14ac:dyDescent="0.3">
      <c r="A1359" s="84">
        <v>1358</v>
      </c>
      <c r="B1359" s="84" t="s">
        <v>2258</v>
      </c>
      <c r="C1359" s="84" t="s">
        <v>2233</v>
      </c>
      <c r="D1359" s="115" t="s">
        <v>2264</v>
      </c>
      <c r="E1359" s="85" t="s">
        <v>616</v>
      </c>
      <c r="F1359" s="85" t="s">
        <v>629</v>
      </c>
      <c r="G1359" s="85" t="str">
        <f>TEXT(Table7[[#This Row],[EXPIRY DATE]],"MMM")</f>
        <v>LIFETIME</v>
      </c>
      <c r="H1359" s="85" t="str">
        <f>TEXT(Table7[[#This Row],[EXPIRY DATE]],"YYY")</f>
        <v>LIFETIME</v>
      </c>
      <c r="I1359" s="84" t="s">
        <v>916</v>
      </c>
      <c r="J1359" s="69"/>
    </row>
    <row r="1360" spans="1:10" x14ac:dyDescent="0.3">
      <c r="A1360" s="84">
        <v>1359</v>
      </c>
      <c r="B1360" s="84" t="s">
        <v>2226</v>
      </c>
      <c r="C1360" s="84" t="s">
        <v>249</v>
      </c>
      <c r="D1360" s="115" t="s">
        <v>2265</v>
      </c>
      <c r="E1360" s="85" t="s">
        <v>802</v>
      </c>
      <c r="F1360" s="85">
        <v>45747</v>
      </c>
      <c r="G1360" s="85" t="str">
        <f>TEXT(Table7[[#This Row],[EXPIRY DATE]],"MMM")</f>
        <v>Mar</v>
      </c>
      <c r="H1360" s="85" t="str">
        <f>TEXT(Table7[[#This Row],[EXPIRY DATE]],"YYY")</f>
        <v>2025</v>
      </c>
      <c r="I1360" s="84" t="s">
        <v>916</v>
      </c>
      <c r="J1360" s="69"/>
    </row>
    <row r="1361" spans="1:10" x14ac:dyDescent="0.3">
      <c r="A1361" s="84">
        <v>1360</v>
      </c>
      <c r="B1361" s="84" t="s">
        <v>2226</v>
      </c>
      <c r="C1361" s="84" t="s">
        <v>249</v>
      </c>
      <c r="D1361" s="115" t="s">
        <v>2265</v>
      </c>
      <c r="E1361" s="85" t="s">
        <v>802</v>
      </c>
      <c r="F1361" s="85">
        <v>46022</v>
      </c>
      <c r="G1361" s="85" t="str">
        <f>TEXT(Table7[[#This Row],[EXPIRY DATE]],"MMM")</f>
        <v>Dec</v>
      </c>
      <c r="H1361" s="85" t="str">
        <f>TEXT(Table7[[#This Row],[EXPIRY DATE]],"YYY")</f>
        <v>2025</v>
      </c>
      <c r="I1361" s="84" t="s">
        <v>607</v>
      </c>
      <c r="J1361" s="69"/>
    </row>
    <row r="1362" spans="1:10" x14ac:dyDescent="0.3">
      <c r="A1362" s="84">
        <v>1361</v>
      </c>
      <c r="B1362" s="84" t="s">
        <v>2266</v>
      </c>
      <c r="C1362" s="84" t="s">
        <v>249</v>
      </c>
      <c r="D1362" s="115" t="s">
        <v>2265</v>
      </c>
      <c r="E1362" s="85" t="s">
        <v>2267</v>
      </c>
      <c r="F1362" s="85">
        <v>46022</v>
      </c>
      <c r="G1362" s="85" t="s">
        <v>625</v>
      </c>
      <c r="H1362" s="85" t="str">
        <f>TEXT(Table7[[#This Row],[EXPIRY DATE]],"YYY")</f>
        <v>2025</v>
      </c>
      <c r="I1362" s="84" t="s">
        <v>607</v>
      </c>
      <c r="J1362" s="69"/>
    </row>
    <row r="1363" spans="1:10" x14ac:dyDescent="0.3">
      <c r="A1363" s="84">
        <v>1362</v>
      </c>
      <c r="B1363" s="84" t="s">
        <v>2226</v>
      </c>
      <c r="C1363" s="84" t="s">
        <v>249</v>
      </c>
      <c r="D1363" s="115" t="s">
        <v>2265</v>
      </c>
      <c r="E1363" s="85" t="s">
        <v>802</v>
      </c>
      <c r="F1363" s="85">
        <v>46061</v>
      </c>
      <c r="G1363" s="85" t="str">
        <f>TEXT(Table7[[#This Row],[EXPIRY DATE]],"MMM")</f>
        <v>Feb</v>
      </c>
      <c r="H1363" s="85" t="str">
        <f>TEXT(Table7[[#This Row],[EXPIRY DATE]],"YYY")</f>
        <v>2026</v>
      </c>
      <c r="I1363" s="85" t="s">
        <v>791</v>
      </c>
      <c r="J1363" s="69"/>
    </row>
    <row r="1364" spans="1:10" x14ac:dyDescent="0.3">
      <c r="A1364" s="84">
        <v>1363</v>
      </c>
      <c r="B1364" s="84" t="s">
        <v>2226</v>
      </c>
      <c r="C1364" s="84" t="s">
        <v>249</v>
      </c>
      <c r="D1364" s="115" t="s">
        <v>2265</v>
      </c>
      <c r="E1364" s="85" t="s">
        <v>802</v>
      </c>
      <c r="F1364" s="85" t="s">
        <v>629</v>
      </c>
      <c r="G1364" s="85" t="str">
        <f>TEXT(Table7[[#This Row],[EXPIRY DATE]],"MMM")</f>
        <v>LIFETIME</v>
      </c>
      <c r="H1364" s="85" t="str">
        <f>TEXT(Table7[[#This Row],[EXPIRY DATE]],"YYY")</f>
        <v>LIFETIME</v>
      </c>
      <c r="I1364" s="84" t="s">
        <v>602</v>
      </c>
      <c r="J1364" s="69"/>
    </row>
    <row r="1365" spans="1:10" x14ac:dyDescent="0.3">
      <c r="A1365" s="84">
        <v>1364</v>
      </c>
      <c r="B1365" s="84" t="s">
        <v>2268</v>
      </c>
      <c r="C1365" s="84" t="s">
        <v>238</v>
      </c>
      <c r="D1365" s="115" t="s">
        <v>2269</v>
      </c>
      <c r="E1365" s="85" t="s">
        <v>802</v>
      </c>
      <c r="F1365" s="85">
        <v>45631</v>
      </c>
      <c r="G1365" s="85" t="s">
        <v>625</v>
      </c>
      <c r="H1365" s="85" t="str">
        <f>TEXT(Table7[[#This Row],[EXPIRY DATE]],"YYY")</f>
        <v>2024</v>
      </c>
      <c r="I1365" s="84" t="s">
        <v>602</v>
      </c>
      <c r="J1365" s="69"/>
    </row>
    <row r="1366" spans="1:10" x14ac:dyDescent="0.3">
      <c r="A1366" s="84">
        <v>1365</v>
      </c>
      <c r="B1366" s="84" t="s">
        <v>2226</v>
      </c>
      <c r="C1366" s="84" t="s">
        <v>238</v>
      </c>
      <c r="D1366" s="115" t="s">
        <v>2269</v>
      </c>
      <c r="E1366" s="85" t="s">
        <v>802</v>
      </c>
      <c r="F1366" s="85">
        <v>46022</v>
      </c>
      <c r="G1366" s="85" t="str">
        <f>TEXT(Table7[[#This Row],[EXPIRY DATE]],"MMM")</f>
        <v>Dec</v>
      </c>
      <c r="H1366" s="85" t="str">
        <f>TEXT(Table7[[#This Row],[EXPIRY DATE]],"YYY")</f>
        <v>2025</v>
      </c>
      <c r="I1366" s="84" t="s">
        <v>607</v>
      </c>
      <c r="J1366" s="69"/>
    </row>
    <row r="1367" spans="1:10" x14ac:dyDescent="0.3">
      <c r="A1367" s="84">
        <v>1366</v>
      </c>
      <c r="B1367" s="84" t="s">
        <v>2226</v>
      </c>
      <c r="C1367" s="84" t="s">
        <v>238</v>
      </c>
      <c r="D1367" s="115" t="s">
        <v>2269</v>
      </c>
      <c r="E1367" s="85" t="s">
        <v>802</v>
      </c>
      <c r="F1367" s="85">
        <v>46022</v>
      </c>
      <c r="G1367" s="85" t="str">
        <f>TEXT(Table7[[#This Row],[EXPIRY DATE]],"MMM")</f>
        <v>Dec</v>
      </c>
      <c r="H1367" s="85" t="str">
        <f>TEXT(Table7[[#This Row],[EXPIRY DATE]],"YYY")</f>
        <v>2025</v>
      </c>
      <c r="I1367" s="84" t="s">
        <v>916</v>
      </c>
      <c r="J1367" s="69"/>
    </row>
    <row r="1368" spans="1:10" x14ac:dyDescent="0.3">
      <c r="A1368" s="84">
        <v>1367</v>
      </c>
      <c r="B1368" s="84" t="s">
        <v>2226</v>
      </c>
      <c r="C1368" s="84" t="s">
        <v>238</v>
      </c>
      <c r="D1368" s="115" t="s">
        <v>2269</v>
      </c>
      <c r="E1368" s="85" t="s">
        <v>802</v>
      </c>
      <c r="F1368" s="85">
        <v>46061</v>
      </c>
      <c r="G1368" s="85" t="str">
        <f>TEXT(Table7[[#This Row],[EXPIRY DATE]],"MMM")</f>
        <v>Feb</v>
      </c>
      <c r="H1368" s="85" t="str">
        <f>TEXT(Table7[[#This Row],[EXPIRY DATE]],"YYY")</f>
        <v>2026</v>
      </c>
      <c r="I1368" s="85" t="s">
        <v>791</v>
      </c>
      <c r="J1368" s="69"/>
    </row>
    <row r="1369" spans="1:10" ht="20.399999999999999" x14ac:dyDescent="0.3">
      <c r="A1369" s="84">
        <v>1368</v>
      </c>
      <c r="B1369" s="84" t="s">
        <v>2266</v>
      </c>
      <c r="C1369" s="84" t="s">
        <v>2270</v>
      </c>
      <c r="D1369" s="115" t="s">
        <v>2271</v>
      </c>
      <c r="E1369" s="85"/>
      <c r="F1369" s="85">
        <v>46544</v>
      </c>
      <c r="G1369" s="85" t="str">
        <f>TEXT(Table7[[#This Row],[EXPIRY DATE]],"MMM")</f>
        <v>Jun</v>
      </c>
      <c r="H1369" s="85" t="str">
        <f>TEXT(Table7[[#This Row],[EXPIRY DATE]],"YYY")</f>
        <v>2027</v>
      </c>
      <c r="I1369" s="85" t="s">
        <v>791</v>
      </c>
      <c r="J1369" s="69"/>
    </row>
    <row r="1370" spans="1:10" x14ac:dyDescent="0.3">
      <c r="A1370" s="84">
        <v>1369</v>
      </c>
      <c r="B1370" s="84" t="s">
        <v>2272</v>
      </c>
      <c r="C1370" s="84" t="s">
        <v>393</v>
      </c>
      <c r="D1370" s="115" t="s">
        <v>2273</v>
      </c>
      <c r="E1370" s="85" t="s">
        <v>616</v>
      </c>
      <c r="F1370" s="85">
        <v>45640</v>
      </c>
      <c r="G1370" s="85" t="str">
        <f>TEXT(Table7[[#This Row],[EXPIRY DATE]],"MMM")</f>
        <v>Dec</v>
      </c>
      <c r="H1370" s="85" t="str">
        <f>TEXT(Table7[[#This Row],[EXPIRY DATE]],"YYY")</f>
        <v>2024</v>
      </c>
      <c r="I1370" s="85" t="s">
        <v>791</v>
      </c>
      <c r="J1370" s="69"/>
    </row>
    <row r="1371" spans="1:10" ht="20.399999999999999" x14ac:dyDescent="0.3">
      <c r="A1371" s="84">
        <v>1370</v>
      </c>
      <c r="B1371" s="84" t="s">
        <v>2274</v>
      </c>
      <c r="C1371" s="84" t="s">
        <v>393</v>
      </c>
      <c r="D1371" s="115" t="s">
        <v>2275</v>
      </c>
      <c r="E1371" s="85" t="s">
        <v>616</v>
      </c>
      <c r="F1371" s="85">
        <v>46041</v>
      </c>
      <c r="G1371" s="85" t="str">
        <f>TEXT(Table7[[#This Row],[EXPIRY DATE]],"MMM")</f>
        <v>Jan</v>
      </c>
      <c r="H1371" s="85" t="str">
        <f>TEXT(Table7[[#This Row],[EXPIRY DATE]],"YYY")</f>
        <v>2026</v>
      </c>
      <c r="I1371" s="84" t="s">
        <v>839</v>
      </c>
      <c r="J1371" s="69"/>
    </row>
    <row r="1372" spans="1:10" x14ac:dyDescent="0.3">
      <c r="A1372" s="84">
        <v>1371</v>
      </c>
      <c r="B1372" s="84" t="s">
        <v>2272</v>
      </c>
      <c r="C1372" s="84" t="s">
        <v>393</v>
      </c>
      <c r="D1372" s="115" t="s">
        <v>2273</v>
      </c>
      <c r="E1372" s="85" t="s">
        <v>616</v>
      </c>
      <c r="F1372" s="85">
        <v>46086</v>
      </c>
      <c r="G1372" s="85" t="str">
        <f>TEXT(Table7[[#This Row],[EXPIRY DATE]],"MMM")</f>
        <v>Mar</v>
      </c>
      <c r="H1372" s="85" t="str">
        <f>TEXT(Table7[[#This Row],[EXPIRY DATE]],"YYY")</f>
        <v>2026</v>
      </c>
      <c r="I1372" s="84" t="s">
        <v>839</v>
      </c>
      <c r="J1372" s="69"/>
    </row>
    <row r="1373" spans="1:10" x14ac:dyDescent="0.3">
      <c r="A1373" s="84">
        <v>1372</v>
      </c>
      <c r="B1373" s="100" t="s">
        <v>2276</v>
      </c>
      <c r="C1373" s="100" t="s">
        <v>393</v>
      </c>
      <c r="D1373" s="121" t="s">
        <v>2277</v>
      </c>
      <c r="E1373" s="101" t="s">
        <v>590</v>
      </c>
      <c r="F1373" s="101">
        <v>46112</v>
      </c>
      <c r="G1373" s="85" t="str">
        <f>TEXT(Table7[[#This Row],[EXPIRY DATE]],"MMM")</f>
        <v>Mar</v>
      </c>
      <c r="H1373" s="101" t="str">
        <f>TEXT(Table7[[#This Row],[EXPIRY DATE]],"YYY")</f>
        <v>2026</v>
      </c>
      <c r="I1373" s="100" t="s">
        <v>607</v>
      </c>
      <c r="J1373" s="74"/>
    </row>
    <row r="1374" spans="1:10" ht="20.399999999999999" x14ac:dyDescent="0.3">
      <c r="A1374" s="84">
        <v>1373</v>
      </c>
      <c r="B1374" s="84" t="s">
        <v>2000</v>
      </c>
      <c r="C1374" s="84" t="s">
        <v>393</v>
      </c>
      <c r="D1374" s="115" t="s">
        <v>2278</v>
      </c>
      <c r="E1374" s="85" t="s">
        <v>616</v>
      </c>
      <c r="F1374" s="85">
        <v>46163</v>
      </c>
      <c r="G1374" s="85" t="s">
        <v>838</v>
      </c>
      <c r="H1374" s="85" t="str">
        <f>TEXT(Table7[[#This Row],[EXPIRY DATE]],"YYY")</f>
        <v>2026</v>
      </c>
      <c r="I1374" s="84" t="s">
        <v>839</v>
      </c>
      <c r="J1374" s="69"/>
    </row>
    <row r="1375" spans="1:10" x14ac:dyDescent="0.3">
      <c r="A1375" s="84">
        <v>1374</v>
      </c>
      <c r="B1375" s="84" t="s">
        <v>2279</v>
      </c>
      <c r="C1375" s="84" t="s">
        <v>393</v>
      </c>
      <c r="D1375" s="115" t="s">
        <v>2280</v>
      </c>
      <c r="E1375" s="85" t="s">
        <v>613</v>
      </c>
      <c r="F1375" s="85">
        <v>46302</v>
      </c>
      <c r="G1375" s="85" t="str">
        <f>TEXT(Table7[[#This Row],[EXPIRY DATE]],"MMM")</f>
        <v>Oct</v>
      </c>
      <c r="H1375" s="85" t="str">
        <f>TEXT(Table7[[#This Row],[EXPIRY DATE]],"YYY")</f>
        <v>2026</v>
      </c>
      <c r="I1375" s="84" t="s">
        <v>916</v>
      </c>
      <c r="J1375" s="69"/>
    </row>
    <row r="1376" spans="1:10" x14ac:dyDescent="0.3">
      <c r="A1376" s="84">
        <v>1375</v>
      </c>
      <c r="B1376" s="84" t="s">
        <v>2281</v>
      </c>
      <c r="C1376" s="84" t="s">
        <v>393</v>
      </c>
      <c r="D1376" s="115" t="s">
        <v>2282</v>
      </c>
      <c r="E1376" s="85" t="s">
        <v>605</v>
      </c>
      <c r="F1376" s="85">
        <v>46752</v>
      </c>
      <c r="G1376" s="85" t="str">
        <f>TEXT(Table7[[#This Row],[EXPIRY DATE]],"MMM")</f>
        <v>Dec</v>
      </c>
      <c r="H1376" s="85" t="str">
        <f>TEXT(Table7[[#This Row],[EXPIRY DATE]],"YYY")</f>
        <v>2027</v>
      </c>
      <c r="I1376" s="84" t="s">
        <v>602</v>
      </c>
      <c r="J1376" s="69"/>
    </row>
    <row r="1377" spans="1:10" x14ac:dyDescent="0.3">
      <c r="A1377" s="84">
        <v>1376</v>
      </c>
      <c r="B1377" s="84" t="s">
        <v>2283</v>
      </c>
      <c r="C1377" s="84" t="s">
        <v>393</v>
      </c>
      <c r="D1377" s="115" t="s">
        <v>2284</v>
      </c>
      <c r="E1377" s="85" t="s">
        <v>605</v>
      </c>
      <c r="F1377" s="85">
        <v>46752</v>
      </c>
      <c r="G1377" s="85" t="str">
        <f>TEXT(Table7[[#This Row],[EXPIRY DATE]],"MMM")</f>
        <v>Dec</v>
      </c>
      <c r="H1377" s="85" t="str">
        <f>TEXT(Table7[[#This Row],[EXPIRY DATE]],"YYY")</f>
        <v>2027</v>
      </c>
      <c r="I1377" s="84" t="s">
        <v>602</v>
      </c>
      <c r="J1377" s="69"/>
    </row>
    <row r="1378" spans="1:10" x14ac:dyDescent="0.3">
      <c r="A1378" s="84">
        <v>1377</v>
      </c>
      <c r="B1378" s="84" t="s">
        <v>2283</v>
      </c>
      <c r="C1378" s="84" t="s">
        <v>393</v>
      </c>
      <c r="D1378" s="115" t="s">
        <v>2284</v>
      </c>
      <c r="E1378" s="85" t="s">
        <v>605</v>
      </c>
      <c r="F1378" s="85">
        <v>46762</v>
      </c>
      <c r="G1378" s="85" t="str">
        <f>TEXT(Table7[[#This Row],[EXPIRY DATE]],"MMM")</f>
        <v>Jan</v>
      </c>
      <c r="H1378" s="85" t="str">
        <f>TEXT(Table7[[#This Row],[EXPIRY DATE]],"YYY")</f>
        <v>2028</v>
      </c>
      <c r="I1378" s="85" t="s">
        <v>791</v>
      </c>
      <c r="J1378" s="69"/>
    </row>
    <row r="1379" spans="1:10" ht="20.399999999999999" x14ac:dyDescent="0.3">
      <c r="A1379" s="84">
        <v>1378</v>
      </c>
      <c r="B1379" s="84" t="s">
        <v>2285</v>
      </c>
      <c r="C1379" s="84" t="s">
        <v>393</v>
      </c>
      <c r="D1379" s="115" t="s">
        <v>2286</v>
      </c>
      <c r="E1379" s="85" t="s">
        <v>605</v>
      </c>
      <c r="F1379" s="85">
        <v>47118</v>
      </c>
      <c r="G1379" s="85" t="str">
        <f>TEXT(Table7[[#This Row],[EXPIRY DATE]],"MMM")</f>
        <v>Dec</v>
      </c>
      <c r="H1379" s="85" t="str">
        <f>TEXT(Table7[[#This Row],[EXPIRY DATE]],"YYY")</f>
        <v>2028</v>
      </c>
      <c r="I1379" s="84" t="s">
        <v>602</v>
      </c>
      <c r="J1379" s="69"/>
    </row>
    <row r="1380" spans="1:10" ht="20.399999999999999" x14ac:dyDescent="0.3">
      <c r="A1380" s="84">
        <v>1379</v>
      </c>
      <c r="B1380" s="84" t="s">
        <v>2276</v>
      </c>
      <c r="C1380" s="84" t="s">
        <v>393</v>
      </c>
      <c r="D1380" s="115" t="s">
        <v>2287</v>
      </c>
      <c r="E1380" s="85" t="s">
        <v>605</v>
      </c>
      <c r="F1380" s="85">
        <v>47118</v>
      </c>
      <c r="G1380" s="85" t="str">
        <f>TEXT(Table7[[#This Row],[EXPIRY DATE]],"MMM")</f>
        <v>Dec</v>
      </c>
      <c r="H1380" s="85" t="str">
        <f>TEXT(Table7[[#This Row],[EXPIRY DATE]],"YYY")</f>
        <v>2028</v>
      </c>
      <c r="I1380" s="84" t="s">
        <v>602</v>
      </c>
      <c r="J1380" s="69"/>
    </row>
    <row r="1381" spans="1:10" ht="20.399999999999999" x14ac:dyDescent="0.3">
      <c r="A1381" s="84">
        <v>1380</v>
      </c>
      <c r="B1381" s="84" t="s">
        <v>2288</v>
      </c>
      <c r="C1381" s="84" t="s">
        <v>393</v>
      </c>
      <c r="D1381" s="115" t="s">
        <v>2289</v>
      </c>
      <c r="E1381" s="85" t="s">
        <v>605</v>
      </c>
      <c r="F1381" s="85">
        <v>47483</v>
      </c>
      <c r="G1381" s="85" t="s">
        <v>625</v>
      </c>
      <c r="H1381" s="85" t="str">
        <f>TEXT(Table7[[#This Row],[EXPIRY DATE]],"YYY")</f>
        <v>2029</v>
      </c>
      <c r="I1381" s="84" t="s">
        <v>602</v>
      </c>
      <c r="J1381" s="69"/>
    </row>
    <row r="1382" spans="1:10" x14ac:dyDescent="0.3">
      <c r="A1382" s="84">
        <v>1381</v>
      </c>
      <c r="B1382" s="84" t="s">
        <v>2276</v>
      </c>
      <c r="C1382" s="84" t="s">
        <v>393</v>
      </c>
      <c r="D1382" s="115" t="s">
        <v>2277</v>
      </c>
      <c r="E1382" s="85" t="s">
        <v>590</v>
      </c>
      <c r="F1382" s="85">
        <v>47483</v>
      </c>
      <c r="G1382" s="85" t="str">
        <f>TEXT(Table7[[#This Row],[EXPIRY DATE]],"MMM")</f>
        <v>Dec</v>
      </c>
      <c r="H1382" s="85" t="str">
        <f>TEXT(Table7[[#This Row],[EXPIRY DATE]],"YYY")</f>
        <v>2029</v>
      </c>
      <c r="I1382" s="84" t="s">
        <v>602</v>
      </c>
      <c r="J1382" s="69"/>
    </row>
    <row r="1383" spans="1:10" ht="20.399999999999999" x14ac:dyDescent="0.3">
      <c r="A1383" s="84">
        <v>1382</v>
      </c>
      <c r="B1383" s="84" t="s">
        <v>2288</v>
      </c>
      <c r="C1383" s="84" t="s">
        <v>393</v>
      </c>
      <c r="D1383" s="115" t="s">
        <v>2289</v>
      </c>
      <c r="E1383" s="85" t="s">
        <v>605</v>
      </c>
      <c r="F1383" s="85">
        <v>47525</v>
      </c>
      <c r="G1383" s="85" t="s">
        <v>887</v>
      </c>
      <c r="H1383" s="89">
        <v>2030</v>
      </c>
      <c r="I1383" s="84" t="s">
        <v>791</v>
      </c>
      <c r="J1383" s="69"/>
    </row>
    <row r="1384" spans="1:10" x14ac:dyDescent="0.3">
      <c r="A1384" s="84">
        <v>1383</v>
      </c>
      <c r="B1384" s="84" t="s">
        <v>2276</v>
      </c>
      <c r="C1384" s="84" t="s">
        <v>393</v>
      </c>
      <c r="D1384" s="115" t="s">
        <v>2277</v>
      </c>
      <c r="E1384" s="85" t="s">
        <v>590</v>
      </c>
      <c r="F1384" s="85">
        <v>47818</v>
      </c>
      <c r="G1384" s="85" t="str">
        <f>TEXT(Table7[[#This Row],[EXPIRY DATE]],"MMM")</f>
        <v>Dec</v>
      </c>
      <c r="H1384" s="85" t="str">
        <f>TEXT(Table7[[#This Row],[EXPIRY DATE]],"YYY")</f>
        <v>2030</v>
      </c>
      <c r="I1384" s="84" t="s">
        <v>791</v>
      </c>
      <c r="J1384" s="69"/>
    </row>
    <row r="1385" spans="1:10" ht="20.399999999999999" x14ac:dyDescent="0.3">
      <c r="A1385" s="84">
        <v>1384</v>
      </c>
      <c r="B1385" s="84" t="s">
        <v>2000</v>
      </c>
      <c r="C1385" s="84" t="s">
        <v>393</v>
      </c>
      <c r="D1385" s="115" t="s">
        <v>2278</v>
      </c>
      <c r="E1385" s="85" t="s">
        <v>616</v>
      </c>
      <c r="F1385" s="84" t="s">
        <v>629</v>
      </c>
      <c r="G1385" s="85" t="s">
        <v>629</v>
      </c>
      <c r="H1385" s="85" t="str">
        <f>TEXT(Table7[[#This Row],[EXPIRY DATE]],"YYY")</f>
        <v>LIFETIME</v>
      </c>
      <c r="I1385" s="84" t="s">
        <v>602</v>
      </c>
      <c r="J1385" s="69"/>
    </row>
    <row r="1386" spans="1:10" ht="20.399999999999999" x14ac:dyDescent="0.3">
      <c r="A1386" s="84">
        <v>1385</v>
      </c>
      <c r="B1386" s="84" t="s">
        <v>2000</v>
      </c>
      <c r="C1386" s="84" t="s">
        <v>393</v>
      </c>
      <c r="D1386" s="115" t="s">
        <v>2278</v>
      </c>
      <c r="E1386" s="85" t="s">
        <v>616</v>
      </c>
      <c r="F1386" s="84" t="s">
        <v>629</v>
      </c>
      <c r="G1386" s="85" t="s">
        <v>629</v>
      </c>
      <c r="H1386" s="85" t="str">
        <f>TEXT(Table7[[#This Row],[EXPIRY DATE]],"YYY")</f>
        <v>LIFETIME</v>
      </c>
      <c r="I1386" s="84" t="s">
        <v>916</v>
      </c>
      <c r="J1386" s="69"/>
    </row>
    <row r="1387" spans="1:10" x14ac:dyDescent="0.3">
      <c r="A1387" s="84">
        <v>1386</v>
      </c>
      <c r="B1387" s="84" t="s">
        <v>2281</v>
      </c>
      <c r="C1387" s="102" t="s">
        <v>393</v>
      </c>
      <c r="D1387" s="115" t="s">
        <v>2282</v>
      </c>
      <c r="E1387" s="103" t="s">
        <v>605</v>
      </c>
      <c r="F1387" s="103" t="s">
        <v>817</v>
      </c>
      <c r="G1387" s="103" t="str">
        <f>TEXT(Table7[[#This Row],[EXPIRY DATE]],"MMM")</f>
        <v>DORMANT</v>
      </c>
      <c r="H1387" s="103" t="str">
        <f>TEXT(Table7[[#This Row],[EXPIRY DATE]],"YYY")</f>
        <v>DORMANT</v>
      </c>
      <c r="I1387" s="103" t="s">
        <v>791</v>
      </c>
      <c r="J1387" s="77"/>
    </row>
    <row r="1388" spans="1:10" x14ac:dyDescent="0.3">
      <c r="A1388" s="84">
        <v>1387</v>
      </c>
      <c r="B1388" s="84" t="s">
        <v>2281</v>
      </c>
      <c r="C1388" s="102" t="s">
        <v>393</v>
      </c>
      <c r="D1388" s="115" t="s">
        <v>2282</v>
      </c>
      <c r="E1388" s="103" t="s">
        <v>605</v>
      </c>
      <c r="F1388" s="103" t="s">
        <v>817</v>
      </c>
      <c r="G1388" s="103" t="str">
        <f>TEXT(Table7[[#This Row],[EXPIRY DATE]],"MMM")</f>
        <v>DORMANT</v>
      </c>
      <c r="H1388" s="103" t="str">
        <f>TEXT(Table7[[#This Row],[EXPIRY DATE]],"YYY")</f>
        <v>DORMANT</v>
      </c>
      <c r="I1388" s="102" t="s">
        <v>607</v>
      </c>
      <c r="J1388" s="77"/>
    </row>
    <row r="1389" spans="1:10" ht="20.399999999999999" x14ac:dyDescent="0.3">
      <c r="A1389" s="84">
        <v>1388</v>
      </c>
      <c r="B1389" s="84" t="s">
        <v>2274</v>
      </c>
      <c r="C1389" s="84" t="s">
        <v>393</v>
      </c>
      <c r="D1389" s="115" t="s">
        <v>2275</v>
      </c>
      <c r="E1389" s="85" t="s">
        <v>616</v>
      </c>
      <c r="F1389" s="85" t="s">
        <v>629</v>
      </c>
      <c r="G1389" s="85" t="s">
        <v>629</v>
      </c>
      <c r="H1389" s="85" t="s">
        <v>629</v>
      </c>
      <c r="I1389" s="84" t="s">
        <v>602</v>
      </c>
      <c r="J1389" s="69"/>
    </row>
    <row r="1390" spans="1:10" ht="20.399999999999999" x14ac:dyDescent="0.3">
      <c r="A1390" s="84">
        <v>1389</v>
      </c>
      <c r="B1390" s="84" t="s">
        <v>2274</v>
      </c>
      <c r="C1390" s="102" t="s">
        <v>393</v>
      </c>
      <c r="D1390" s="115" t="s">
        <v>2275</v>
      </c>
      <c r="E1390" s="103" t="s">
        <v>616</v>
      </c>
      <c r="F1390" s="103" t="s">
        <v>817</v>
      </c>
      <c r="G1390" s="103" t="str">
        <f>TEXT(Table7[[#This Row],[EXPIRY DATE]],"MMM")</f>
        <v>DORMANT</v>
      </c>
      <c r="H1390" s="103" t="str">
        <f>TEXT(Table7[[#This Row],[EXPIRY DATE]],"YYY")</f>
        <v>DORMANT</v>
      </c>
      <c r="I1390" s="103" t="s">
        <v>791</v>
      </c>
      <c r="J1390" s="77"/>
    </row>
    <row r="1391" spans="1:10" ht="20.399999999999999" x14ac:dyDescent="0.3">
      <c r="A1391" s="84">
        <v>1390</v>
      </c>
      <c r="B1391" s="84" t="s">
        <v>2274</v>
      </c>
      <c r="C1391" s="84" t="s">
        <v>393</v>
      </c>
      <c r="D1391" s="115" t="s">
        <v>2275</v>
      </c>
      <c r="E1391" s="85" t="s">
        <v>616</v>
      </c>
      <c r="F1391" s="85" t="s">
        <v>629</v>
      </c>
      <c r="G1391" s="85" t="str">
        <f>TEXT(Table7[[#This Row],[EXPIRY DATE]],"MMM")</f>
        <v>LIFETIME</v>
      </c>
      <c r="H1391" s="85" t="str">
        <f>TEXT(Table7[[#This Row],[EXPIRY DATE]],"YYY")</f>
        <v>LIFETIME</v>
      </c>
      <c r="I1391" s="84" t="s">
        <v>916</v>
      </c>
      <c r="J1391" s="69"/>
    </row>
    <row r="1392" spans="1:10" x14ac:dyDescent="0.3">
      <c r="A1392" s="84">
        <v>1391</v>
      </c>
      <c r="B1392" s="84" t="s">
        <v>2279</v>
      </c>
      <c r="C1392" s="84" t="s">
        <v>393</v>
      </c>
      <c r="D1392" s="115" t="s">
        <v>2280</v>
      </c>
      <c r="E1392" s="85" t="s">
        <v>613</v>
      </c>
      <c r="F1392" s="85" t="s">
        <v>629</v>
      </c>
      <c r="G1392" s="85" t="str">
        <f>TEXT(Table7[[#This Row],[EXPIRY DATE]],"MMM")</f>
        <v>LIFETIME</v>
      </c>
      <c r="H1392" s="85" t="str">
        <f>TEXT(Table7[[#This Row],[EXPIRY DATE]],"YYY")</f>
        <v>LIFETIME</v>
      </c>
      <c r="I1392" s="84" t="s">
        <v>602</v>
      </c>
      <c r="J1392" s="69"/>
    </row>
    <row r="1393" spans="1:10" x14ac:dyDescent="0.3">
      <c r="A1393" s="84">
        <v>1392</v>
      </c>
      <c r="B1393" s="84" t="s">
        <v>2279</v>
      </c>
      <c r="C1393" s="84" t="s">
        <v>393</v>
      </c>
      <c r="D1393" s="115" t="s">
        <v>2280</v>
      </c>
      <c r="E1393" s="85" t="s">
        <v>613</v>
      </c>
      <c r="F1393" s="85" t="s">
        <v>81</v>
      </c>
      <c r="G1393" s="85" t="str">
        <f>TEXT(Table7[[#This Row],[EXPIRY DATE]],"MMM")</f>
        <v>NA</v>
      </c>
      <c r="H1393" s="85" t="str">
        <f>TEXT(Table7[[#This Row],[EXPIRY DATE]],"YYY")</f>
        <v>NA</v>
      </c>
      <c r="I1393" s="85" t="s">
        <v>791</v>
      </c>
      <c r="J1393" s="69"/>
    </row>
    <row r="1394" spans="1:10" x14ac:dyDescent="0.3">
      <c r="A1394" s="84">
        <v>1393</v>
      </c>
      <c r="B1394" s="84" t="s">
        <v>2272</v>
      </c>
      <c r="C1394" s="84" t="s">
        <v>393</v>
      </c>
      <c r="D1394" s="115" t="s">
        <v>2273</v>
      </c>
      <c r="E1394" s="85" t="s">
        <v>616</v>
      </c>
      <c r="F1394" s="85" t="s">
        <v>629</v>
      </c>
      <c r="G1394" s="85" t="str">
        <f>TEXT(Table7[[#This Row],[EXPIRY DATE]],"MMM")</f>
        <v>LIFETIME</v>
      </c>
      <c r="H1394" s="85" t="str">
        <f>TEXT(Table7[[#This Row],[EXPIRY DATE]],"YYY")</f>
        <v>LIFETIME</v>
      </c>
      <c r="I1394" s="84" t="s">
        <v>602</v>
      </c>
      <c r="J1394" s="69"/>
    </row>
    <row r="1395" spans="1:10" x14ac:dyDescent="0.3">
      <c r="A1395" s="84">
        <v>1394</v>
      </c>
      <c r="B1395" s="84" t="s">
        <v>2272</v>
      </c>
      <c r="C1395" s="84" t="s">
        <v>393</v>
      </c>
      <c r="D1395" s="115" t="s">
        <v>2273</v>
      </c>
      <c r="E1395" s="85" t="s">
        <v>616</v>
      </c>
      <c r="F1395" s="85" t="s">
        <v>629</v>
      </c>
      <c r="G1395" s="85" t="str">
        <f>TEXT(Table7[[#This Row],[EXPIRY DATE]],"MMM")</f>
        <v>LIFETIME</v>
      </c>
      <c r="H1395" s="85" t="str">
        <f>TEXT(Table7[[#This Row],[EXPIRY DATE]],"YYY")</f>
        <v>LIFETIME</v>
      </c>
      <c r="I1395" s="84" t="s">
        <v>916</v>
      </c>
      <c r="J1395" s="69"/>
    </row>
    <row r="1396" spans="1:10" x14ac:dyDescent="0.3">
      <c r="A1396" s="84">
        <v>1395</v>
      </c>
      <c r="B1396" s="84" t="s">
        <v>2290</v>
      </c>
      <c r="C1396" s="102" t="s">
        <v>393</v>
      </c>
      <c r="D1396" s="115" t="s">
        <v>2291</v>
      </c>
      <c r="E1396" s="103" t="s">
        <v>605</v>
      </c>
      <c r="F1396" s="103" t="s">
        <v>817</v>
      </c>
      <c r="G1396" s="103" t="s">
        <v>817</v>
      </c>
      <c r="H1396" s="103" t="s">
        <v>817</v>
      </c>
      <c r="I1396" s="102" t="s">
        <v>602</v>
      </c>
      <c r="J1396" s="77"/>
    </row>
    <row r="1397" spans="1:10" x14ac:dyDescent="0.3">
      <c r="A1397" s="84">
        <v>1396</v>
      </c>
      <c r="B1397" s="84" t="s">
        <v>2290</v>
      </c>
      <c r="C1397" s="102" t="s">
        <v>393</v>
      </c>
      <c r="D1397" s="115" t="s">
        <v>2291</v>
      </c>
      <c r="E1397" s="103" t="s">
        <v>605</v>
      </c>
      <c r="F1397" s="103" t="s">
        <v>817</v>
      </c>
      <c r="G1397" s="103" t="s">
        <v>817</v>
      </c>
      <c r="H1397" s="103" t="s">
        <v>817</v>
      </c>
      <c r="I1397" s="103" t="s">
        <v>791</v>
      </c>
      <c r="J1397" s="77"/>
    </row>
    <row r="1398" spans="1:10" x14ac:dyDescent="0.3">
      <c r="A1398" s="84">
        <v>1397</v>
      </c>
      <c r="B1398" s="84" t="s">
        <v>2290</v>
      </c>
      <c r="C1398" s="102" t="s">
        <v>393</v>
      </c>
      <c r="D1398" s="115" t="s">
        <v>2291</v>
      </c>
      <c r="E1398" s="103" t="s">
        <v>605</v>
      </c>
      <c r="F1398" s="103" t="s">
        <v>817</v>
      </c>
      <c r="G1398" s="103" t="s">
        <v>817</v>
      </c>
      <c r="H1398" s="103" t="s">
        <v>817</v>
      </c>
      <c r="I1398" s="102" t="s">
        <v>621</v>
      </c>
      <c r="J1398" s="77"/>
    </row>
    <row r="1399" spans="1:10" x14ac:dyDescent="0.3">
      <c r="A1399" s="84">
        <v>1398</v>
      </c>
      <c r="B1399" s="84" t="s">
        <v>2290</v>
      </c>
      <c r="C1399" s="102" t="s">
        <v>393</v>
      </c>
      <c r="D1399" s="115" t="s">
        <v>2291</v>
      </c>
      <c r="E1399" s="103" t="s">
        <v>605</v>
      </c>
      <c r="F1399" s="103" t="s">
        <v>817</v>
      </c>
      <c r="G1399" s="103" t="s">
        <v>817</v>
      </c>
      <c r="H1399" s="103" t="s">
        <v>817</v>
      </c>
      <c r="I1399" s="102" t="s">
        <v>607</v>
      </c>
      <c r="J1399" s="77"/>
    </row>
    <row r="1400" spans="1:10" x14ac:dyDescent="0.3">
      <c r="A1400" s="84">
        <v>1399</v>
      </c>
      <c r="B1400" s="84" t="s">
        <v>2290</v>
      </c>
      <c r="C1400" s="102" t="s">
        <v>393</v>
      </c>
      <c r="D1400" s="115" t="s">
        <v>2291</v>
      </c>
      <c r="E1400" s="103" t="s">
        <v>605</v>
      </c>
      <c r="F1400" s="103" t="s">
        <v>817</v>
      </c>
      <c r="G1400" s="103" t="s">
        <v>817</v>
      </c>
      <c r="H1400" s="103" t="s">
        <v>817</v>
      </c>
      <c r="I1400" s="102" t="s">
        <v>592</v>
      </c>
      <c r="J1400" s="77"/>
    </row>
    <row r="1401" spans="1:10" x14ac:dyDescent="0.3">
      <c r="A1401" s="84">
        <v>1400</v>
      </c>
      <c r="B1401" s="84" t="s">
        <v>2283</v>
      </c>
      <c r="C1401" s="84" t="s">
        <v>393</v>
      </c>
      <c r="D1401" s="115" t="s">
        <v>2284</v>
      </c>
      <c r="E1401" s="85" t="s">
        <v>605</v>
      </c>
      <c r="F1401" s="85" t="s">
        <v>81</v>
      </c>
      <c r="G1401" s="85" t="str">
        <f>TEXT(Table7[[#This Row],[EXPIRY DATE]],"MMM")</f>
        <v>NA</v>
      </c>
      <c r="H1401" s="85" t="str">
        <f>TEXT(Table7[[#This Row],[EXPIRY DATE]],"YYY")</f>
        <v>NA</v>
      </c>
      <c r="I1401" s="84" t="s">
        <v>621</v>
      </c>
      <c r="J1401" s="69"/>
    </row>
    <row r="1402" spans="1:10" x14ac:dyDescent="0.3">
      <c r="A1402" s="84">
        <v>1401</v>
      </c>
      <c r="B1402" s="84" t="s">
        <v>2283</v>
      </c>
      <c r="C1402" s="102" t="s">
        <v>393</v>
      </c>
      <c r="D1402" s="115" t="s">
        <v>2284</v>
      </c>
      <c r="E1402" s="103" t="s">
        <v>605</v>
      </c>
      <c r="F1402" s="103" t="s">
        <v>817</v>
      </c>
      <c r="G1402" s="103" t="str">
        <f>TEXT(Table7[[#This Row],[EXPIRY DATE]],"MMM")</f>
        <v>DORMANT</v>
      </c>
      <c r="H1402" s="103" t="str">
        <f>TEXT(Table7[[#This Row],[EXPIRY DATE]],"YYY")</f>
        <v>DORMANT</v>
      </c>
      <c r="I1402" s="102" t="s">
        <v>607</v>
      </c>
      <c r="J1402" s="77"/>
    </row>
    <row r="1403" spans="1:10" x14ac:dyDescent="0.3">
      <c r="A1403" s="84">
        <v>1402</v>
      </c>
      <c r="B1403" s="84" t="s">
        <v>2283</v>
      </c>
      <c r="C1403" s="84" t="s">
        <v>393</v>
      </c>
      <c r="D1403" s="115" t="s">
        <v>2284</v>
      </c>
      <c r="E1403" s="85" t="s">
        <v>605</v>
      </c>
      <c r="F1403" s="85" t="s">
        <v>81</v>
      </c>
      <c r="G1403" s="85" t="str">
        <f>TEXT(Table7[[#This Row],[EXPIRY DATE]],"MMM")</f>
        <v>NA</v>
      </c>
      <c r="H1403" s="85" t="str">
        <f>TEXT(Table7[[#This Row],[EXPIRY DATE]],"YYY")</f>
        <v>NA</v>
      </c>
      <c r="I1403" s="84" t="s">
        <v>592</v>
      </c>
      <c r="J1403" s="69"/>
    </row>
    <row r="1404" spans="1:10" x14ac:dyDescent="0.3">
      <c r="A1404" s="84">
        <v>1403</v>
      </c>
      <c r="B1404" s="84" t="s">
        <v>2283</v>
      </c>
      <c r="C1404" s="84" t="s">
        <v>393</v>
      </c>
      <c r="D1404" s="115" t="s">
        <v>2284</v>
      </c>
      <c r="E1404" s="85" t="s">
        <v>605</v>
      </c>
      <c r="F1404" s="85" t="s">
        <v>81</v>
      </c>
      <c r="G1404" s="85" t="str">
        <f>TEXT(Table7[[#This Row],[EXPIRY DATE]],"MMM")</f>
        <v>NA</v>
      </c>
      <c r="H1404" s="85" t="str">
        <f>TEXT(Table7[[#This Row],[EXPIRY DATE]],"YYY")</f>
        <v>NA</v>
      </c>
      <c r="I1404" s="84" t="s">
        <v>916</v>
      </c>
      <c r="J1404" s="69"/>
    </row>
    <row r="1405" spans="1:10" x14ac:dyDescent="0.3">
      <c r="A1405" s="84">
        <v>1404</v>
      </c>
      <c r="B1405" s="84" t="s">
        <v>2288</v>
      </c>
      <c r="C1405" s="84" t="s">
        <v>393</v>
      </c>
      <c r="D1405" s="115" t="s">
        <v>2292</v>
      </c>
      <c r="E1405" s="85" t="s">
        <v>2293</v>
      </c>
      <c r="F1405" s="85" t="s">
        <v>915</v>
      </c>
      <c r="G1405" s="85" t="s">
        <v>606</v>
      </c>
      <c r="H1405" s="85" t="str">
        <f>TEXT(Table7[[#This Row],[EXPIRY DATE]],"YYY")</f>
        <v>DONE BY COMPANY</v>
      </c>
      <c r="I1405" s="84" t="s">
        <v>607</v>
      </c>
      <c r="J1405" s="69"/>
    </row>
    <row r="1406" spans="1:10" x14ac:dyDescent="0.3">
      <c r="A1406" s="84">
        <v>1405</v>
      </c>
      <c r="B1406" s="84" t="s">
        <v>2294</v>
      </c>
      <c r="C1406" s="102" t="s">
        <v>393</v>
      </c>
      <c r="D1406" s="115" t="s">
        <v>2295</v>
      </c>
      <c r="E1406" s="103" t="s">
        <v>2296</v>
      </c>
      <c r="F1406" s="103" t="s">
        <v>817</v>
      </c>
      <c r="G1406" s="103" t="str">
        <f>TEXT(Table7[[#This Row],[EXPIRY DATE]],"MMM")</f>
        <v>DORMANT</v>
      </c>
      <c r="H1406" s="103" t="str">
        <f>TEXT(Table7[[#This Row],[EXPIRY DATE]],"YYY")</f>
        <v>DORMANT</v>
      </c>
      <c r="I1406" s="103" t="s">
        <v>791</v>
      </c>
      <c r="J1406" s="77"/>
    </row>
    <row r="1407" spans="1:10" x14ac:dyDescent="0.3">
      <c r="A1407" s="84">
        <v>1406</v>
      </c>
      <c r="B1407" s="84" t="s">
        <v>2294</v>
      </c>
      <c r="C1407" s="84" t="s">
        <v>393</v>
      </c>
      <c r="D1407" s="115" t="s">
        <v>2295</v>
      </c>
      <c r="E1407" s="85" t="s">
        <v>2296</v>
      </c>
      <c r="F1407" s="85" t="s">
        <v>81</v>
      </c>
      <c r="G1407" s="85" t="str">
        <f>TEXT(Table7[[#This Row],[EXPIRY DATE]],"MMM")</f>
        <v>NA</v>
      </c>
      <c r="H1407" s="85" t="str">
        <f>TEXT(Table7[[#This Row],[EXPIRY DATE]],"YYY")</f>
        <v>NA</v>
      </c>
      <c r="I1407" s="84" t="s">
        <v>621</v>
      </c>
      <c r="J1407" s="69"/>
    </row>
    <row r="1408" spans="1:10" x14ac:dyDescent="0.3">
      <c r="A1408" s="84">
        <v>1407</v>
      </c>
      <c r="B1408" s="84" t="s">
        <v>2294</v>
      </c>
      <c r="C1408" s="84" t="s">
        <v>393</v>
      </c>
      <c r="D1408" s="115" t="s">
        <v>2295</v>
      </c>
      <c r="E1408" s="85" t="s">
        <v>2296</v>
      </c>
      <c r="F1408" s="85" t="s">
        <v>81</v>
      </c>
      <c r="G1408" s="85" t="str">
        <f>TEXT(Table7[[#This Row],[EXPIRY DATE]],"MMM")</f>
        <v>NA</v>
      </c>
      <c r="H1408" s="85" t="str">
        <f>TEXT(Table7[[#This Row],[EXPIRY DATE]],"YYY")</f>
        <v>NA</v>
      </c>
      <c r="I1408" s="84" t="s">
        <v>607</v>
      </c>
      <c r="J1408" s="69"/>
    </row>
    <row r="1409" spans="1:10" x14ac:dyDescent="0.3">
      <c r="A1409" s="84">
        <v>1408</v>
      </c>
      <c r="B1409" s="84" t="s">
        <v>2294</v>
      </c>
      <c r="C1409" s="84" t="s">
        <v>393</v>
      </c>
      <c r="D1409" s="115" t="s">
        <v>2295</v>
      </c>
      <c r="E1409" s="85" t="s">
        <v>2296</v>
      </c>
      <c r="F1409" s="85" t="s">
        <v>81</v>
      </c>
      <c r="G1409" s="85" t="str">
        <f>TEXT(Table7[[#This Row],[EXPIRY DATE]],"MMM")</f>
        <v>NA</v>
      </c>
      <c r="H1409" s="85" t="str">
        <f>TEXT(Table7[[#This Row],[EXPIRY DATE]],"YYY")</f>
        <v>NA</v>
      </c>
      <c r="I1409" s="84" t="s">
        <v>592</v>
      </c>
      <c r="J1409" s="69"/>
    </row>
    <row r="1410" spans="1:10" x14ac:dyDescent="0.3">
      <c r="A1410" s="84">
        <v>1409</v>
      </c>
      <c r="B1410" s="84" t="s">
        <v>2294</v>
      </c>
      <c r="C1410" s="84" t="s">
        <v>393</v>
      </c>
      <c r="D1410" s="115" t="s">
        <v>2295</v>
      </c>
      <c r="E1410" s="85" t="s">
        <v>2296</v>
      </c>
      <c r="F1410" s="85" t="s">
        <v>81</v>
      </c>
      <c r="G1410" s="85" t="str">
        <f>TEXT(Table7[[#This Row],[EXPIRY DATE]],"MMM")</f>
        <v>NA</v>
      </c>
      <c r="H1410" s="85" t="str">
        <f>TEXT(Table7[[#This Row],[EXPIRY DATE]],"YYY")</f>
        <v>NA</v>
      </c>
      <c r="I1410" s="84" t="s">
        <v>916</v>
      </c>
      <c r="J1410" s="69"/>
    </row>
    <row r="1411" spans="1:10" ht="30.6" x14ac:dyDescent="0.3">
      <c r="A1411" s="84">
        <v>1410</v>
      </c>
      <c r="B1411" s="84" t="s">
        <v>1012</v>
      </c>
      <c r="C1411" s="84" t="s">
        <v>393</v>
      </c>
      <c r="D1411" s="115" t="s">
        <v>2297</v>
      </c>
      <c r="E1411" s="85" t="s">
        <v>2115</v>
      </c>
      <c r="F1411" s="85" t="s">
        <v>629</v>
      </c>
      <c r="G1411" s="85" t="str">
        <f>TEXT(Table7[[#This Row],[EXPIRY DATE]],"MMM")</f>
        <v>LIFETIME</v>
      </c>
      <c r="H1411" s="85" t="str">
        <f>TEXT(Table7[[#This Row],[EXPIRY DATE]],"YYY")</f>
        <v>LIFETIME</v>
      </c>
      <c r="I1411" s="84" t="s">
        <v>602</v>
      </c>
      <c r="J1411" s="69"/>
    </row>
    <row r="1412" spans="1:10" ht="30.6" x14ac:dyDescent="0.3">
      <c r="A1412" s="84">
        <v>1411</v>
      </c>
      <c r="B1412" s="84" t="s">
        <v>1012</v>
      </c>
      <c r="C1412" s="84" t="s">
        <v>393</v>
      </c>
      <c r="D1412" s="115" t="s">
        <v>2297</v>
      </c>
      <c r="E1412" s="85" t="s">
        <v>2115</v>
      </c>
      <c r="F1412" s="85" t="s">
        <v>2298</v>
      </c>
      <c r="G1412" s="85" t="str">
        <f>TEXT(Table7[[#This Row],[EXPIRY DATE]],"MMM")</f>
        <v>APPLIED BY COMPANY</v>
      </c>
      <c r="H1412" s="85" t="str">
        <f>TEXT(Table7[[#This Row],[EXPIRY DATE]],"YYY")</f>
        <v>APPLIED BY COMPANY</v>
      </c>
      <c r="I1412" s="85" t="s">
        <v>791</v>
      </c>
      <c r="J1412" s="69"/>
    </row>
    <row r="1413" spans="1:10" x14ac:dyDescent="0.3">
      <c r="A1413" s="84">
        <v>1412</v>
      </c>
      <c r="B1413" s="84" t="s">
        <v>1939</v>
      </c>
      <c r="C1413" s="84" t="s">
        <v>2299</v>
      </c>
      <c r="D1413" s="115" t="s">
        <v>2300</v>
      </c>
      <c r="E1413" s="85"/>
      <c r="F1413" s="85" t="s">
        <v>81</v>
      </c>
      <c r="G1413" s="85" t="str">
        <f>TEXT(Table7[[#This Row],[EXPIRY DATE]],"MMM")</f>
        <v>NA</v>
      </c>
      <c r="H1413" s="85" t="str">
        <f>TEXT(Table7[[#This Row],[EXPIRY DATE]],"YYY")</f>
        <v>NA</v>
      </c>
      <c r="I1413" s="84" t="s">
        <v>602</v>
      </c>
      <c r="J1413" s="69"/>
    </row>
    <row r="1414" spans="1:10" x14ac:dyDescent="0.3">
      <c r="A1414" s="84">
        <v>1413</v>
      </c>
      <c r="B1414" s="84" t="s">
        <v>1201</v>
      </c>
      <c r="C1414" s="84" t="s">
        <v>246</v>
      </c>
      <c r="D1414" s="115" t="s">
        <v>2301</v>
      </c>
      <c r="E1414" s="85"/>
      <c r="F1414" s="85">
        <v>44926</v>
      </c>
      <c r="G1414" s="85" t="str">
        <f>TEXT(Table7[[#This Row],[EXPIRY DATE]],"MMM")</f>
        <v>Dec</v>
      </c>
      <c r="H1414" s="85" t="str">
        <f>TEXT(Table7[[#This Row],[EXPIRY DATE]],"YYY")</f>
        <v>2022</v>
      </c>
      <c r="I1414" s="84" t="s">
        <v>607</v>
      </c>
      <c r="J1414" s="69"/>
    </row>
    <row r="1415" spans="1:10" x14ac:dyDescent="0.3">
      <c r="A1415" s="84">
        <v>1414</v>
      </c>
      <c r="B1415" s="84" t="s">
        <v>1201</v>
      </c>
      <c r="C1415" s="84" t="s">
        <v>246</v>
      </c>
      <c r="D1415" s="115" t="s">
        <v>2301</v>
      </c>
      <c r="E1415" s="85"/>
      <c r="F1415" s="85">
        <v>44926</v>
      </c>
      <c r="G1415" s="85" t="str">
        <f>TEXT(Table7[[#This Row],[EXPIRY DATE]],"MMM")</f>
        <v>Dec</v>
      </c>
      <c r="H1415" s="85" t="str">
        <f>TEXT(Table7[[#This Row],[EXPIRY DATE]],"YYY")</f>
        <v>2022</v>
      </c>
      <c r="I1415" s="84" t="s">
        <v>916</v>
      </c>
      <c r="J1415" s="69"/>
    </row>
    <row r="1416" spans="1:10" x14ac:dyDescent="0.3">
      <c r="A1416" s="84">
        <v>1415</v>
      </c>
      <c r="B1416" s="84" t="s">
        <v>2302</v>
      </c>
      <c r="C1416" s="84" t="s">
        <v>2303</v>
      </c>
      <c r="D1416" s="115" t="s">
        <v>2304</v>
      </c>
      <c r="E1416" s="85" t="s">
        <v>1577</v>
      </c>
      <c r="F1416" s="85">
        <v>46809</v>
      </c>
      <c r="G1416" s="85" t="s">
        <v>887</v>
      </c>
      <c r="H1416" s="85" t="str">
        <f>TEXT(Table7[[#This Row],[EXPIRY DATE]],"YYY")</f>
        <v>2028</v>
      </c>
      <c r="I1416" s="84" t="s">
        <v>791</v>
      </c>
      <c r="J1416" s="69"/>
    </row>
    <row r="1417" spans="1:10" x14ac:dyDescent="0.3">
      <c r="A1417" s="84">
        <v>1416</v>
      </c>
      <c r="B1417" s="84" t="s">
        <v>2305</v>
      </c>
      <c r="C1417" s="84" t="s">
        <v>2306</v>
      </c>
      <c r="D1417" s="115" t="s">
        <v>2307</v>
      </c>
      <c r="E1417" s="85" t="s">
        <v>802</v>
      </c>
      <c r="F1417" s="85">
        <v>44561</v>
      </c>
      <c r="G1417" s="85" t="str">
        <f>TEXT(Table7[[#This Row],[EXPIRY DATE]],"MMM")</f>
        <v>Dec</v>
      </c>
      <c r="H1417" s="85" t="str">
        <f>TEXT(Table7[[#This Row],[EXPIRY DATE]],"YYY")</f>
        <v>2021</v>
      </c>
      <c r="I1417" s="84" t="s">
        <v>916</v>
      </c>
      <c r="J1417" s="69"/>
    </row>
    <row r="1418" spans="1:10" ht="30.6" x14ac:dyDescent="0.3">
      <c r="A1418" s="84">
        <v>1417</v>
      </c>
      <c r="B1418" s="84" t="s">
        <v>2308</v>
      </c>
      <c r="C1418" s="84" t="s">
        <v>2306</v>
      </c>
      <c r="D1418" s="115" t="s">
        <v>2309</v>
      </c>
      <c r="E1418" s="85" t="s">
        <v>616</v>
      </c>
      <c r="F1418" s="85">
        <v>45843</v>
      </c>
      <c r="G1418" s="85" t="str">
        <f>TEXT(Table7[[#This Row],[EXPIRY DATE]],"MMM")</f>
        <v>Jul</v>
      </c>
      <c r="H1418" s="85" t="str">
        <f>TEXT(Table7[[#This Row],[EXPIRY DATE]],"YYY")</f>
        <v>2025</v>
      </c>
      <c r="I1418" s="84" t="s">
        <v>839</v>
      </c>
      <c r="J1418" s="69"/>
    </row>
    <row r="1419" spans="1:10" x14ac:dyDescent="0.3">
      <c r="A1419" s="84">
        <v>1418</v>
      </c>
      <c r="B1419" s="84" t="s">
        <v>1089</v>
      </c>
      <c r="C1419" s="84" t="s">
        <v>2306</v>
      </c>
      <c r="D1419" s="115" t="s">
        <v>2310</v>
      </c>
      <c r="E1419" s="85" t="s">
        <v>616</v>
      </c>
      <c r="F1419" s="85">
        <v>45843</v>
      </c>
      <c r="G1419" s="85" t="str">
        <f>TEXT(Table7[[#This Row],[EXPIRY DATE]],"MMM")</f>
        <v>Jul</v>
      </c>
      <c r="H1419" s="85" t="str">
        <f>TEXT(Table7[[#This Row],[EXPIRY DATE]],"YYY")</f>
        <v>2025</v>
      </c>
      <c r="I1419" s="84" t="s">
        <v>839</v>
      </c>
      <c r="J1419" s="69"/>
    </row>
    <row r="1420" spans="1:10" x14ac:dyDescent="0.3">
      <c r="A1420" s="84">
        <v>1419</v>
      </c>
      <c r="B1420" s="84" t="s">
        <v>2311</v>
      </c>
      <c r="C1420" s="84" t="s">
        <v>2306</v>
      </c>
      <c r="D1420" s="115" t="s">
        <v>2312</v>
      </c>
      <c r="E1420" s="85" t="s">
        <v>616</v>
      </c>
      <c r="F1420" s="85">
        <v>45958</v>
      </c>
      <c r="G1420" s="85" t="str">
        <f>TEXT(Table7[[#This Row],[EXPIRY DATE]],"MMM")</f>
        <v>Oct</v>
      </c>
      <c r="H1420" s="85" t="str">
        <f>TEXT(Table7[[#This Row],[EXPIRY DATE]],"YYY")</f>
        <v>2025</v>
      </c>
      <c r="I1420" s="84" t="s">
        <v>839</v>
      </c>
      <c r="J1420" s="69"/>
    </row>
    <row r="1421" spans="1:10" x14ac:dyDescent="0.3">
      <c r="A1421" s="84">
        <v>1420</v>
      </c>
      <c r="B1421" s="84" t="s">
        <v>2313</v>
      </c>
      <c r="C1421" s="84" t="s">
        <v>2306</v>
      </c>
      <c r="D1421" s="115" t="s">
        <v>2314</v>
      </c>
      <c r="E1421" s="85" t="s">
        <v>616</v>
      </c>
      <c r="F1421" s="85">
        <v>45958</v>
      </c>
      <c r="G1421" s="85" t="str">
        <f>TEXT(Table7[[#This Row],[EXPIRY DATE]],"MMM")</f>
        <v>Oct</v>
      </c>
      <c r="H1421" s="85" t="str">
        <f>TEXT(Table7[[#This Row],[EXPIRY DATE]],"YYY")</f>
        <v>2025</v>
      </c>
      <c r="I1421" s="84" t="s">
        <v>839</v>
      </c>
      <c r="J1421" s="69"/>
    </row>
    <row r="1422" spans="1:10" x14ac:dyDescent="0.3">
      <c r="A1422" s="84">
        <v>1421</v>
      </c>
      <c r="B1422" s="84" t="s">
        <v>2305</v>
      </c>
      <c r="C1422" s="84" t="s">
        <v>2306</v>
      </c>
      <c r="D1422" s="115" t="s">
        <v>2307</v>
      </c>
      <c r="E1422" s="85" t="s">
        <v>802</v>
      </c>
      <c r="F1422" s="85">
        <v>46022</v>
      </c>
      <c r="G1422" s="85" t="str">
        <f>TEXT(Table7[[#This Row],[EXPIRY DATE]],"MMM")</f>
        <v>Dec</v>
      </c>
      <c r="H1422" s="85" t="str">
        <f>TEXT(Table7[[#This Row],[EXPIRY DATE]],"YYY")</f>
        <v>2025</v>
      </c>
      <c r="I1422" s="84" t="s">
        <v>607</v>
      </c>
      <c r="J1422" s="69"/>
    </row>
    <row r="1423" spans="1:10" ht="20.399999999999999" x14ac:dyDescent="0.3">
      <c r="A1423" s="84">
        <v>1422</v>
      </c>
      <c r="B1423" s="84" t="s">
        <v>2315</v>
      </c>
      <c r="C1423" s="84" t="s">
        <v>2306</v>
      </c>
      <c r="D1423" s="115" t="s">
        <v>2316</v>
      </c>
      <c r="E1423" s="85" t="s">
        <v>616</v>
      </c>
      <c r="F1423" s="85">
        <v>46226</v>
      </c>
      <c r="G1423" s="85" t="s">
        <v>619</v>
      </c>
      <c r="H1423" s="85" t="str">
        <f>TEXT(Table7[[#This Row],[EXPIRY DATE]],"YYY")</f>
        <v>2026</v>
      </c>
      <c r="I1423" s="84" t="s">
        <v>839</v>
      </c>
      <c r="J1423" s="69"/>
    </row>
    <row r="1424" spans="1:10" x14ac:dyDescent="0.3">
      <c r="A1424" s="84">
        <v>1423</v>
      </c>
      <c r="B1424" s="84" t="s">
        <v>2308</v>
      </c>
      <c r="C1424" s="84" t="s">
        <v>2306</v>
      </c>
      <c r="D1424" s="115" t="s">
        <v>2317</v>
      </c>
      <c r="E1424" s="85" t="s">
        <v>616</v>
      </c>
      <c r="F1424" s="85">
        <v>46295</v>
      </c>
      <c r="G1424" s="85" t="s">
        <v>591</v>
      </c>
      <c r="H1424" s="85" t="str">
        <f>TEXT(Table7[[#This Row],[EXPIRY DATE]],"YYY")</f>
        <v>2026</v>
      </c>
      <c r="I1424" s="84" t="s">
        <v>592</v>
      </c>
      <c r="J1424" s="69"/>
    </row>
    <row r="1425" spans="1:10" x14ac:dyDescent="0.3">
      <c r="A1425" s="84">
        <v>1424</v>
      </c>
      <c r="B1425" s="84" t="s">
        <v>2311</v>
      </c>
      <c r="C1425" s="84" t="s">
        <v>2306</v>
      </c>
      <c r="D1425" s="115" t="s">
        <v>2312</v>
      </c>
      <c r="E1425" s="85" t="s">
        <v>616</v>
      </c>
      <c r="F1425" s="85">
        <v>46295</v>
      </c>
      <c r="G1425" s="85" t="s">
        <v>591</v>
      </c>
      <c r="H1425" s="85" t="str">
        <f>TEXT(Table7[[#This Row],[EXPIRY DATE]],"YYY")</f>
        <v>2026</v>
      </c>
      <c r="I1425" s="84" t="s">
        <v>592</v>
      </c>
      <c r="J1425" s="69"/>
    </row>
    <row r="1426" spans="1:10" x14ac:dyDescent="0.3">
      <c r="A1426" s="84">
        <v>1425</v>
      </c>
      <c r="B1426" s="84" t="s">
        <v>1089</v>
      </c>
      <c r="C1426" s="84" t="s">
        <v>2306</v>
      </c>
      <c r="D1426" s="115" t="s">
        <v>2310</v>
      </c>
      <c r="E1426" s="85" t="s">
        <v>616</v>
      </c>
      <c r="F1426" s="85">
        <v>46295</v>
      </c>
      <c r="G1426" s="85" t="s">
        <v>591</v>
      </c>
      <c r="H1426" s="85" t="str">
        <f>TEXT(Table7[[#This Row],[EXPIRY DATE]],"YYY")</f>
        <v>2026</v>
      </c>
      <c r="I1426" s="84" t="s">
        <v>592</v>
      </c>
      <c r="J1426" s="69"/>
    </row>
    <row r="1427" spans="1:10" x14ac:dyDescent="0.3">
      <c r="A1427" s="84">
        <v>1426</v>
      </c>
      <c r="B1427" s="84" t="s">
        <v>2305</v>
      </c>
      <c r="C1427" s="84" t="s">
        <v>2306</v>
      </c>
      <c r="D1427" s="115" t="s">
        <v>2307</v>
      </c>
      <c r="E1427" s="85" t="s">
        <v>802</v>
      </c>
      <c r="F1427" s="85">
        <v>46295</v>
      </c>
      <c r="G1427" s="85" t="s">
        <v>591</v>
      </c>
      <c r="H1427" s="85" t="str">
        <f>TEXT(Table7[[#This Row],[EXPIRY DATE]],"YYY")</f>
        <v>2026</v>
      </c>
      <c r="I1427" s="84" t="s">
        <v>592</v>
      </c>
      <c r="J1427" s="69"/>
    </row>
    <row r="1428" spans="1:10" x14ac:dyDescent="0.3">
      <c r="A1428" s="84">
        <v>1427</v>
      </c>
      <c r="B1428" s="84" t="s">
        <v>2313</v>
      </c>
      <c r="C1428" s="84" t="s">
        <v>2306</v>
      </c>
      <c r="D1428" s="115" t="s">
        <v>2314</v>
      </c>
      <c r="E1428" s="85" t="s">
        <v>616</v>
      </c>
      <c r="F1428" s="85">
        <v>46295</v>
      </c>
      <c r="G1428" s="85" t="s">
        <v>591</v>
      </c>
      <c r="H1428" s="85" t="str">
        <f>TEXT(Table7[[#This Row],[EXPIRY DATE]],"YYY")</f>
        <v>2026</v>
      </c>
      <c r="I1428" s="84" t="s">
        <v>592</v>
      </c>
      <c r="J1428" s="69"/>
    </row>
    <row r="1429" spans="1:10" ht="20.399999999999999" x14ac:dyDescent="0.3">
      <c r="A1429" s="84">
        <v>1428</v>
      </c>
      <c r="B1429" s="84" t="s">
        <v>2315</v>
      </c>
      <c r="C1429" s="84" t="s">
        <v>2306</v>
      </c>
      <c r="D1429" s="115" t="s">
        <v>2316</v>
      </c>
      <c r="E1429" s="85" t="s">
        <v>616</v>
      </c>
      <c r="F1429" s="85">
        <v>46295</v>
      </c>
      <c r="G1429" s="85" t="s">
        <v>591</v>
      </c>
      <c r="H1429" s="85" t="str">
        <f>TEXT(Table7[[#This Row],[EXPIRY DATE]],"YYY")</f>
        <v>2026</v>
      </c>
      <c r="I1429" s="84" t="s">
        <v>592</v>
      </c>
      <c r="J1429" s="69"/>
    </row>
    <row r="1430" spans="1:10" x14ac:dyDescent="0.3">
      <c r="A1430" s="84">
        <v>1429</v>
      </c>
      <c r="B1430" s="84" t="s">
        <v>2305</v>
      </c>
      <c r="C1430" s="84" t="s">
        <v>2306</v>
      </c>
      <c r="D1430" s="115" t="s">
        <v>2307</v>
      </c>
      <c r="E1430" s="85" t="s">
        <v>802</v>
      </c>
      <c r="F1430" s="85" t="s">
        <v>81</v>
      </c>
      <c r="G1430" s="85" t="s">
        <v>629</v>
      </c>
      <c r="H1430" s="85" t="s">
        <v>629</v>
      </c>
      <c r="I1430" s="84" t="s">
        <v>602</v>
      </c>
      <c r="J1430" s="69"/>
    </row>
    <row r="1431" spans="1:10" x14ac:dyDescent="0.3">
      <c r="A1431" s="84">
        <v>1430</v>
      </c>
      <c r="B1431" s="84" t="s">
        <v>1245</v>
      </c>
      <c r="C1431" s="84" t="s">
        <v>2318</v>
      </c>
      <c r="D1431" s="115" t="s">
        <v>1247</v>
      </c>
      <c r="E1431" s="85"/>
      <c r="F1431" s="85" t="s">
        <v>629</v>
      </c>
      <c r="G1431" s="85" t="str">
        <f>TEXT(Table7[[#This Row],[EXPIRY DATE]],"MMM")</f>
        <v>LIFETIME</v>
      </c>
      <c r="H1431" s="85" t="str">
        <f>TEXT(Table7[[#This Row],[EXPIRY DATE]],"YYY")</f>
        <v>LIFETIME</v>
      </c>
      <c r="I1431" s="84" t="s">
        <v>602</v>
      </c>
      <c r="J1431" s="69"/>
    </row>
    <row r="1432" spans="1:10" x14ac:dyDescent="0.3">
      <c r="A1432" s="84">
        <v>1431</v>
      </c>
      <c r="B1432" s="84" t="s">
        <v>1018</v>
      </c>
      <c r="C1432" s="84" t="s">
        <v>2319</v>
      </c>
      <c r="D1432" s="115" t="s">
        <v>2320</v>
      </c>
      <c r="E1432" s="85" t="s">
        <v>961</v>
      </c>
      <c r="F1432" s="85">
        <v>46264</v>
      </c>
      <c r="G1432" s="85" t="str">
        <f>TEXT(Table7[[#This Row],[EXPIRY DATE]],"MMM")</f>
        <v>Aug</v>
      </c>
      <c r="H1432" s="85" t="str">
        <f>TEXT(Table7[[#This Row],[EXPIRY DATE]],"YYY")</f>
        <v>2026</v>
      </c>
      <c r="I1432" s="85" t="s">
        <v>791</v>
      </c>
      <c r="J1432" s="69"/>
    </row>
    <row r="1433" spans="1:10" x14ac:dyDescent="0.3">
      <c r="A1433" s="84">
        <v>1432</v>
      </c>
      <c r="B1433" s="84" t="s">
        <v>807</v>
      </c>
      <c r="C1433" s="92" t="s">
        <v>2321</v>
      </c>
      <c r="D1433" s="119" t="s">
        <v>2322</v>
      </c>
      <c r="E1433" s="93"/>
      <c r="F1433" s="93" t="s">
        <v>766</v>
      </c>
      <c r="G1433" s="93" t="str">
        <f>TEXT(Table7[[#This Row],[EXPIRY DATE]],"MMM")</f>
        <v>CLOSED</v>
      </c>
      <c r="H1433" s="93" t="str">
        <f>TEXT(Table7[[#This Row],[EXPIRY DATE]],"YYY")</f>
        <v>CLOSED</v>
      </c>
      <c r="I1433" s="92" t="s">
        <v>607</v>
      </c>
      <c r="J1433" s="75"/>
    </row>
    <row r="1434" spans="1:10" x14ac:dyDescent="0.3">
      <c r="A1434" s="84">
        <v>1433</v>
      </c>
      <c r="B1434" s="84" t="s">
        <v>910</v>
      </c>
      <c r="C1434" s="84" t="s">
        <v>2323</v>
      </c>
      <c r="D1434" s="115" t="s">
        <v>2324</v>
      </c>
      <c r="E1434" s="85" t="s">
        <v>802</v>
      </c>
      <c r="F1434" s="85">
        <v>46028</v>
      </c>
      <c r="G1434" s="85" t="str">
        <f>TEXT(Table7[[#This Row],[EXPIRY DATE]],"MMM")</f>
        <v>Jan</v>
      </c>
      <c r="H1434" s="85" t="str">
        <f>TEXT(Table7[[#This Row],[EXPIRY DATE]],"YYY")</f>
        <v>2026</v>
      </c>
      <c r="I1434" s="85" t="s">
        <v>791</v>
      </c>
      <c r="J1434" s="69"/>
    </row>
    <row r="1435" spans="1:10" ht="30.6" x14ac:dyDescent="0.3">
      <c r="A1435" s="84">
        <v>1434</v>
      </c>
      <c r="B1435" s="84" t="s">
        <v>969</v>
      </c>
      <c r="C1435" s="84" t="s">
        <v>2325</v>
      </c>
      <c r="D1435" s="115" t="s">
        <v>2326</v>
      </c>
      <c r="E1435" s="85" t="s">
        <v>2296</v>
      </c>
      <c r="F1435" s="85">
        <v>45976</v>
      </c>
      <c r="G1435" s="85" t="s">
        <v>842</v>
      </c>
      <c r="H1435" s="85" t="str">
        <f>TEXT(Table7[[#This Row],[EXPIRY DATE]],"YYY")</f>
        <v>2025</v>
      </c>
      <c r="I1435" s="84" t="s">
        <v>791</v>
      </c>
      <c r="J1435" s="69"/>
    </row>
    <row r="1436" spans="1:10" x14ac:dyDescent="0.3">
      <c r="A1436" s="84">
        <v>1435</v>
      </c>
      <c r="B1436" s="84" t="s">
        <v>1971</v>
      </c>
      <c r="C1436" s="84" t="s">
        <v>2325</v>
      </c>
      <c r="D1436" s="115" t="s">
        <v>2327</v>
      </c>
      <c r="E1436" s="85" t="s">
        <v>601</v>
      </c>
      <c r="F1436" s="85">
        <v>46028</v>
      </c>
      <c r="G1436" s="85" t="str">
        <f>TEXT(Table7[[#This Row],[EXPIRY DATE]],"MMM")</f>
        <v>Jan</v>
      </c>
      <c r="H1436" s="85" t="str">
        <f>TEXT(Table7[[#This Row],[EXPIRY DATE]],"YYY")</f>
        <v>2026</v>
      </c>
      <c r="I1436" s="84" t="s">
        <v>791</v>
      </c>
      <c r="J1436" s="69"/>
    </row>
    <row r="1437" spans="1:10" ht="20.399999999999999" x14ac:dyDescent="0.3">
      <c r="A1437" s="84">
        <v>1436</v>
      </c>
      <c r="B1437" s="84" t="s">
        <v>2328</v>
      </c>
      <c r="C1437" s="84" t="s">
        <v>2325</v>
      </c>
      <c r="D1437" s="115" t="s">
        <v>2329</v>
      </c>
      <c r="E1437" s="85" t="s">
        <v>601</v>
      </c>
      <c r="F1437" s="85">
        <v>46038</v>
      </c>
      <c r="G1437" s="85" t="str">
        <f>TEXT(Table7[[#This Row],[EXPIRY DATE]],"MMM")</f>
        <v>Jan</v>
      </c>
      <c r="H1437" s="85" t="str">
        <f>TEXT(Table7[[#This Row],[EXPIRY DATE]],"YYY")</f>
        <v>2026</v>
      </c>
      <c r="I1437" s="84" t="s">
        <v>791</v>
      </c>
      <c r="J1437" s="69"/>
    </row>
    <row r="1438" spans="1:10" x14ac:dyDescent="0.3">
      <c r="A1438" s="84">
        <v>1437</v>
      </c>
      <c r="B1438" s="84" t="s">
        <v>2255</v>
      </c>
      <c r="C1438" s="84" t="s">
        <v>2325</v>
      </c>
      <c r="D1438" s="115" t="s">
        <v>2330</v>
      </c>
      <c r="E1438" s="85" t="s">
        <v>601</v>
      </c>
      <c r="F1438" s="85">
        <v>46038</v>
      </c>
      <c r="G1438" s="85" t="str">
        <f>TEXT(Table7[[#This Row],[EXPIRY DATE]],"MMM")</f>
        <v>Jan</v>
      </c>
      <c r="H1438" s="85" t="str">
        <f>TEXT(Table7[[#This Row],[EXPIRY DATE]],"YYY")</f>
        <v>2026</v>
      </c>
      <c r="I1438" s="84" t="s">
        <v>791</v>
      </c>
      <c r="J1438" s="69"/>
    </row>
    <row r="1439" spans="1:10" x14ac:dyDescent="0.3">
      <c r="A1439" s="84">
        <v>1438</v>
      </c>
      <c r="B1439" s="84" t="s">
        <v>1647</v>
      </c>
      <c r="C1439" s="84" t="s">
        <v>2325</v>
      </c>
      <c r="D1439" s="115" t="s">
        <v>2331</v>
      </c>
      <c r="E1439" s="85" t="s">
        <v>601</v>
      </c>
      <c r="F1439" s="85">
        <v>46085</v>
      </c>
      <c r="G1439" s="85" t="s">
        <v>606</v>
      </c>
      <c r="H1439" s="85" t="str">
        <f>TEXT(Table7[[#This Row],[EXPIRY DATE]],"YYY")</f>
        <v>2026</v>
      </c>
      <c r="I1439" s="84" t="s">
        <v>791</v>
      </c>
      <c r="J1439" s="69"/>
    </row>
    <row r="1440" spans="1:10" x14ac:dyDescent="0.3">
      <c r="A1440" s="84">
        <v>1439</v>
      </c>
      <c r="B1440" s="84" t="s">
        <v>2332</v>
      </c>
      <c r="C1440" s="84" t="s">
        <v>2325</v>
      </c>
      <c r="D1440" s="115" t="s">
        <v>2333</v>
      </c>
      <c r="E1440" s="85" t="s">
        <v>640</v>
      </c>
      <c r="F1440" s="85">
        <v>47161</v>
      </c>
      <c r="G1440" s="85" t="s">
        <v>887</v>
      </c>
      <c r="H1440" s="85" t="str">
        <f>TEXT(Table7[[#This Row],[EXPIRY DATE]],"YYY")</f>
        <v>2029</v>
      </c>
      <c r="I1440" s="84" t="s">
        <v>791</v>
      </c>
      <c r="J1440" s="69"/>
    </row>
    <row r="1441" spans="1:10" x14ac:dyDescent="0.3">
      <c r="A1441" s="84">
        <v>1440</v>
      </c>
      <c r="B1441" s="84" t="s">
        <v>2334</v>
      </c>
      <c r="C1441" s="84" t="s">
        <v>2325</v>
      </c>
      <c r="D1441" s="115" t="s">
        <v>2335</v>
      </c>
      <c r="E1441" s="85" t="s">
        <v>605</v>
      </c>
      <c r="F1441" s="84" t="s">
        <v>2336</v>
      </c>
      <c r="G1441" s="84" t="s">
        <v>2336</v>
      </c>
      <c r="H1441" s="85" t="str">
        <f>TEXT(Table7[[#This Row],[EXPIRY DATE]],"YYY")</f>
        <v>DONE BY MASSIVE</v>
      </c>
      <c r="I1441" s="84" t="s">
        <v>791</v>
      </c>
      <c r="J1441" s="69"/>
    </row>
    <row r="1442" spans="1:10" x14ac:dyDescent="0.3">
      <c r="A1442" s="84">
        <v>1441</v>
      </c>
      <c r="B1442" s="84" t="s">
        <v>1677</v>
      </c>
      <c r="C1442" s="84" t="s">
        <v>2337</v>
      </c>
      <c r="D1442" s="115" t="s">
        <v>1678</v>
      </c>
      <c r="E1442" s="85" t="s">
        <v>931</v>
      </c>
      <c r="F1442" s="85" t="s">
        <v>81</v>
      </c>
      <c r="G1442" s="85" t="str">
        <f>TEXT(Table7[[#This Row],[EXPIRY DATE]],"MMM")</f>
        <v>NA</v>
      </c>
      <c r="H1442" s="85" t="str">
        <f>TEXT(Table7[[#This Row],[EXPIRY DATE]],"YYY")</f>
        <v>NA</v>
      </c>
      <c r="I1442" s="84" t="s">
        <v>602</v>
      </c>
      <c r="J1442" s="69"/>
    </row>
    <row r="1443" spans="1:10" x14ac:dyDescent="0.3">
      <c r="A1443" s="84">
        <v>1442</v>
      </c>
      <c r="B1443" s="84" t="s">
        <v>1677</v>
      </c>
      <c r="C1443" s="84" t="s">
        <v>2337</v>
      </c>
      <c r="D1443" s="115" t="s">
        <v>1678</v>
      </c>
      <c r="E1443" s="85" t="s">
        <v>931</v>
      </c>
      <c r="F1443" s="85" t="s">
        <v>81</v>
      </c>
      <c r="G1443" s="85" t="str">
        <f>TEXT(Table7[[#This Row],[EXPIRY DATE]],"MMM")</f>
        <v>NA</v>
      </c>
      <c r="H1443" s="85" t="str">
        <f>TEXT(Table7[[#This Row],[EXPIRY DATE]],"YYY")</f>
        <v>NA</v>
      </c>
      <c r="I1443" s="84" t="s">
        <v>621</v>
      </c>
      <c r="J1443" s="69"/>
    </row>
    <row r="1444" spans="1:10" x14ac:dyDescent="0.3">
      <c r="A1444" s="84">
        <v>1443</v>
      </c>
      <c r="B1444" s="84" t="s">
        <v>1677</v>
      </c>
      <c r="C1444" s="84" t="s">
        <v>2337</v>
      </c>
      <c r="D1444" s="115" t="s">
        <v>1678</v>
      </c>
      <c r="E1444" s="85" t="s">
        <v>931</v>
      </c>
      <c r="F1444" s="85" t="s">
        <v>81</v>
      </c>
      <c r="G1444" s="85" t="str">
        <f>TEXT(Table7[[#This Row],[EXPIRY DATE]],"MMM")</f>
        <v>NA</v>
      </c>
      <c r="H1444" s="85" t="str">
        <f>TEXT(Table7[[#This Row],[EXPIRY DATE]],"YYY")</f>
        <v>NA</v>
      </c>
      <c r="I1444" s="84" t="s">
        <v>607</v>
      </c>
      <c r="J1444" s="69"/>
    </row>
    <row r="1445" spans="1:10" x14ac:dyDescent="0.3">
      <c r="A1445" s="84">
        <v>1444</v>
      </c>
      <c r="B1445" s="84" t="s">
        <v>1677</v>
      </c>
      <c r="C1445" s="84" t="s">
        <v>2337</v>
      </c>
      <c r="D1445" s="115" t="s">
        <v>1678</v>
      </c>
      <c r="E1445" s="85" t="s">
        <v>931</v>
      </c>
      <c r="F1445" s="85" t="s">
        <v>81</v>
      </c>
      <c r="G1445" s="85" t="str">
        <f>TEXT(Table7[[#This Row],[EXPIRY DATE]],"MMM")</f>
        <v>NA</v>
      </c>
      <c r="H1445" s="85" t="str">
        <f>TEXT(Table7[[#This Row],[EXPIRY DATE]],"YYY")</f>
        <v>NA</v>
      </c>
      <c r="I1445" s="84" t="s">
        <v>592</v>
      </c>
      <c r="J1445" s="69"/>
    </row>
    <row r="1446" spans="1:10" x14ac:dyDescent="0.3">
      <c r="A1446" s="84">
        <v>1445</v>
      </c>
      <c r="B1446" s="84" t="s">
        <v>1677</v>
      </c>
      <c r="C1446" s="84" t="s">
        <v>2337</v>
      </c>
      <c r="D1446" s="115" t="s">
        <v>1678</v>
      </c>
      <c r="E1446" s="85" t="s">
        <v>931</v>
      </c>
      <c r="F1446" s="85" t="s">
        <v>81</v>
      </c>
      <c r="G1446" s="85" t="str">
        <f>TEXT(Table7[[#This Row],[EXPIRY DATE]],"MMM")</f>
        <v>NA</v>
      </c>
      <c r="H1446" s="85" t="str">
        <f>TEXT(Table7[[#This Row],[EXPIRY DATE]],"YYY")</f>
        <v>NA</v>
      </c>
      <c r="I1446" s="84" t="s">
        <v>916</v>
      </c>
      <c r="J1446" s="69"/>
    </row>
    <row r="1447" spans="1:10" x14ac:dyDescent="0.3">
      <c r="A1447" s="84">
        <v>1446</v>
      </c>
      <c r="B1447" s="84" t="s">
        <v>2338</v>
      </c>
      <c r="C1447" s="92" t="s">
        <v>2339</v>
      </c>
      <c r="D1447" s="119" t="s">
        <v>1676</v>
      </c>
      <c r="E1447" s="93" t="s">
        <v>2340</v>
      </c>
      <c r="F1447" s="93">
        <v>45747</v>
      </c>
      <c r="G1447" s="93" t="str">
        <f>TEXT(Table7[[#This Row],[EXPIRY DATE]],"MMM")</f>
        <v>Mar</v>
      </c>
      <c r="H1447" s="93" t="str">
        <f>TEXT(Table7[[#This Row],[EXPIRY DATE]],"YYY")</f>
        <v>2025</v>
      </c>
      <c r="I1447" s="92" t="s">
        <v>607</v>
      </c>
      <c r="J1447" s="75"/>
    </row>
    <row r="1448" spans="1:10" x14ac:dyDescent="0.3">
      <c r="A1448" s="84">
        <v>1447</v>
      </c>
      <c r="B1448" s="84" t="s">
        <v>1662</v>
      </c>
      <c r="C1448" s="84" t="s">
        <v>2339</v>
      </c>
      <c r="D1448" s="115" t="s">
        <v>1663</v>
      </c>
      <c r="E1448" s="85" t="s">
        <v>616</v>
      </c>
      <c r="F1448" s="85">
        <v>45985</v>
      </c>
      <c r="G1448" s="85" t="str">
        <f>TEXT(Table7[[#This Row],[EXPIRY DATE]],"MMM")</f>
        <v>Nov</v>
      </c>
      <c r="H1448" s="85" t="str">
        <f>TEXT(Table7[[#This Row],[EXPIRY DATE]],"YYY")</f>
        <v>2025</v>
      </c>
      <c r="I1448" s="84" t="s">
        <v>621</v>
      </c>
      <c r="J1448" s="69"/>
    </row>
    <row r="1449" spans="1:10" ht="20.399999999999999" x14ac:dyDescent="0.3">
      <c r="A1449" s="84">
        <v>1448</v>
      </c>
      <c r="B1449" s="84" t="s">
        <v>2341</v>
      </c>
      <c r="C1449" s="84" t="s">
        <v>2342</v>
      </c>
      <c r="D1449" s="115" t="s">
        <v>2343</v>
      </c>
      <c r="E1449" s="85" t="s">
        <v>616</v>
      </c>
      <c r="F1449" s="85">
        <v>45905</v>
      </c>
      <c r="G1449" s="85" t="str">
        <f>TEXT(Table7[[#This Row],[EXPIRY DATE]],"MMM")</f>
        <v>Sep</v>
      </c>
      <c r="H1449" s="85" t="str">
        <f>TEXT(Table7[[#This Row],[EXPIRY DATE]],"YYY")</f>
        <v>2025</v>
      </c>
      <c r="I1449" s="84" t="s">
        <v>602</v>
      </c>
      <c r="J1449" s="69"/>
    </row>
    <row r="1450" spans="1:10" ht="20.399999999999999" x14ac:dyDescent="0.3">
      <c r="A1450" s="84">
        <v>1449</v>
      </c>
      <c r="B1450" s="84" t="s">
        <v>2341</v>
      </c>
      <c r="C1450" s="84" t="s">
        <v>2342</v>
      </c>
      <c r="D1450" s="115" t="s">
        <v>2343</v>
      </c>
      <c r="E1450" s="85" t="s">
        <v>616</v>
      </c>
      <c r="F1450" s="85">
        <v>45908</v>
      </c>
      <c r="G1450" s="85" t="str">
        <f>TEXT(Table7[[#This Row],[EXPIRY DATE]],"MMM")</f>
        <v>Sep</v>
      </c>
      <c r="H1450" s="85" t="str">
        <f>TEXT(Table7[[#This Row],[EXPIRY DATE]],"YYY")</f>
        <v>2025</v>
      </c>
      <c r="I1450" s="84" t="s">
        <v>839</v>
      </c>
      <c r="J1450" s="69"/>
    </row>
    <row r="1451" spans="1:10" ht="20.399999999999999" x14ac:dyDescent="0.3">
      <c r="A1451" s="84">
        <v>1450</v>
      </c>
      <c r="B1451" s="84" t="s">
        <v>2344</v>
      </c>
      <c r="C1451" s="84" t="s">
        <v>2342</v>
      </c>
      <c r="D1451" s="115" t="s">
        <v>2345</v>
      </c>
      <c r="E1451" s="85" t="s">
        <v>616</v>
      </c>
      <c r="F1451" s="85">
        <v>46050</v>
      </c>
      <c r="G1451" s="85" t="s">
        <v>936</v>
      </c>
      <c r="H1451" s="85" t="str">
        <f>TEXT(Table7[[#This Row],[EXPIRY DATE]],"YYY")</f>
        <v>2026</v>
      </c>
      <c r="I1451" s="84" t="s">
        <v>592</v>
      </c>
      <c r="J1451" s="69"/>
    </row>
    <row r="1452" spans="1:10" ht="20.399999999999999" x14ac:dyDescent="0.3">
      <c r="A1452" s="84">
        <v>1451</v>
      </c>
      <c r="B1452" s="84" t="s">
        <v>2341</v>
      </c>
      <c r="C1452" s="84" t="s">
        <v>2342</v>
      </c>
      <c r="D1452" s="115" t="s">
        <v>2343</v>
      </c>
      <c r="E1452" s="85" t="s">
        <v>616</v>
      </c>
      <c r="F1452" s="84" t="s">
        <v>2346</v>
      </c>
      <c r="G1452" s="85" t="str">
        <f>TEXT(Table7[[#This Row],[EXPIRY DATE]],"MMM")</f>
        <v>DONE BY MESS</v>
      </c>
      <c r="H1452" s="85" t="str">
        <f>TEXT(Table7[[#This Row],[EXPIRY DATE]],"YYY")</f>
        <v>DONE BY MESS</v>
      </c>
      <c r="I1452" s="84" t="s">
        <v>592</v>
      </c>
      <c r="J1452" s="69"/>
    </row>
    <row r="1453" spans="1:10" x14ac:dyDescent="0.3">
      <c r="A1453" s="84">
        <v>1452</v>
      </c>
      <c r="B1453" s="84" t="s">
        <v>2347</v>
      </c>
      <c r="C1453" s="84" t="s">
        <v>2348</v>
      </c>
      <c r="D1453" s="115" t="s">
        <v>2349</v>
      </c>
      <c r="E1453" s="85"/>
      <c r="F1453" s="85">
        <v>46387</v>
      </c>
      <c r="G1453" s="85" t="str">
        <f>TEXT(Table7[[#This Row],[EXPIRY DATE]],"MMM")</f>
        <v>Dec</v>
      </c>
      <c r="H1453" s="85" t="str">
        <f>TEXT(Table7[[#This Row],[EXPIRY DATE]],"YYY")</f>
        <v>2026</v>
      </c>
      <c r="I1453" s="84" t="s">
        <v>602</v>
      </c>
      <c r="J1453" s="69"/>
    </row>
    <row r="1454" spans="1:10" x14ac:dyDescent="0.3">
      <c r="A1454" s="84">
        <v>1453</v>
      </c>
      <c r="B1454" s="84" t="s">
        <v>2350</v>
      </c>
      <c r="C1454" s="84" t="s">
        <v>2348</v>
      </c>
      <c r="D1454" s="115" t="s">
        <v>2351</v>
      </c>
      <c r="E1454" s="85"/>
      <c r="F1454" s="85">
        <v>46752</v>
      </c>
      <c r="G1454" s="85" t="str">
        <f>TEXT(Table7[[#This Row],[EXPIRY DATE]],"MMM")</f>
        <v>Dec</v>
      </c>
      <c r="H1454" s="85" t="str">
        <f>TEXT(Table7[[#This Row],[EXPIRY DATE]],"YYY")</f>
        <v>2027</v>
      </c>
      <c r="I1454" s="84" t="s">
        <v>602</v>
      </c>
      <c r="J1454" s="69"/>
    </row>
    <row r="1455" spans="1:10" x14ac:dyDescent="0.3">
      <c r="A1455" s="84">
        <v>1454</v>
      </c>
      <c r="B1455" s="84" t="s">
        <v>2352</v>
      </c>
      <c r="C1455" s="92" t="s">
        <v>2348</v>
      </c>
      <c r="D1455" s="119" t="s">
        <v>2353</v>
      </c>
      <c r="E1455" s="93"/>
      <c r="F1455" s="93" t="s">
        <v>766</v>
      </c>
      <c r="G1455" s="93" t="str">
        <f>TEXT(Table7[[#This Row],[EXPIRY DATE]],"MMM")</f>
        <v>CLOSED</v>
      </c>
      <c r="H1455" s="93" t="str">
        <f>TEXT(Table7[[#This Row],[EXPIRY DATE]],"YYY")</f>
        <v>CLOSED</v>
      </c>
      <c r="I1455" s="92" t="s">
        <v>602</v>
      </c>
      <c r="J1455" s="75"/>
    </row>
    <row r="1456" spans="1:10" x14ac:dyDescent="0.3">
      <c r="A1456" s="84">
        <v>1455</v>
      </c>
      <c r="B1456" s="84" t="s">
        <v>2354</v>
      </c>
      <c r="C1456" s="84" t="s">
        <v>2348</v>
      </c>
      <c r="D1456" s="115" t="s">
        <v>768</v>
      </c>
      <c r="E1456" s="85" t="s">
        <v>1225</v>
      </c>
      <c r="F1456" s="85" t="s">
        <v>629</v>
      </c>
      <c r="G1456" s="85" t="str">
        <f>TEXT(Table7[[#This Row],[EXPIRY DATE]],"MMM")</f>
        <v>LIFETIME</v>
      </c>
      <c r="H1456" s="85" t="str">
        <f>TEXT(Table7[[#This Row],[EXPIRY DATE]],"YYY")</f>
        <v>LIFETIME</v>
      </c>
      <c r="I1456" s="84" t="s">
        <v>602</v>
      </c>
      <c r="J1456" s="69"/>
    </row>
    <row r="1457" spans="1:10" x14ac:dyDescent="0.3">
      <c r="A1457" s="84">
        <v>1456</v>
      </c>
      <c r="B1457" s="84" t="s">
        <v>1190</v>
      </c>
      <c r="C1457" s="84" t="s">
        <v>2355</v>
      </c>
      <c r="D1457" s="115" t="s">
        <v>2356</v>
      </c>
      <c r="E1457" s="85" t="s">
        <v>1565</v>
      </c>
      <c r="F1457" s="85">
        <v>46002</v>
      </c>
      <c r="G1457" s="85" t="s">
        <v>625</v>
      </c>
      <c r="H1457" s="85" t="str">
        <f>TEXT(Table7[[#This Row],[EXPIRY DATE]],"YYY")</f>
        <v>2025</v>
      </c>
      <c r="I1457" s="84" t="s">
        <v>791</v>
      </c>
      <c r="J1457" s="69"/>
    </row>
    <row r="1458" spans="1:10" x14ac:dyDescent="0.3">
      <c r="A1458" s="84">
        <v>1457</v>
      </c>
      <c r="B1458" s="84" t="s">
        <v>2357</v>
      </c>
      <c r="C1458" s="84" t="s">
        <v>2358</v>
      </c>
      <c r="D1458" s="115" t="s">
        <v>2359</v>
      </c>
      <c r="E1458" s="85" t="s">
        <v>2360</v>
      </c>
      <c r="F1458" s="85">
        <v>47378</v>
      </c>
      <c r="G1458" s="85" t="str">
        <f>TEXT(Table7[[#This Row],[EXPIRY DATE]],"MMM")</f>
        <v>Sep</v>
      </c>
      <c r="H1458" s="85" t="str">
        <f>TEXT(Table7[[#This Row],[EXPIRY DATE]],"YYY")</f>
        <v>2029</v>
      </c>
      <c r="I1458" s="85" t="s">
        <v>791</v>
      </c>
      <c r="J1458" s="69"/>
    </row>
    <row r="1459" spans="1:10" x14ac:dyDescent="0.3">
      <c r="A1459" s="84">
        <v>1458</v>
      </c>
      <c r="B1459" s="84" t="s">
        <v>2361</v>
      </c>
      <c r="C1459" s="84" t="s">
        <v>2362</v>
      </c>
      <c r="D1459" s="115" t="s">
        <v>2363</v>
      </c>
      <c r="E1459" s="85" t="s">
        <v>2364</v>
      </c>
      <c r="F1459" s="85">
        <v>46246</v>
      </c>
      <c r="G1459" s="85" t="str">
        <f>TEXT(Table7[[#This Row],[EXPIRY DATE]],"MMM")</f>
        <v>Aug</v>
      </c>
      <c r="H1459" s="85" t="str">
        <f>TEXT(Table7[[#This Row],[EXPIRY DATE]],"YYY")</f>
        <v>2026</v>
      </c>
      <c r="I1459" s="85" t="s">
        <v>791</v>
      </c>
      <c r="J1459" s="69"/>
    </row>
    <row r="1460" spans="1:10" x14ac:dyDescent="0.3">
      <c r="A1460" s="84">
        <v>1459</v>
      </c>
      <c r="B1460" s="84" t="s">
        <v>2365</v>
      </c>
      <c r="C1460" s="84" t="s">
        <v>2362</v>
      </c>
      <c r="D1460" s="115" t="s">
        <v>2366</v>
      </c>
      <c r="E1460" s="85" t="s">
        <v>2367</v>
      </c>
      <c r="F1460" s="85">
        <v>46252</v>
      </c>
      <c r="G1460" s="85" t="str">
        <f>TEXT(Table7[[#This Row],[EXPIRY DATE]],"MMM")</f>
        <v>Aug</v>
      </c>
      <c r="H1460" s="85" t="str">
        <f>TEXT(Table7[[#This Row],[EXPIRY DATE]],"YYY")</f>
        <v>2026</v>
      </c>
      <c r="I1460" s="84" t="s">
        <v>791</v>
      </c>
      <c r="J1460" s="69"/>
    </row>
    <row r="1461" spans="1:10" ht="30.6" x14ac:dyDescent="0.3">
      <c r="A1461" s="84">
        <v>1460</v>
      </c>
      <c r="B1461" s="84" t="s">
        <v>743</v>
      </c>
      <c r="C1461" s="84" t="s">
        <v>2362</v>
      </c>
      <c r="D1461" s="115" t="s">
        <v>2368</v>
      </c>
      <c r="E1461" s="85" t="s">
        <v>2367</v>
      </c>
      <c r="F1461" s="85">
        <v>46255</v>
      </c>
      <c r="G1461" s="85" t="str">
        <f>TEXT(Table7[[#This Row],[EXPIRY DATE]],"MMM")</f>
        <v>Aug</v>
      </c>
      <c r="H1461" s="85" t="str">
        <f>TEXT(Table7[[#This Row],[EXPIRY DATE]],"YYY")</f>
        <v>2026</v>
      </c>
      <c r="I1461" s="85" t="s">
        <v>791</v>
      </c>
      <c r="J1461" s="69"/>
    </row>
    <row r="1462" spans="1:10" x14ac:dyDescent="0.3">
      <c r="A1462" s="84">
        <v>1461</v>
      </c>
      <c r="B1462" s="84" t="s">
        <v>2369</v>
      </c>
      <c r="C1462" s="84" t="s">
        <v>2362</v>
      </c>
      <c r="D1462" s="115" t="s">
        <v>2370</v>
      </c>
      <c r="E1462" s="85" t="s">
        <v>2360</v>
      </c>
      <c r="F1462" s="85">
        <v>46344</v>
      </c>
      <c r="G1462" s="85" t="str">
        <f>TEXT(Table7[[#This Row],[EXPIRY DATE]],"MMM")</f>
        <v>Nov</v>
      </c>
      <c r="H1462" s="85" t="str">
        <f>TEXT(Table7[[#This Row],[EXPIRY DATE]],"YYY")</f>
        <v>2026</v>
      </c>
      <c r="I1462" s="85" t="s">
        <v>791</v>
      </c>
      <c r="J1462" s="69"/>
    </row>
    <row r="1463" spans="1:10" x14ac:dyDescent="0.3">
      <c r="A1463" s="84">
        <v>1462</v>
      </c>
      <c r="B1463" s="84" t="s">
        <v>2371</v>
      </c>
      <c r="C1463" s="84" t="s">
        <v>2362</v>
      </c>
      <c r="D1463" s="115" t="s">
        <v>2372</v>
      </c>
      <c r="E1463" s="85" t="s">
        <v>2373</v>
      </c>
      <c r="F1463" s="85">
        <v>46742</v>
      </c>
      <c r="G1463" s="85" t="str">
        <f>TEXT(Table7[[#This Row],[EXPIRY DATE]],"MMM")</f>
        <v>Dec</v>
      </c>
      <c r="H1463" s="85" t="str">
        <f>TEXT(Table7[[#This Row],[EXPIRY DATE]],"YYY")</f>
        <v>2027</v>
      </c>
      <c r="I1463" s="85" t="s">
        <v>791</v>
      </c>
      <c r="J1463" s="69"/>
    </row>
    <row r="1464" spans="1:10" x14ac:dyDescent="0.3">
      <c r="A1464" s="84">
        <v>1463</v>
      </c>
      <c r="B1464" s="84" t="s">
        <v>2374</v>
      </c>
      <c r="C1464" s="84" t="s">
        <v>2362</v>
      </c>
      <c r="D1464" s="115" t="s">
        <v>2366</v>
      </c>
      <c r="E1464" s="85" t="s">
        <v>2367</v>
      </c>
      <c r="F1464" s="85">
        <v>47827</v>
      </c>
      <c r="G1464" s="85" t="str">
        <f>TEXT(Table7[[#This Row],[EXPIRY DATE]],"MMM")</f>
        <v>Dec</v>
      </c>
      <c r="H1464" s="85" t="str">
        <f>TEXT(Table7[[#This Row],[EXPIRY DATE]],"YYY")</f>
        <v>2030</v>
      </c>
      <c r="I1464" s="85" t="s">
        <v>791</v>
      </c>
      <c r="J1464" s="69"/>
    </row>
    <row r="1465" spans="1:10" x14ac:dyDescent="0.3">
      <c r="A1465" s="84">
        <v>1464</v>
      </c>
      <c r="B1465" s="84" t="s">
        <v>2375</v>
      </c>
      <c r="C1465" s="84" t="s">
        <v>391</v>
      </c>
      <c r="D1465" s="115" t="s">
        <v>2376</v>
      </c>
      <c r="E1465" s="85" t="s">
        <v>601</v>
      </c>
      <c r="F1465" s="85">
        <v>46133</v>
      </c>
      <c r="G1465" s="85" t="s">
        <v>611</v>
      </c>
      <c r="H1465" s="85" t="str">
        <f>TEXT(Table7[[#This Row],[EXPIRY DATE]],"YYY")</f>
        <v>2026</v>
      </c>
      <c r="I1465" s="84" t="s">
        <v>791</v>
      </c>
      <c r="J1465" s="69"/>
    </row>
    <row r="1466" spans="1:10" x14ac:dyDescent="0.3">
      <c r="A1466" s="84">
        <v>1465</v>
      </c>
      <c r="B1466" s="84" t="s">
        <v>2377</v>
      </c>
      <c r="C1466" s="84" t="s">
        <v>391</v>
      </c>
      <c r="D1466" s="115" t="s">
        <v>2378</v>
      </c>
      <c r="E1466" s="85" t="s">
        <v>2379</v>
      </c>
      <c r="F1466" s="85">
        <v>46139</v>
      </c>
      <c r="G1466" s="85" t="s">
        <v>611</v>
      </c>
      <c r="H1466" s="85" t="str">
        <f>TEXT(Table7[[#This Row],[EXPIRY DATE]],"YYY")</f>
        <v>2026</v>
      </c>
      <c r="I1466" s="84" t="s">
        <v>791</v>
      </c>
      <c r="J1466" s="69"/>
    </row>
    <row r="1467" spans="1:10" ht="20.399999999999999" x14ac:dyDescent="0.3">
      <c r="A1467" s="84">
        <v>1466</v>
      </c>
      <c r="B1467" s="84" t="s">
        <v>2380</v>
      </c>
      <c r="C1467" s="84" t="s">
        <v>391</v>
      </c>
      <c r="D1467" s="115" t="s">
        <v>2381</v>
      </c>
      <c r="E1467" s="85" t="s">
        <v>2379</v>
      </c>
      <c r="F1467" s="85">
        <v>46147</v>
      </c>
      <c r="G1467" s="85" t="s">
        <v>838</v>
      </c>
      <c r="H1467" s="85" t="str">
        <f>TEXT(Table7[[#This Row],[EXPIRY DATE]],"YYY")</f>
        <v>2026</v>
      </c>
      <c r="I1467" s="84" t="s">
        <v>791</v>
      </c>
      <c r="J1467" s="69"/>
    </row>
    <row r="1468" spans="1:10" x14ac:dyDescent="0.3">
      <c r="A1468" s="84">
        <v>1467</v>
      </c>
      <c r="B1468" s="84" t="s">
        <v>2382</v>
      </c>
      <c r="C1468" s="84" t="s">
        <v>391</v>
      </c>
      <c r="D1468" s="115" t="s">
        <v>2383</v>
      </c>
      <c r="E1468" s="85" t="s">
        <v>2384</v>
      </c>
      <c r="F1468" s="85">
        <v>46149</v>
      </c>
      <c r="G1468" s="85" t="s">
        <v>838</v>
      </c>
      <c r="H1468" s="85" t="str">
        <f>TEXT(Table7[[#This Row],[EXPIRY DATE]],"YYY")</f>
        <v>2026</v>
      </c>
      <c r="I1468" s="84" t="s">
        <v>791</v>
      </c>
      <c r="J1468" s="69"/>
    </row>
    <row r="1469" spans="1:10" x14ac:dyDescent="0.3">
      <c r="A1469" s="84">
        <v>1468</v>
      </c>
      <c r="B1469" s="84" t="s">
        <v>2385</v>
      </c>
      <c r="C1469" s="84" t="s">
        <v>391</v>
      </c>
      <c r="D1469" s="115" t="s">
        <v>2386</v>
      </c>
      <c r="E1469" s="85" t="s">
        <v>590</v>
      </c>
      <c r="F1469" s="85">
        <v>46172</v>
      </c>
      <c r="G1469" s="85" t="s">
        <v>838</v>
      </c>
      <c r="H1469" s="85" t="str">
        <f>TEXT(Table7[[#This Row],[EXPIRY DATE]],"YYY")</f>
        <v>2026</v>
      </c>
      <c r="I1469" s="84" t="s">
        <v>1215</v>
      </c>
      <c r="J1469" s="69"/>
    </row>
    <row r="1470" spans="1:10" x14ac:dyDescent="0.3">
      <c r="A1470" s="84">
        <v>1469</v>
      </c>
      <c r="B1470" s="84" t="s">
        <v>2387</v>
      </c>
      <c r="C1470" s="84" t="s">
        <v>391</v>
      </c>
      <c r="D1470" s="115" t="s">
        <v>2388</v>
      </c>
      <c r="E1470" s="85" t="s">
        <v>601</v>
      </c>
      <c r="F1470" s="85">
        <v>46191</v>
      </c>
      <c r="G1470" s="85" t="s">
        <v>1139</v>
      </c>
      <c r="H1470" s="85" t="str">
        <f>TEXT(Table7[[#This Row],[EXPIRY DATE]],"YYY")</f>
        <v>2026</v>
      </c>
      <c r="I1470" s="84" t="s">
        <v>791</v>
      </c>
      <c r="J1470" s="69"/>
    </row>
    <row r="1471" spans="1:10" x14ac:dyDescent="0.3">
      <c r="A1471" s="84">
        <v>1470</v>
      </c>
      <c r="B1471" s="84" t="s">
        <v>2385</v>
      </c>
      <c r="C1471" s="84" t="s">
        <v>391</v>
      </c>
      <c r="D1471" s="115" t="s">
        <v>2386</v>
      </c>
      <c r="E1471" s="85" t="s">
        <v>590</v>
      </c>
      <c r="F1471" s="85">
        <v>46338</v>
      </c>
      <c r="G1471" s="85" t="s">
        <v>842</v>
      </c>
      <c r="H1471" s="85" t="str">
        <f>TEXT(Table7[[#This Row],[EXPIRY DATE]],"YYY")</f>
        <v>2026</v>
      </c>
      <c r="I1471" s="84" t="s">
        <v>791</v>
      </c>
      <c r="J1471" s="69"/>
    </row>
    <row r="1472" spans="1:10" x14ac:dyDescent="0.3">
      <c r="A1472" s="84">
        <v>1471</v>
      </c>
      <c r="B1472" s="84" t="s">
        <v>2389</v>
      </c>
      <c r="C1472" s="84" t="s">
        <v>391</v>
      </c>
      <c r="D1472" s="115" t="s">
        <v>2390</v>
      </c>
      <c r="E1472" s="85" t="s">
        <v>2379</v>
      </c>
      <c r="F1472" s="85">
        <v>46363</v>
      </c>
      <c r="G1472" s="85" t="s">
        <v>625</v>
      </c>
      <c r="H1472" s="85" t="str">
        <f>TEXT(Table7[[#This Row],[EXPIRY DATE]],"YYY")</f>
        <v>2026</v>
      </c>
      <c r="I1472" s="84" t="s">
        <v>791</v>
      </c>
      <c r="J1472" s="69"/>
    </row>
    <row r="1473" spans="1:10" x14ac:dyDescent="0.3">
      <c r="A1473" s="84">
        <v>1472</v>
      </c>
      <c r="B1473" s="84" t="s">
        <v>2391</v>
      </c>
      <c r="C1473" s="84" t="s">
        <v>391</v>
      </c>
      <c r="D1473" s="115" t="s">
        <v>2392</v>
      </c>
      <c r="E1473" s="85" t="s">
        <v>2393</v>
      </c>
      <c r="F1473" s="85">
        <v>46387</v>
      </c>
      <c r="G1473" s="85" t="s">
        <v>625</v>
      </c>
      <c r="H1473" s="85" t="str">
        <f>TEXT(Table7[[#This Row],[EXPIRY DATE]],"YYY")</f>
        <v>2026</v>
      </c>
      <c r="I1473" s="84" t="s">
        <v>791</v>
      </c>
      <c r="J1473" s="69"/>
    </row>
    <row r="1474" spans="1:10" x14ac:dyDescent="0.3">
      <c r="A1474" s="84">
        <v>1473</v>
      </c>
      <c r="B1474" s="84" t="s">
        <v>743</v>
      </c>
      <c r="C1474" s="84" t="s">
        <v>391</v>
      </c>
      <c r="D1474" s="115" t="s">
        <v>2394</v>
      </c>
      <c r="E1474" s="85" t="s">
        <v>1225</v>
      </c>
      <c r="F1474" s="85">
        <v>46395</v>
      </c>
      <c r="G1474" s="85" t="str">
        <f>TEXT(Table7[[#This Row],[EXPIRY DATE]],"MMM")</f>
        <v>Jan</v>
      </c>
      <c r="H1474" s="85" t="str">
        <f>TEXT(Table7[[#This Row],[EXPIRY DATE]],"YYY")</f>
        <v>2027</v>
      </c>
      <c r="I1474" s="85" t="s">
        <v>791</v>
      </c>
      <c r="J1474" s="69"/>
    </row>
    <row r="1475" spans="1:10" x14ac:dyDescent="0.3">
      <c r="A1475" s="84">
        <v>1474</v>
      </c>
      <c r="B1475" s="84" t="s">
        <v>2395</v>
      </c>
      <c r="C1475" s="84" t="s">
        <v>391</v>
      </c>
      <c r="D1475" s="115" t="s">
        <v>2396</v>
      </c>
      <c r="E1475" s="85" t="s">
        <v>601</v>
      </c>
      <c r="F1475" s="85">
        <v>47134</v>
      </c>
      <c r="G1475" s="85" t="s">
        <v>936</v>
      </c>
      <c r="H1475" s="85" t="str">
        <f>TEXT(Table7[[#This Row],[EXPIRY DATE]],"YYY")</f>
        <v>2029</v>
      </c>
      <c r="I1475" s="84" t="s">
        <v>791</v>
      </c>
      <c r="J1475" s="69"/>
    </row>
    <row r="1476" spans="1:10" x14ac:dyDescent="0.3">
      <c r="A1476" s="84">
        <v>1475</v>
      </c>
      <c r="B1476" s="84" t="s">
        <v>2397</v>
      </c>
      <c r="C1476" s="92" t="s">
        <v>391</v>
      </c>
      <c r="D1476" s="119" t="s">
        <v>2398</v>
      </c>
      <c r="E1476" s="93" t="s">
        <v>2296</v>
      </c>
      <c r="F1476" s="93" t="s">
        <v>766</v>
      </c>
      <c r="G1476" s="93" t="str">
        <f>TEXT(Table7[[#This Row],[EXPIRY DATE]],"MMM")</f>
        <v>CLOSED</v>
      </c>
      <c r="H1476" s="93" t="str">
        <f>TEXT(Table7[[#This Row],[EXPIRY DATE]],"YYY")</f>
        <v>CLOSED</v>
      </c>
      <c r="I1476" s="93" t="s">
        <v>791</v>
      </c>
      <c r="J1476" s="75"/>
    </row>
    <row r="1477" spans="1:10" x14ac:dyDescent="0.3">
      <c r="A1477" s="84">
        <v>1476</v>
      </c>
      <c r="B1477" s="84" t="s">
        <v>2399</v>
      </c>
      <c r="C1477" s="84" t="s">
        <v>391</v>
      </c>
      <c r="D1477" s="115" t="s">
        <v>2400</v>
      </c>
      <c r="E1477" s="85" t="s">
        <v>949</v>
      </c>
      <c r="F1477" s="85" t="s">
        <v>629</v>
      </c>
      <c r="G1477" s="85" t="s">
        <v>629</v>
      </c>
      <c r="H1477" s="85" t="str">
        <f>TEXT(Table7[[#This Row],[EXPIRY DATE]],"YYY")</f>
        <v>LIFETIME</v>
      </c>
      <c r="I1477" s="84" t="s">
        <v>602</v>
      </c>
      <c r="J1477" s="69"/>
    </row>
    <row r="1478" spans="1:10" x14ac:dyDescent="0.3">
      <c r="A1478" s="84">
        <v>1477</v>
      </c>
      <c r="B1478" s="84" t="s">
        <v>2401</v>
      </c>
      <c r="C1478" s="84" t="s">
        <v>391</v>
      </c>
      <c r="D1478" s="115" t="s">
        <v>2402</v>
      </c>
      <c r="E1478" s="85" t="s">
        <v>1225</v>
      </c>
      <c r="F1478" s="85" t="s">
        <v>81</v>
      </c>
      <c r="G1478" s="85" t="str">
        <f>TEXT(Table7[[#This Row],[EXPIRY DATE]],"MMM")</f>
        <v>NA</v>
      </c>
      <c r="H1478" s="85" t="str">
        <f>TEXT(Table7[[#This Row],[EXPIRY DATE]],"YYY")</f>
        <v>NA</v>
      </c>
      <c r="I1478" s="85" t="s">
        <v>791</v>
      </c>
      <c r="J1478" s="69"/>
    </row>
    <row r="1479" spans="1:10" x14ac:dyDescent="0.3">
      <c r="A1479" s="84">
        <v>1478</v>
      </c>
      <c r="B1479" s="84" t="s">
        <v>2403</v>
      </c>
      <c r="C1479" s="92" t="s">
        <v>391</v>
      </c>
      <c r="D1479" s="119" t="s">
        <v>2404</v>
      </c>
      <c r="E1479" s="93" t="s">
        <v>2115</v>
      </c>
      <c r="F1479" s="93" t="s">
        <v>766</v>
      </c>
      <c r="G1479" s="93" t="str">
        <f>TEXT(Table7[[#This Row],[EXPIRY DATE]],"MMM")</f>
        <v>CLOSED</v>
      </c>
      <c r="H1479" s="93" t="str">
        <f>TEXT(Table7[[#This Row],[EXPIRY DATE]],"YYY")</f>
        <v>CLOSED</v>
      </c>
      <c r="I1479" s="93" t="s">
        <v>791</v>
      </c>
      <c r="J1479" s="75"/>
    </row>
    <row r="1480" spans="1:10" x14ac:dyDescent="0.3">
      <c r="A1480" s="84">
        <v>1479</v>
      </c>
      <c r="B1480" s="84" t="s">
        <v>2405</v>
      </c>
      <c r="C1480" s="84" t="s">
        <v>391</v>
      </c>
      <c r="D1480" s="115" t="s">
        <v>2406</v>
      </c>
      <c r="E1480" s="85" t="s">
        <v>949</v>
      </c>
      <c r="F1480" s="85" t="s">
        <v>629</v>
      </c>
      <c r="G1480" s="85" t="str">
        <f>TEXT(Table7[[#This Row],[EXPIRY DATE]],"MMM")</f>
        <v>LIFETIME</v>
      </c>
      <c r="H1480" s="85" t="str">
        <f>TEXT(Table7[[#This Row],[EXPIRY DATE]],"YYY")</f>
        <v>LIFETIME</v>
      </c>
      <c r="I1480" s="84" t="s">
        <v>602</v>
      </c>
      <c r="J1480" s="69"/>
    </row>
    <row r="1481" spans="1:10" x14ac:dyDescent="0.3">
      <c r="A1481" s="84">
        <v>1480</v>
      </c>
      <c r="B1481" s="84" t="s">
        <v>2407</v>
      </c>
      <c r="C1481" s="84" t="s">
        <v>2408</v>
      </c>
      <c r="D1481" s="115" t="s">
        <v>2409</v>
      </c>
      <c r="E1481" s="85" t="s">
        <v>2410</v>
      </c>
      <c r="F1481" s="85" t="s">
        <v>915</v>
      </c>
      <c r="G1481" s="85" t="str">
        <f>TEXT(Table7[[#This Row],[EXPIRY DATE]],"MMM")</f>
        <v>DONE BY COMPANY</v>
      </c>
      <c r="H1481" s="85" t="str">
        <f>TEXT(Table7[[#This Row],[EXPIRY DATE]],"YYY")</f>
        <v>DONE BY COMPANY</v>
      </c>
      <c r="I1481" s="84" t="s">
        <v>2411</v>
      </c>
      <c r="J1481" s="69"/>
    </row>
    <row r="1482" spans="1:10" x14ac:dyDescent="0.3">
      <c r="A1482" s="84">
        <v>1481</v>
      </c>
      <c r="B1482" s="84" t="s">
        <v>2412</v>
      </c>
      <c r="C1482" s="84" t="s">
        <v>2413</v>
      </c>
      <c r="D1482" s="115" t="s">
        <v>2414</v>
      </c>
      <c r="E1482" s="85" t="s">
        <v>605</v>
      </c>
      <c r="F1482" s="85">
        <v>45321</v>
      </c>
      <c r="G1482" s="85" t="str">
        <f>TEXT(Table7[[#This Row],[EXPIRY DATE]],"MMM")</f>
        <v>Jan</v>
      </c>
      <c r="H1482" s="85" t="str">
        <f>TEXT(Table7[[#This Row],[EXPIRY DATE]],"YYY")</f>
        <v>2024</v>
      </c>
      <c r="I1482" s="85" t="s">
        <v>791</v>
      </c>
      <c r="J1482" s="69"/>
    </row>
    <row r="1483" spans="1:10" x14ac:dyDescent="0.3">
      <c r="A1483" s="84">
        <v>1482</v>
      </c>
      <c r="B1483" s="84" t="s">
        <v>2283</v>
      </c>
      <c r="C1483" s="84" t="s">
        <v>2413</v>
      </c>
      <c r="D1483" s="115" t="s">
        <v>2414</v>
      </c>
      <c r="E1483" s="85" t="s">
        <v>605</v>
      </c>
      <c r="F1483" s="85">
        <v>46387</v>
      </c>
      <c r="G1483" s="85" t="str">
        <f>TEXT(Table7[[#This Row],[EXPIRY DATE]],"MMM")</f>
        <v>Dec</v>
      </c>
      <c r="H1483" s="85" t="str">
        <f>TEXT(Table7[[#This Row],[EXPIRY DATE]],"YYY")</f>
        <v>2026</v>
      </c>
      <c r="I1483" s="84" t="s">
        <v>602</v>
      </c>
      <c r="J1483" s="69"/>
    </row>
    <row r="1484" spans="1:10" x14ac:dyDescent="0.3">
      <c r="A1484" s="84">
        <v>1483</v>
      </c>
      <c r="B1484" s="84" t="s">
        <v>2283</v>
      </c>
      <c r="C1484" s="84" t="s">
        <v>2413</v>
      </c>
      <c r="D1484" s="115" t="s">
        <v>2414</v>
      </c>
      <c r="E1484" s="85" t="s">
        <v>605</v>
      </c>
      <c r="F1484" s="85">
        <v>46706</v>
      </c>
      <c r="G1484" s="85" t="str">
        <f>TEXT(Table7[[#This Row],[EXPIRY DATE]],"MMM")</f>
        <v>Nov</v>
      </c>
      <c r="H1484" s="85" t="str">
        <f>TEXT(Table7[[#This Row],[EXPIRY DATE]],"YYY")</f>
        <v>2027</v>
      </c>
      <c r="I1484" s="85" t="s">
        <v>791</v>
      </c>
      <c r="J1484" s="69"/>
    </row>
    <row r="1485" spans="1:10" x14ac:dyDescent="0.3">
      <c r="A1485" s="84">
        <v>1484</v>
      </c>
      <c r="B1485" s="84" t="s">
        <v>2412</v>
      </c>
      <c r="C1485" s="84" t="s">
        <v>2413</v>
      </c>
      <c r="D1485" s="115" t="s">
        <v>2414</v>
      </c>
      <c r="E1485" s="85" t="s">
        <v>605</v>
      </c>
      <c r="F1485" s="85" t="s">
        <v>81</v>
      </c>
      <c r="G1485" s="85" t="str">
        <f>TEXT(Table7[[#This Row],[EXPIRY DATE]],"MMM")</f>
        <v>NA</v>
      </c>
      <c r="H1485" s="85" t="str">
        <f>TEXT(Table7[[#This Row],[EXPIRY DATE]],"YYY")</f>
        <v>NA</v>
      </c>
      <c r="I1485" s="84" t="s">
        <v>621</v>
      </c>
      <c r="J1485" s="69"/>
    </row>
    <row r="1486" spans="1:10" x14ac:dyDescent="0.3">
      <c r="A1486" s="84">
        <v>1485</v>
      </c>
      <c r="B1486" s="84" t="s">
        <v>2412</v>
      </c>
      <c r="C1486" s="102" t="s">
        <v>2413</v>
      </c>
      <c r="D1486" s="115" t="s">
        <v>2414</v>
      </c>
      <c r="E1486" s="103" t="s">
        <v>605</v>
      </c>
      <c r="F1486" s="103" t="s">
        <v>817</v>
      </c>
      <c r="G1486" s="103" t="str">
        <f>TEXT(Table7[[#This Row],[EXPIRY DATE]],"MMM")</f>
        <v>DORMANT</v>
      </c>
      <c r="H1486" s="103" t="str">
        <f>TEXT(Table7[[#This Row],[EXPIRY DATE]],"YYY")</f>
        <v>DORMANT</v>
      </c>
      <c r="I1486" s="102" t="s">
        <v>607</v>
      </c>
      <c r="J1486" s="77"/>
    </row>
    <row r="1487" spans="1:10" x14ac:dyDescent="0.3">
      <c r="A1487" s="84">
        <v>1486</v>
      </c>
      <c r="B1487" s="84" t="s">
        <v>2415</v>
      </c>
      <c r="C1487" s="84" t="s">
        <v>347</v>
      </c>
      <c r="D1487" s="115" t="s">
        <v>2416</v>
      </c>
      <c r="E1487" s="85" t="s">
        <v>616</v>
      </c>
      <c r="F1487" s="85">
        <v>46022</v>
      </c>
      <c r="G1487" s="85" t="str">
        <f>TEXT(Table7[[#This Row],[EXPIRY DATE]],"MMM")</f>
        <v>Dec</v>
      </c>
      <c r="H1487" s="85" t="str">
        <f>TEXT(Table7[[#This Row],[EXPIRY DATE]],"YYY")</f>
        <v>2025</v>
      </c>
      <c r="I1487" s="84" t="s">
        <v>602</v>
      </c>
      <c r="J1487" s="69"/>
    </row>
    <row r="1488" spans="1:10" x14ac:dyDescent="0.3">
      <c r="A1488" s="84">
        <v>1487</v>
      </c>
      <c r="B1488" s="84" t="s">
        <v>1118</v>
      </c>
      <c r="C1488" s="84" t="s">
        <v>347</v>
      </c>
      <c r="D1488" s="115" t="s">
        <v>2417</v>
      </c>
      <c r="E1488" s="85" t="s">
        <v>601</v>
      </c>
      <c r="F1488" s="85">
        <v>46073</v>
      </c>
      <c r="G1488" s="85" t="s">
        <v>887</v>
      </c>
      <c r="H1488" s="85" t="str">
        <f>TEXT(Table7[[#This Row],[EXPIRY DATE]],"YYY")</f>
        <v>2026</v>
      </c>
      <c r="I1488" s="84" t="s">
        <v>602</v>
      </c>
      <c r="J1488" s="69"/>
    </row>
    <row r="1489" spans="1:10" x14ac:dyDescent="0.3">
      <c r="A1489" s="84">
        <v>1488</v>
      </c>
      <c r="B1489" s="84" t="s">
        <v>1118</v>
      </c>
      <c r="C1489" s="84" t="s">
        <v>347</v>
      </c>
      <c r="D1489" s="115" t="s">
        <v>2417</v>
      </c>
      <c r="E1489" s="85" t="s">
        <v>601</v>
      </c>
      <c r="F1489" s="85">
        <v>46073</v>
      </c>
      <c r="G1489" s="85" t="s">
        <v>887</v>
      </c>
      <c r="H1489" s="85" t="str">
        <f>TEXT(Table7[[#This Row],[EXPIRY DATE]],"YYY")</f>
        <v>2026</v>
      </c>
      <c r="I1489" s="84" t="s">
        <v>602</v>
      </c>
      <c r="J1489" s="69"/>
    </row>
    <row r="1490" spans="1:10" ht="20.399999999999999" x14ac:dyDescent="0.3">
      <c r="A1490" s="84">
        <v>1489</v>
      </c>
      <c r="B1490" s="84" t="s">
        <v>2418</v>
      </c>
      <c r="C1490" s="84" t="s">
        <v>347</v>
      </c>
      <c r="D1490" s="115" t="s">
        <v>2419</v>
      </c>
      <c r="E1490" s="85" t="s">
        <v>605</v>
      </c>
      <c r="F1490" s="85">
        <v>46752</v>
      </c>
      <c r="G1490" s="85" t="s">
        <v>625</v>
      </c>
      <c r="H1490" s="85" t="str">
        <f>TEXT(Table7[[#This Row],[EXPIRY DATE]],"YYY")</f>
        <v>2027</v>
      </c>
      <c r="I1490" s="84" t="s">
        <v>602</v>
      </c>
      <c r="J1490" s="69"/>
    </row>
    <row r="1491" spans="1:10" x14ac:dyDescent="0.3">
      <c r="A1491" s="84">
        <v>1490</v>
      </c>
      <c r="B1491" s="84" t="s">
        <v>2420</v>
      </c>
      <c r="C1491" s="84" t="s">
        <v>347</v>
      </c>
      <c r="D1491" s="115" t="s">
        <v>2421</v>
      </c>
      <c r="E1491" s="85" t="s">
        <v>605</v>
      </c>
      <c r="F1491" s="85">
        <v>46843</v>
      </c>
      <c r="G1491" s="85" t="str">
        <f>TEXT(Table7[[#This Row],[EXPIRY DATE]],"MMM")</f>
        <v>Mar</v>
      </c>
      <c r="H1491" s="85" t="str">
        <f>TEXT(Table7[[#This Row],[EXPIRY DATE]],"YYY")</f>
        <v>2028</v>
      </c>
      <c r="I1491" s="84" t="s">
        <v>602</v>
      </c>
      <c r="J1491" s="69"/>
    </row>
    <row r="1492" spans="1:10" ht="20.399999999999999" x14ac:dyDescent="0.3">
      <c r="A1492" s="84">
        <v>1491</v>
      </c>
      <c r="B1492" s="84" t="s">
        <v>2422</v>
      </c>
      <c r="C1492" s="84" t="s">
        <v>347</v>
      </c>
      <c r="D1492" s="115" t="s">
        <v>2423</v>
      </c>
      <c r="E1492" s="85" t="s">
        <v>605</v>
      </c>
      <c r="F1492" s="85">
        <v>47118</v>
      </c>
      <c r="G1492" s="85" t="str">
        <f>TEXT(Table7[[#This Row],[EXPIRY DATE]],"MMM")</f>
        <v>Dec</v>
      </c>
      <c r="H1492" s="85" t="str">
        <f>TEXT(Table7[[#This Row],[EXPIRY DATE]],"YYY")</f>
        <v>2028</v>
      </c>
      <c r="I1492" s="84" t="s">
        <v>602</v>
      </c>
      <c r="J1492" s="69"/>
    </row>
    <row r="1493" spans="1:10" x14ac:dyDescent="0.3">
      <c r="A1493" s="84">
        <v>1492</v>
      </c>
      <c r="B1493" s="84" t="s">
        <v>2424</v>
      </c>
      <c r="C1493" s="84" t="s">
        <v>347</v>
      </c>
      <c r="D1493" s="115" t="s">
        <v>2425</v>
      </c>
      <c r="E1493" s="85" t="s">
        <v>605</v>
      </c>
      <c r="F1493" s="85">
        <v>47118</v>
      </c>
      <c r="G1493" s="85" t="str">
        <f>TEXT(Table7[[#This Row],[EXPIRY DATE]],"MMM")</f>
        <v>Dec</v>
      </c>
      <c r="H1493" s="85" t="str">
        <f>TEXT(Table7[[#This Row],[EXPIRY DATE]],"YYY")</f>
        <v>2028</v>
      </c>
      <c r="I1493" s="84" t="s">
        <v>602</v>
      </c>
      <c r="J1493" s="69"/>
    </row>
    <row r="1494" spans="1:10" ht="30.6" x14ac:dyDescent="0.3">
      <c r="A1494" s="84">
        <v>1493</v>
      </c>
      <c r="B1494" s="84" t="s">
        <v>2426</v>
      </c>
      <c r="C1494" s="84" t="s">
        <v>347</v>
      </c>
      <c r="D1494" s="115" t="s">
        <v>2427</v>
      </c>
      <c r="E1494" s="85" t="s">
        <v>605</v>
      </c>
      <c r="F1494" s="85">
        <v>47483</v>
      </c>
      <c r="G1494" s="85" t="s">
        <v>625</v>
      </c>
      <c r="H1494" s="85" t="str">
        <f>TEXT(Table7[[#This Row],[EXPIRY DATE]],"YYY")</f>
        <v>2029</v>
      </c>
      <c r="I1494" s="84" t="s">
        <v>602</v>
      </c>
      <c r="J1494" s="69"/>
    </row>
    <row r="1495" spans="1:10" ht="20.399999999999999" x14ac:dyDescent="0.3">
      <c r="A1495" s="84">
        <v>1494</v>
      </c>
      <c r="B1495" s="84" t="s">
        <v>2428</v>
      </c>
      <c r="C1495" s="84" t="s">
        <v>347</v>
      </c>
      <c r="D1495" s="115" t="s">
        <v>2429</v>
      </c>
      <c r="E1495" s="85" t="s">
        <v>590</v>
      </c>
      <c r="F1495" s="85">
        <v>47483</v>
      </c>
      <c r="G1495" s="85" t="s">
        <v>625</v>
      </c>
      <c r="H1495" s="85" t="str">
        <f>TEXT(Table7[[#This Row],[EXPIRY DATE]],"YYY")</f>
        <v>2029</v>
      </c>
      <c r="I1495" s="84" t="s">
        <v>602</v>
      </c>
      <c r="J1495" s="69"/>
    </row>
    <row r="1496" spans="1:10" ht="20.399999999999999" x14ac:dyDescent="0.3">
      <c r="A1496" s="84">
        <v>1495</v>
      </c>
      <c r="B1496" s="84" t="s">
        <v>2430</v>
      </c>
      <c r="C1496" s="84" t="s">
        <v>2431</v>
      </c>
      <c r="D1496" s="115" t="s">
        <v>2432</v>
      </c>
      <c r="E1496" s="85" t="s">
        <v>1225</v>
      </c>
      <c r="F1496" s="85">
        <v>46309</v>
      </c>
      <c r="G1496" s="85" t="s">
        <v>901</v>
      </c>
      <c r="H1496" s="85" t="str">
        <f>TEXT(Table7[[#This Row],[EXPIRY DATE]],"YYY")</f>
        <v>2026</v>
      </c>
      <c r="I1496" s="84" t="s">
        <v>592</v>
      </c>
      <c r="J1496" s="69"/>
    </row>
    <row r="1497" spans="1:10" ht="20.399999999999999" x14ac:dyDescent="0.3">
      <c r="A1497" s="84">
        <v>1496</v>
      </c>
      <c r="B1497" s="84" t="s">
        <v>2433</v>
      </c>
      <c r="C1497" s="84" t="s">
        <v>2434</v>
      </c>
      <c r="D1497" s="115" t="s">
        <v>2435</v>
      </c>
      <c r="E1497" s="85" t="s">
        <v>605</v>
      </c>
      <c r="F1497" s="85">
        <v>46112</v>
      </c>
      <c r="G1497" s="85" t="str">
        <f>TEXT(Table7[[#This Row],[EXPIRY DATE]],"MMM")</f>
        <v>Mar</v>
      </c>
      <c r="H1497" s="85" t="str">
        <f>TEXT(Table7[[#This Row],[EXPIRY DATE]],"YYY")</f>
        <v>2026</v>
      </c>
      <c r="I1497" s="84" t="s">
        <v>607</v>
      </c>
      <c r="J1497" s="69"/>
    </row>
    <row r="1498" spans="1:10" ht="20.399999999999999" x14ac:dyDescent="0.3">
      <c r="A1498" s="84">
        <v>1497</v>
      </c>
      <c r="B1498" s="84" t="s">
        <v>2433</v>
      </c>
      <c r="C1498" s="84" t="s">
        <v>2434</v>
      </c>
      <c r="D1498" s="115" t="s">
        <v>2435</v>
      </c>
      <c r="E1498" s="85" t="s">
        <v>605</v>
      </c>
      <c r="F1498" s="85">
        <v>47118</v>
      </c>
      <c r="G1498" s="85" t="str">
        <f>TEXT(Table7[[#This Row],[EXPIRY DATE]],"MMM")</f>
        <v>Dec</v>
      </c>
      <c r="H1498" s="85" t="str">
        <f>TEXT(Table7[[#This Row],[EXPIRY DATE]],"YYY")</f>
        <v>2028</v>
      </c>
      <c r="I1498" s="84" t="s">
        <v>602</v>
      </c>
      <c r="J1498" s="69"/>
    </row>
    <row r="1499" spans="1:10" x14ac:dyDescent="0.3">
      <c r="A1499" s="84">
        <v>1498</v>
      </c>
      <c r="B1499" s="84" t="s">
        <v>2436</v>
      </c>
      <c r="C1499" s="84" t="s">
        <v>2437</v>
      </c>
      <c r="D1499" s="115" t="s">
        <v>2438</v>
      </c>
      <c r="E1499" s="85" t="s">
        <v>605</v>
      </c>
      <c r="F1499" s="85">
        <v>46112</v>
      </c>
      <c r="G1499" s="85" t="str">
        <f>TEXT(Table7[[#This Row],[EXPIRY DATE]],"MMM")</f>
        <v>Mar</v>
      </c>
      <c r="H1499" s="85" t="str">
        <f>TEXT(Table7[[#This Row],[EXPIRY DATE]],"YYY")</f>
        <v>2026</v>
      </c>
      <c r="I1499" s="84" t="s">
        <v>607</v>
      </c>
      <c r="J1499" s="69"/>
    </row>
    <row r="1500" spans="1:10" x14ac:dyDescent="0.3">
      <c r="A1500" s="84">
        <v>1499</v>
      </c>
      <c r="B1500" s="84" t="s">
        <v>2439</v>
      </c>
      <c r="C1500" s="84" t="s">
        <v>2437</v>
      </c>
      <c r="D1500" s="115" t="s">
        <v>2440</v>
      </c>
      <c r="E1500" s="85" t="s">
        <v>616</v>
      </c>
      <c r="F1500" s="85" t="s">
        <v>2293</v>
      </c>
      <c r="G1500" s="85" t="str">
        <f>TEXT(Table7[[#This Row],[EXPIRY DATE]],"MMM")</f>
        <v xml:space="preserve">DORMANT </v>
      </c>
      <c r="H1500" s="85" t="str">
        <f>TEXT(Table7[[#This Row],[EXPIRY DATE]],"YYY")</f>
        <v xml:space="preserve">DORMANT </v>
      </c>
      <c r="I1500" s="84" t="s">
        <v>602</v>
      </c>
      <c r="J1500" s="69"/>
    </row>
    <row r="1501" spans="1:10" x14ac:dyDescent="0.3">
      <c r="A1501" s="84">
        <v>1500</v>
      </c>
      <c r="B1501" s="84" t="s">
        <v>2439</v>
      </c>
      <c r="C1501" s="84" t="s">
        <v>2437</v>
      </c>
      <c r="D1501" s="115" t="s">
        <v>2441</v>
      </c>
      <c r="E1501" s="85" t="s">
        <v>616</v>
      </c>
      <c r="F1501" s="85" t="s">
        <v>2293</v>
      </c>
      <c r="G1501" s="85" t="str">
        <f>TEXT(Table7[[#This Row],[EXPIRY DATE]],"MMM")</f>
        <v xml:space="preserve">DORMANT </v>
      </c>
      <c r="H1501" s="85" t="str">
        <f>TEXT(Table7[[#This Row],[EXPIRY DATE]],"YYY")</f>
        <v xml:space="preserve">DORMANT </v>
      </c>
      <c r="I1501" s="84" t="s">
        <v>592</v>
      </c>
      <c r="J1501" s="69"/>
    </row>
    <row r="1502" spans="1:10" x14ac:dyDescent="0.3">
      <c r="A1502" s="84">
        <v>1501</v>
      </c>
      <c r="B1502" s="84" t="s">
        <v>2442</v>
      </c>
      <c r="C1502" s="84" t="s">
        <v>2443</v>
      </c>
      <c r="D1502" s="115" t="s">
        <v>2444</v>
      </c>
      <c r="E1502" s="85" t="s">
        <v>2445</v>
      </c>
      <c r="F1502" s="84" t="s">
        <v>629</v>
      </c>
      <c r="G1502" s="85" t="s">
        <v>629</v>
      </c>
      <c r="H1502" s="85" t="str">
        <f>TEXT(Table7[[#This Row],[EXPIRY DATE]],"YYY")</f>
        <v>LIFETIME</v>
      </c>
      <c r="I1502" s="84" t="s">
        <v>602</v>
      </c>
      <c r="J1502" s="69"/>
    </row>
    <row r="1503" spans="1:10" x14ac:dyDescent="0.3">
      <c r="A1503" s="84">
        <v>1502</v>
      </c>
      <c r="B1503" s="84" t="s">
        <v>2420</v>
      </c>
      <c r="C1503" s="84" t="s">
        <v>2446</v>
      </c>
      <c r="D1503" s="115" t="s">
        <v>2447</v>
      </c>
      <c r="E1503" s="85" t="s">
        <v>605</v>
      </c>
      <c r="F1503" s="85">
        <v>47118</v>
      </c>
      <c r="G1503" s="85" t="str">
        <f>TEXT(Table7[[#This Row],[EXPIRY DATE]],"MMM")</f>
        <v>Dec</v>
      </c>
      <c r="H1503" s="85" t="str">
        <f>TEXT(Table7[[#This Row],[EXPIRY DATE]],"YYY")</f>
        <v>2028</v>
      </c>
      <c r="I1503" s="84" t="s">
        <v>602</v>
      </c>
      <c r="J1503" s="69"/>
    </row>
    <row r="1504" spans="1:10" x14ac:dyDescent="0.3">
      <c r="A1504" s="84">
        <v>1503</v>
      </c>
      <c r="B1504" s="84" t="s">
        <v>2448</v>
      </c>
      <c r="C1504" s="92" t="s">
        <v>2446</v>
      </c>
      <c r="D1504" s="119" t="s">
        <v>2447</v>
      </c>
      <c r="E1504" s="93" t="s">
        <v>605</v>
      </c>
      <c r="F1504" s="93" t="s">
        <v>766</v>
      </c>
      <c r="G1504" s="93" t="str">
        <f>TEXT(Table7[[#This Row],[EXPIRY DATE]],"MMM")</f>
        <v>CLOSED</v>
      </c>
      <c r="H1504" s="93" t="str">
        <f>TEXT(Table7[[#This Row],[EXPIRY DATE]],"YYY")</f>
        <v>CLOSED</v>
      </c>
      <c r="I1504" s="92" t="s">
        <v>607</v>
      </c>
      <c r="J1504" s="75"/>
    </row>
    <row r="1505" spans="1:10" x14ac:dyDescent="0.3">
      <c r="A1505" s="84">
        <v>1504</v>
      </c>
      <c r="B1505" s="84" t="s">
        <v>2449</v>
      </c>
      <c r="C1505" s="84" t="s">
        <v>2450</v>
      </c>
      <c r="D1505" s="115" t="s">
        <v>2451</v>
      </c>
      <c r="E1505" s="85" t="s">
        <v>610</v>
      </c>
      <c r="F1505" s="85">
        <v>46022</v>
      </c>
      <c r="G1505" s="85" t="str">
        <f>TEXT(Table7[[#This Row],[EXPIRY DATE]],"MMM")</f>
        <v>Dec</v>
      </c>
      <c r="H1505" s="85" t="str">
        <f>TEXT(Table7[[#This Row],[EXPIRY DATE]],"YYY")</f>
        <v>2025</v>
      </c>
      <c r="I1505" s="84" t="s">
        <v>607</v>
      </c>
      <c r="J1505" s="69"/>
    </row>
    <row r="1506" spans="1:10" x14ac:dyDescent="0.3">
      <c r="A1506" s="84">
        <v>1505</v>
      </c>
      <c r="B1506" s="84" t="s">
        <v>2452</v>
      </c>
      <c r="C1506" s="84" t="s">
        <v>2450</v>
      </c>
      <c r="D1506" s="115" t="s">
        <v>2453</v>
      </c>
      <c r="E1506" s="85" t="s">
        <v>595</v>
      </c>
      <c r="F1506" s="85">
        <v>46112</v>
      </c>
      <c r="G1506" s="85" t="str">
        <f>TEXT(Table7[[#This Row],[EXPIRY DATE]],"MMM")</f>
        <v>Mar</v>
      </c>
      <c r="H1506" s="85" t="str">
        <f>TEXT(Table7[[#This Row],[EXPIRY DATE]],"YYY")</f>
        <v>2026</v>
      </c>
      <c r="I1506" s="84" t="s">
        <v>602</v>
      </c>
      <c r="J1506" s="69"/>
    </row>
    <row r="1507" spans="1:10" x14ac:dyDescent="0.3">
      <c r="A1507" s="84">
        <v>1506</v>
      </c>
      <c r="B1507" s="84" t="s">
        <v>2454</v>
      </c>
      <c r="C1507" s="84" t="s">
        <v>2450</v>
      </c>
      <c r="D1507" s="115" t="s">
        <v>2455</v>
      </c>
      <c r="E1507" s="85" t="s">
        <v>2456</v>
      </c>
      <c r="F1507" s="85">
        <v>46112</v>
      </c>
      <c r="G1507" s="85" t="str">
        <f>TEXT(Table7[[#This Row],[EXPIRY DATE]],"MMM")</f>
        <v>Mar</v>
      </c>
      <c r="H1507" s="85" t="str">
        <f>TEXT(Table7[[#This Row],[EXPIRY DATE]],"YYY")</f>
        <v>2026</v>
      </c>
      <c r="I1507" s="84" t="s">
        <v>602</v>
      </c>
      <c r="J1507" s="69"/>
    </row>
    <row r="1508" spans="1:10" x14ac:dyDescent="0.3">
      <c r="A1508" s="84">
        <v>1507</v>
      </c>
      <c r="B1508" s="84" t="s">
        <v>2454</v>
      </c>
      <c r="C1508" s="84" t="s">
        <v>2450</v>
      </c>
      <c r="D1508" s="115" t="s">
        <v>2455</v>
      </c>
      <c r="E1508" s="85" t="s">
        <v>2456</v>
      </c>
      <c r="F1508" s="85">
        <v>46112</v>
      </c>
      <c r="G1508" s="85" t="str">
        <f>TEXT(Table7[[#This Row],[EXPIRY DATE]],"MMM")</f>
        <v>Mar</v>
      </c>
      <c r="H1508" s="85" t="str">
        <f>TEXT(Table7[[#This Row],[EXPIRY DATE]],"YYY")</f>
        <v>2026</v>
      </c>
      <c r="I1508" s="84" t="s">
        <v>607</v>
      </c>
      <c r="J1508" s="69"/>
    </row>
    <row r="1509" spans="1:10" ht="20.399999999999999" x14ac:dyDescent="0.3">
      <c r="A1509" s="84">
        <v>1508</v>
      </c>
      <c r="B1509" s="84" t="s">
        <v>2457</v>
      </c>
      <c r="C1509" s="84" t="s">
        <v>2458</v>
      </c>
      <c r="D1509" s="115" t="s">
        <v>2423</v>
      </c>
      <c r="E1509" s="85" t="s">
        <v>605</v>
      </c>
      <c r="F1509" s="85">
        <v>47118</v>
      </c>
      <c r="G1509" s="85" t="str">
        <f>TEXT(Table7[[#This Row],[EXPIRY DATE]],"MMM")</f>
        <v>Dec</v>
      </c>
      <c r="H1509" s="85" t="str">
        <f>TEXT(Table7[[#This Row],[EXPIRY DATE]],"YYY")</f>
        <v>2028</v>
      </c>
      <c r="I1509" s="84" t="s">
        <v>602</v>
      </c>
      <c r="J1509" s="69"/>
    </row>
    <row r="1510" spans="1:10" x14ac:dyDescent="0.3">
      <c r="A1510" s="84">
        <v>1509</v>
      </c>
      <c r="B1510" s="84" t="s">
        <v>2266</v>
      </c>
      <c r="C1510" s="84" t="s">
        <v>2459</v>
      </c>
      <c r="D1510" s="115" t="s">
        <v>2460</v>
      </c>
      <c r="E1510" s="85"/>
      <c r="F1510" s="85">
        <v>46101</v>
      </c>
      <c r="G1510" s="85" t="str">
        <f>TEXT(Table7[[#This Row],[EXPIRY DATE]],"MMM")</f>
        <v>Mar</v>
      </c>
      <c r="H1510" s="85" t="str">
        <f>TEXT(Table7[[#This Row],[EXPIRY DATE]],"YYY")</f>
        <v>2026</v>
      </c>
      <c r="I1510" s="85" t="s">
        <v>791</v>
      </c>
      <c r="J1510" s="69"/>
    </row>
    <row r="1511" spans="1:10" x14ac:dyDescent="0.3">
      <c r="A1511" s="84">
        <v>1510</v>
      </c>
      <c r="B1511" s="84" t="s">
        <v>2266</v>
      </c>
      <c r="C1511" s="84" t="s">
        <v>2459</v>
      </c>
      <c r="D1511" s="115" t="s">
        <v>2460</v>
      </c>
      <c r="E1511" s="85"/>
      <c r="F1511" s="85" t="s">
        <v>629</v>
      </c>
      <c r="G1511" s="85" t="str">
        <f>TEXT(Table7[[#This Row],[EXPIRY DATE]],"MMM")</f>
        <v>LIFETIME</v>
      </c>
      <c r="H1511" s="85" t="str">
        <f>TEXT(Table7[[#This Row],[EXPIRY DATE]],"YYY")</f>
        <v>LIFETIME</v>
      </c>
      <c r="I1511" s="84" t="s">
        <v>602</v>
      </c>
      <c r="J1511" s="69"/>
    </row>
    <row r="1512" spans="1:10" ht="20.399999999999999" x14ac:dyDescent="0.3">
      <c r="A1512" s="84">
        <v>1511</v>
      </c>
      <c r="B1512" s="84" t="s">
        <v>2461</v>
      </c>
      <c r="C1512" s="84" t="s">
        <v>2462</v>
      </c>
      <c r="D1512" s="115" t="s">
        <v>2463</v>
      </c>
      <c r="E1512" s="85" t="s">
        <v>885</v>
      </c>
      <c r="F1512" s="85" t="s">
        <v>629</v>
      </c>
      <c r="G1512" s="85" t="str">
        <f>TEXT(Table7[[#This Row],[EXPIRY DATE]],"MMM")</f>
        <v>LIFETIME</v>
      </c>
      <c r="H1512" s="85" t="str">
        <f>TEXT(Table7[[#This Row],[EXPIRY DATE]],"YYY")</f>
        <v>LIFETIME</v>
      </c>
      <c r="I1512" s="84" t="s">
        <v>602</v>
      </c>
      <c r="J1512" s="69"/>
    </row>
    <row r="1513" spans="1:10" ht="20.399999999999999" x14ac:dyDescent="0.3">
      <c r="A1513" s="84">
        <v>1512</v>
      </c>
      <c r="B1513" s="84" t="s">
        <v>2461</v>
      </c>
      <c r="C1513" s="92" t="s">
        <v>2462</v>
      </c>
      <c r="D1513" s="119" t="s">
        <v>2463</v>
      </c>
      <c r="E1513" s="93" t="s">
        <v>885</v>
      </c>
      <c r="F1513" s="93" t="s">
        <v>766</v>
      </c>
      <c r="G1513" s="93" t="s">
        <v>619</v>
      </c>
      <c r="H1513" s="93" t="str">
        <f>TEXT(Table7[[#This Row],[EXPIRY DATE]],"YYY")</f>
        <v>CLOSED</v>
      </c>
      <c r="I1513" s="93" t="s">
        <v>791</v>
      </c>
      <c r="J1513" s="75"/>
    </row>
    <row r="1514" spans="1:10" ht="20.399999999999999" x14ac:dyDescent="0.3">
      <c r="A1514" s="84">
        <v>1513</v>
      </c>
      <c r="B1514" s="84" t="s">
        <v>2461</v>
      </c>
      <c r="C1514" s="84" t="s">
        <v>2462</v>
      </c>
      <c r="D1514" s="115" t="s">
        <v>2463</v>
      </c>
      <c r="E1514" s="85" t="s">
        <v>885</v>
      </c>
      <c r="F1514" s="85" t="s">
        <v>629</v>
      </c>
      <c r="G1514" s="85" t="str">
        <f>TEXT(Table7[[#This Row],[EXPIRY DATE]],"MMM")</f>
        <v>LIFETIME</v>
      </c>
      <c r="H1514" s="85" t="str">
        <f>TEXT(Table7[[#This Row],[EXPIRY DATE]],"YYY")</f>
        <v>LIFETIME</v>
      </c>
      <c r="I1514" s="84" t="s">
        <v>2464</v>
      </c>
      <c r="J1514" s="69"/>
    </row>
    <row r="1515" spans="1:10" x14ac:dyDescent="0.3">
      <c r="A1515" s="84">
        <v>1514</v>
      </c>
      <c r="B1515" s="84" t="s">
        <v>2465</v>
      </c>
      <c r="C1515" s="84" t="s">
        <v>2466</v>
      </c>
      <c r="D1515" s="115" t="s">
        <v>2467</v>
      </c>
      <c r="E1515" s="85" t="s">
        <v>2468</v>
      </c>
      <c r="F1515" s="85">
        <v>45382</v>
      </c>
      <c r="G1515" s="85" t="str">
        <f>TEXT(Table7[[#This Row],[EXPIRY DATE]],"MMM")</f>
        <v>Mar</v>
      </c>
      <c r="H1515" s="85" t="str">
        <f>TEXT(Table7[[#This Row],[EXPIRY DATE]],"YYY")</f>
        <v>2024</v>
      </c>
      <c r="I1515" s="84" t="s">
        <v>607</v>
      </c>
      <c r="J1515" s="69"/>
    </row>
    <row r="1516" spans="1:10" x14ac:dyDescent="0.3">
      <c r="A1516" s="84">
        <v>1515</v>
      </c>
      <c r="B1516" s="84" t="s">
        <v>2469</v>
      </c>
      <c r="C1516" s="84" t="s">
        <v>2466</v>
      </c>
      <c r="D1516" s="115" t="s">
        <v>2470</v>
      </c>
      <c r="E1516" s="85" t="s">
        <v>2471</v>
      </c>
      <c r="F1516" s="85">
        <v>45747</v>
      </c>
      <c r="G1516" s="85" t="str">
        <f>TEXT(Table7[[#This Row],[EXPIRY DATE]],"MMM")</f>
        <v>Mar</v>
      </c>
      <c r="H1516" s="85" t="str">
        <f>TEXT(Table7[[#This Row],[EXPIRY DATE]],"YYY")</f>
        <v>2025</v>
      </c>
      <c r="I1516" s="84" t="s">
        <v>607</v>
      </c>
      <c r="J1516" s="69"/>
    </row>
    <row r="1517" spans="1:10" x14ac:dyDescent="0.3">
      <c r="A1517" s="84">
        <v>1516</v>
      </c>
      <c r="B1517" s="84" t="s">
        <v>1952</v>
      </c>
      <c r="C1517" s="84" t="s">
        <v>2466</v>
      </c>
      <c r="D1517" s="115" t="s">
        <v>2472</v>
      </c>
      <c r="E1517" s="85" t="s">
        <v>1014</v>
      </c>
      <c r="F1517" s="85">
        <v>46022</v>
      </c>
      <c r="G1517" s="85" t="str">
        <f>TEXT(Table7[[#This Row],[EXPIRY DATE]],"MMM")</f>
        <v>Dec</v>
      </c>
      <c r="H1517" s="85" t="str">
        <f>TEXT(Table7[[#This Row],[EXPIRY DATE]],"YYY")</f>
        <v>2025</v>
      </c>
      <c r="I1517" s="84" t="s">
        <v>607</v>
      </c>
      <c r="J1517" s="69"/>
    </row>
    <row r="1518" spans="1:10" x14ac:dyDescent="0.3">
      <c r="A1518" s="84">
        <v>1517</v>
      </c>
      <c r="B1518" s="84" t="s">
        <v>2473</v>
      </c>
      <c r="C1518" s="84" t="s">
        <v>2466</v>
      </c>
      <c r="D1518" s="115" t="s">
        <v>2474</v>
      </c>
      <c r="E1518" s="85" t="s">
        <v>640</v>
      </c>
      <c r="F1518" s="85">
        <v>46022</v>
      </c>
      <c r="G1518" s="85" t="str">
        <f>TEXT(Table7[[#This Row],[EXPIRY DATE]],"MMM")</f>
        <v>Dec</v>
      </c>
      <c r="H1518" s="85" t="str">
        <f>TEXT(Table7[[#This Row],[EXPIRY DATE]],"YYY")</f>
        <v>2025</v>
      </c>
      <c r="I1518" s="84" t="s">
        <v>602</v>
      </c>
      <c r="J1518" s="69"/>
    </row>
    <row r="1519" spans="1:10" x14ac:dyDescent="0.3">
      <c r="A1519" s="84">
        <v>1518</v>
      </c>
      <c r="B1519" s="84" t="s">
        <v>2475</v>
      </c>
      <c r="C1519" s="84" t="s">
        <v>2466</v>
      </c>
      <c r="D1519" s="115" t="s">
        <v>2476</v>
      </c>
      <c r="E1519" s="85" t="s">
        <v>610</v>
      </c>
      <c r="F1519" s="85">
        <v>46022</v>
      </c>
      <c r="G1519" s="85" t="str">
        <f>TEXT(Table7[[#This Row],[EXPIRY DATE]],"MMM")</f>
        <v>Dec</v>
      </c>
      <c r="H1519" s="85" t="str">
        <f>TEXT(Table7[[#This Row],[EXPIRY DATE]],"YYY")</f>
        <v>2025</v>
      </c>
      <c r="I1519" s="84" t="s">
        <v>602</v>
      </c>
      <c r="J1519" s="69"/>
    </row>
    <row r="1520" spans="1:10" x14ac:dyDescent="0.3">
      <c r="A1520" s="84">
        <v>1519</v>
      </c>
      <c r="B1520" s="84" t="s">
        <v>2475</v>
      </c>
      <c r="C1520" s="84" t="s">
        <v>2466</v>
      </c>
      <c r="D1520" s="115" t="s">
        <v>2476</v>
      </c>
      <c r="E1520" s="85" t="s">
        <v>610</v>
      </c>
      <c r="F1520" s="85">
        <v>46022</v>
      </c>
      <c r="G1520" s="85" t="str">
        <f>TEXT(Table7[[#This Row],[EXPIRY DATE]],"MMM")</f>
        <v>Dec</v>
      </c>
      <c r="H1520" s="85" t="str">
        <f>TEXT(Table7[[#This Row],[EXPIRY DATE]],"YYY")</f>
        <v>2025</v>
      </c>
      <c r="I1520" s="84" t="s">
        <v>607</v>
      </c>
      <c r="J1520" s="69"/>
    </row>
    <row r="1521" spans="1:10" x14ac:dyDescent="0.3">
      <c r="A1521" s="84">
        <v>1520</v>
      </c>
      <c r="B1521" s="84" t="s">
        <v>743</v>
      </c>
      <c r="C1521" s="84" t="s">
        <v>2466</v>
      </c>
      <c r="D1521" s="115" t="s">
        <v>2477</v>
      </c>
      <c r="E1521" s="85" t="s">
        <v>1014</v>
      </c>
      <c r="F1521" s="85">
        <v>46022</v>
      </c>
      <c r="G1521" s="85" t="str">
        <f>TEXT(Table7[[#This Row],[EXPIRY DATE]],"MMM")</f>
        <v>Dec</v>
      </c>
      <c r="H1521" s="85" t="str">
        <f>TEXT(Table7[[#This Row],[EXPIRY DATE]],"YYY")</f>
        <v>2025</v>
      </c>
      <c r="I1521" s="84" t="s">
        <v>607</v>
      </c>
      <c r="J1521" s="69"/>
    </row>
    <row r="1522" spans="1:10" x14ac:dyDescent="0.3">
      <c r="A1522" s="84">
        <v>1521</v>
      </c>
      <c r="B1522" s="84" t="s">
        <v>2478</v>
      </c>
      <c r="C1522" s="84" t="s">
        <v>2466</v>
      </c>
      <c r="D1522" s="115" t="s">
        <v>2479</v>
      </c>
      <c r="E1522" s="85" t="s">
        <v>700</v>
      </c>
      <c r="F1522" s="85">
        <v>46112</v>
      </c>
      <c r="G1522" s="85" t="str">
        <f>TEXT(Table7[[#This Row],[EXPIRY DATE]],"MMM")</f>
        <v>Mar</v>
      </c>
      <c r="H1522" s="85" t="str">
        <f>TEXT(Table7[[#This Row],[EXPIRY DATE]],"YYY")</f>
        <v>2026</v>
      </c>
      <c r="I1522" s="84" t="s">
        <v>602</v>
      </c>
      <c r="J1522" s="69"/>
    </row>
    <row r="1523" spans="1:10" x14ac:dyDescent="0.3">
      <c r="A1523" s="84">
        <v>1522</v>
      </c>
      <c r="B1523" s="84" t="s">
        <v>2473</v>
      </c>
      <c r="C1523" s="84" t="s">
        <v>2466</v>
      </c>
      <c r="D1523" s="115" t="s">
        <v>2474</v>
      </c>
      <c r="E1523" s="85" t="s">
        <v>640</v>
      </c>
      <c r="F1523" s="85">
        <v>46112</v>
      </c>
      <c r="G1523" s="85" t="str">
        <f>TEXT(Table7[[#This Row],[EXPIRY DATE]],"MMM")</f>
        <v>Mar</v>
      </c>
      <c r="H1523" s="85" t="str">
        <f>TEXT(Table7[[#This Row],[EXPIRY DATE]],"YYY")</f>
        <v>2026</v>
      </c>
      <c r="I1523" s="84" t="s">
        <v>607</v>
      </c>
      <c r="J1523" s="69"/>
    </row>
    <row r="1524" spans="1:10" x14ac:dyDescent="0.3">
      <c r="A1524" s="84">
        <v>1523</v>
      </c>
      <c r="B1524" s="84" t="s">
        <v>2480</v>
      </c>
      <c r="C1524" s="84" t="s">
        <v>2466</v>
      </c>
      <c r="D1524" s="115" t="s">
        <v>2481</v>
      </c>
      <c r="E1524" s="85" t="s">
        <v>885</v>
      </c>
      <c r="F1524" s="85">
        <v>46112</v>
      </c>
      <c r="G1524" s="85" t="str">
        <f>TEXT(Table7[[#This Row],[EXPIRY DATE]],"MMM")</f>
        <v>Mar</v>
      </c>
      <c r="H1524" s="85" t="str">
        <f>TEXT(Table7[[#This Row],[EXPIRY DATE]],"YYY")</f>
        <v>2026</v>
      </c>
      <c r="I1524" s="84" t="s">
        <v>2482</v>
      </c>
      <c r="J1524" s="69"/>
    </row>
    <row r="1525" spans="1:10" x14ac:dyDescent="0.3">
      <c r="A1525" s="84">
        <v>1524</v>
      </c>
      <c r="B1525" s="84" t="s">
        <v>2483</v>
      </c>
      <c r="C1525" s="84" t="s">
        <v>2466</v>
      </c>
      <c r="D1525" s="115" t="s">
        <v>2484</v>
      </c>
      <c r="E1525" s="85" t="s">
        <v>605</v>
      </c>
      <c r="F1525" s="85">
        <v>46112</v>
      </c>
      <c r="G1525" s="85" t="str">
        <f>TEXT(Table7[[#This Row],[EXPIRY DATE]],"MMM")</f>
        <v>Mar</v>
      </c>
      <c r="H1525" s="85" t="str">
        <f>TEXT(Table7[[#This Row],[EXPIRY DATE]],"YYY")</f>
        <v>2026</v>
      </c>
      <c r="I1525" s="84" t="s">
        <v>607</v>
      </c>
      <c r="J1525" s="69"/>
    </row>
    <row r="1526" spans="1:10" x14ac:dyDescent="0.3">
      <c r="A1526" s="84">
        <v>1525</v>
      </c>
      <c r="B1526" s="84" t="s">
        <v>2485</v>
      </c>
      <c r="C1526" s="84" t="s">
        <v>2466</v>
      </c>
      <c r="D1526" s="115" t="s">
        <v>2486</v>
      </c>
      <c r="E1526" s="85" t="s">
        <v>2487</v>
      </c>
      <c r="F1526" s="85">
        <v>46112</v>
      </c>
      <c r="G1526" s="85" t="str">
        <f>TEXT(Table7[[#This Row],[EXPIRY DATE]],"MMM")</f>
        <v>Mar</v>
      </c>
      <c r="H1526" s="85" t="str">
        <f>TEXT(Table7[[#This Row],[EXPIRY DATE]],"YYY")</f>
        <v>2026</v>
      </c>
      <c r="I1526" s="84" t="s">
        <v>607</v>
      </c>
      <c r="J1526" s="69"/>
    </row>
    <row r="1527" spans="1:10" x14ac:dyDescent="0.3">
      <c r="A1527" s="84">
        <v>1526</v>
      </c>
      <c r="B1527" s="84" t="s">
        <v>2488</v>
      </c>
      <c r="C1527" s="84" t="s">
        <v>2466</v>
      </c>
      <c r="D1527" s="115" t="s">
        <v>2489</v>
      </c>
      <c r="E1527" s="85" t="s">
        <v>647</v>
      </c>
      <c r="F1527" s="85">
        <v>46112</v>
      </c>
      <c r="G1527" s="85" t="str">
        <f>TEXT(Table7[[#This Row],[EXPIRY DATE]],"MMM")</f>
        <v>Mar</v>
      </c>
      <c r="H1527" s="85" t="str">
        <f>TEXT(Table7[[#This Row],[EXPIRY DATE]],"YYY")</f>
        <v>2026</v>
      </c>
      <c r="I1527" s="84" t="s">
        <v>607</v>
      </c>
      <c r="J1527" s="69"/>
    </row>
    <row r="1528" spans="1:10" x14ac:dyDescent="0.3">
      <c r="A1528" s="84">
        <v>1527</v>
      </c>
      <c r="B1528" s="84" t="s">
        <v>2490</v>
      </c>
      <c r="C1528" s="84" t="s">
        <v>2466</v>
      </c>
      <c r="D1528" s="115" t="s">
        <v>2491</v>
      </c>
      <c r="E1528" s="85" t="s">
        <v>2492</v>
      </c>
      <c r="F1528" s="85">
        <v>46112</v>
      </c>
      <c r="G1528" s="85" t="str">
        <f>TEXT(Table7[[#This Row],[EXPIRY DATE]],"MMM")</f>
        <v>Mar</v>
      </c>
      <c r="H1528" s="85" t="str">
        <f>TEXT(Table7[[#This Row],[EXPIRY DATE]],"YYY")</f>
        <v>2026</v>
      </c>
      <c r="I1528" s="84" t="s">
        <v>602</v>
      </c>
      <c r="J1528" s="69"/>
    </row>
    <row r="1529" spans="1:10" x14ac:dyDescent="0.3">
      <c r="A1529" s="84">
        <v>1528</v>
      </c>
      <c r="B1529" s="84" t="s">
        <v>2305</v>
      </c>
      <c r="C1529" s="84" t="s">
        <v>2466</v>
      </c>
      <c r="D1529" s="115" t="s">
        <v>2493</v>
      </c>
      <c r="E1529" s="85" t="s">
        <v>885</v>
      </c>
      <c r="F1529" s="85">
        <v>46112</v>
      </c>
      <c r="G1529" s="85" t="str">
        <f>TEXT(Table7[[#This Row],[EXPIRY DATE]],"MMM")</f>
        <v>Mar</v>
      </c>
      <c r="H1529" s="85" t="str">
        <f>TEXT(Table7[[#This Row],[EXPIRY DATE]],"YYY")</f>
        <v>2026</v>
      </c>
      <c r="I1529" s="84" t="s">
        <v>2482</v>
      </c>
      <c r="J1529" s="69"/>
    </row>
    <row r="1530" spans="1:10" x14ac:dyDescent="0.3">
      <c r="A1530" s="84">
        <v>1529</v>
      </c>
      <c r="B1530" s="84" t="s">
        <v>2494</v>
      </c>
      <c r="C1530" s="84" t="s">
        <v>2466</v>
      </c>
      <c r="D1530" s="115" t="s">
        <v>2495</v>
      </c>
      <c r="E1530" s="85" t="s">
        <v>2468</v>
      </c>
      <c r="F1530" s="85">
        <v>46112</v>
      </c>
      <c r="G1530" s="85" t="str">
        <f>TEXT(Table7[[#This Row],[EXPIRY DATE]],"MMM")</f>
        <v>Mar</v>
      </c>
      <c r="H1530" s="85" t="str">
        <f>TEXT(Table7[[#This Row],[EXPIRY DATE]],"YYY")</f>
        <v>2026</v>
      </c>
      <c r="I1530" s="84" t="s">
        <v>607</v>
      </c>
      <c r="J1530" s="69"/>
    </row>
    <row r="1531" spans="1:10" x14ac:dyDescent="0.3">
      <c r="A1531" s="84">
        <v>1530</v>
      </c>
      <c r="B1531" s="84" t="s">
        <v>2496</v>
      </c>
      <c r="C1531" s="92" t="s">
        <v>2466</v>
      </c>
      <c r="D1531" s="119" t="s">
        <v>2497</v>
      </c>
      <c r="E1531" s="93" t="s">
        <v>605</v>
      </c>
      <c r="F1531" s="93">
        <v>46112</v>
      </c>
      <c r="G1531" s="93" t="str">
        <f>TEXT(Table7[[#This Row],[EXPIRY DATE]],"MMM")</f>
        <v>Mar</v>
      </c>
      <c r="H1531" s="93" t="str">
        <f>TEXT(Table7[[#This Row],[EXPIRY DATE]],"YYY")</f>
        <v>2026</v>
      </c>
      <c r="I1531" s="92" t="s">
        <v>607</v>
      </c>
      <c r="J1531" s="75"/>
    </row>
    <row r="1532" spans="1:10" x14ac:dyDescent="0.3">
      <c r="A1532" s="84">
        <v>1531</v>
      </c>
      <c r="B1532" s="84" t="s">
        <v>1952</v>
      </c>
      <c r="C1532" s="84" t="s">
        <v>2466</v>
      </c>
      <c r="D1532" s="115" t="s">
        <v>2472</v>
      </c>
      <c r="E1532" s="85" t="s">
        <v>1014</v>
      </c>
      <c r="F1532" s="85">
        <v>46114</v>
      </c>
      <c r="G1532" s="85" t="str">
        <f>TEXT(Table7[[#This Row],[EXPIRY DATE]],"MMM")</f>
        <v>Apr</v>
      </c>
      <c r="H1532" s="85" t="str">
        <f>TEXT(Table7[[#This Row],[EXPIRY DATE]],"YYY")</f>
        <v>2026</v>
      </c>
      <c r="I1532" s="84" t="s">
        <v>602</v>
      </c>
      <c r="J1532" s="69"/>
    </row>
    <row r="1533" spans="1:10" ht="20.399999999999999" x14ac:dyDescent="0.3">
      <c r="A1533" s="84">
        <v>1532</v>
      </c>
      <c r="B1533" s="84" t="s">
        <v>2498</v>
      </c>
      <c r="C1533" s="84" t="s">
        <v>2466</v>
      </c>
      <c r="D1533" s="115" t="s">
        <v>2499</v>
      </c>
      <c r="E1533" s="85" t="s">
        <v>616</v>
      </c>
      <c r="F1533" s="85">
        <v>46114</v>
      </c>
      <c r="G1533" s="85" t="str">
        <f>TEXT(Table7[[#This Row],[EXPIRY DATE]],"MMM")</f>
        <v>Apr</v>
      </c>
      <c r="H1533" s="85" t="str">
        <f>TEXT(Table7[[#This Row],[EXPIRY DATE]],"YYY")</f>
        <v>2026</v>
      </c>
      <c r="I1533" s="84" t="s">
        <v>602</v>
      </c>
      <c r="J1533" s="69"/>
    </row>
    <row r="1534" spans="1:10" x14ac:dyDescent="0.3">
      <c r="A1534" s="84">
        <v>1533</v>
      </c>
      <c r="B1534" s="84" t="s">
        <v>2305</v>
      </c>
      <c r="C1534" s="84" t="s">
        <v>2466</v>
      </c>
      <c r="D1534" s="115" t="s">
        <v>2493</v>
      </c>
      <c r="E1534" s="85" t="s">
        <v>885</v>
      </c>
      <c r="F1534" s="85">
        <v>46114</v>
      </c>
      <c r="G1534" s="85" t="str">
        <f>TEXT(Table7[[#This Row],[EXPIRY DATE]],"MMM")</f>
        <v>Apr</v>
      </c>
      <c r="H1534" s="85" t="str">
        <f>TEXT(Table7[[#This Row],[EXPIRY DATE]],"YYY")</f>
        <v>2026</v>
      </c>
      <c r="I1534" s="84" t="s">
        <v>602</v>
      </c>
      <c r="J1534" s="69"/>
    </row>
    <row r="1535" spans="1:10" x14ac:dyDescent="0.3">
      <c r="A1535" s="84">
        <v>1534</v>
      </c>
      <c r="B1535" s="84" t="s">
        <v>2480</v>
      </c>
      <c r="C1535" s="84" t="s">
        <v>2466</v>
      </c>
      <c r="D1535" s="115" t="s">
        <v>2481</v>
      </c>
      <c r="E1535" s="85" t="s">
        <v>885</v>
      </c>
      <c r="F1535" s="85">
        <v>46149</v>
      </c>
      <c r="G1535" s="85" t="str">
        <f>TEXT(Table7[[#This Row],[EXPIRY DATE]],"MMM")</f>
        <v>May</v>
      </c>
      <c r="H1535" s="85" t="str">
        <f>TEXT(Table7[[#This Row],[EXPIRY DATE]],"YYY")</f>
        <v>2026</v>
      </c>
      <c r="I1535" s="84" t="s">
        <v>602</v>
      </c>
      <c r="J1535" s="69"/>
    </row>
    <row r="1536" spans="1:10" x14ac:dyDescent="0.3">
      <c r="A1536" s="84">
        <v>1535</v>
      </c>
      <c r="B1536" s="84" t="s">
        <v>2500</v>
      </c>
      <c r="C1536" s="84" t="s">
        <v>2466</v>
      </c>
      <c r="D1536" s="115" t="s">
        <v>2501</v>
      </c>
      <c r="E1536" s="85" t="s">
        <v>610</v>
      </c>
      <c r="F1536" s="85">
        <v>46387</v>
      </c>
      <c r="G1536" s="85" t="str">
        <f>TEXT(Table7[[#This Row],[EXPIRY DATE]],"MMM")</f>
        <v>Dec</v>
      </c>
      <c r="H1536" s="85" t="str">
        <f>TEXT(Table7[[#This Row],[EXPIRY DATE]],"YYY")</f>
        <v>2026</v>
      </c>
      <c r="I1536" s="84" t="s">
        <v>602</v>
      </c>
      <c r="J1536" s="69"/>
    </row>
    <row r="1537" spans="1:10" x14ac:dyDescent="0.3">
      <c r="A1537" s="84">
        <v>1536</v>
      </c>
      <c r="B1537" s="84" t="s">
        <v>2500</v>
      </c>
      <c r="C1537" s="84" t="s">
        <v>2466</v>
      </c>
      <c r="D1537" s="115" t="s">
        <v>2501</v>
      </c>
      <c r="E1537" s="85" t="s">
        <v>610</v>
      </c>
      <c r="F1537" s="85">
        <v>46387</v>
      </c>
      <c r="G1537" s="85" t="str">
        <f>TEXT(Table7[[#This Row],[EXPIRY DATE]],"MMM")</f>
        <v>Dec</v>
      </c>
      <c r="H1537" s="85" t="str">
        <f>TEXT(Table7[[#This Row],[EXPIRY DATE]],"YYY")</f>
        <v>2026</v>
      </c>
      <c r="I1537" s="84" t="s">
        <v>607</v>
      </c>
      <c r="J1537" s="69"/>
    </row>
    <row r="1538" spans="1:10" x14ac:dyDescent="0.3">
      <c r="A1538" s="84">
        <v>1537</v>
      </c>
      <c r="B1538" s="84" t="s">
        <v>2485</v>
      </c>
      <c r="C1538" s="84" t="s">
        <v>2466</v>
      </c>
      <c r="D1538" s="115" t="s">
        <v>2486</v>
      </c>
      <c r="E1538" s="85" t="s">
        <v>2487</v>
      </c>
      <c r="F1538" s="85">
        <v>46387</v>
      </c>
      <c r="G1538" s="85" t="str">
        <f>TEXT(Table7[[#This Row],[EXPIRY DATE]],"MMM")</f>
        <v>Dec</v>
      </c>
      <c r="H1538" s="85" t="e">
        <f>TEXT(G2630 D1565 H1563,"YYY")</f>
        <v>#NULL!</v>
      </c>
      <c r="I1538" s="84" t="s">
        <v>602</v>
      </c>
      <c r="J1538" s="69"/>
    </row>
    <row r="1539" spans="1:10" x14ac:dyDescent="0.3">
      <c r="A1539" s="84">
        <v>1538</v>
      </c>
      <c r="B1539" s="84" t="s">
        <v>2488</v>
      </c>
      <c r="C1539" s="84" t="s">
        <v>2466</v>
      </c>
      <c r="D1539" s="115" t="s">
        <v>2489</v>
      </c>
      <c r="E1539" s="85" t="s">
        <v>647</v>
      </c>
      <c r="F1539" s="85">
        <v>46387</v>
      </c>
      <c r="G1539" s="85" t="str">
        <f>TEXT(Table7[[#This Row],[EXPIRY DATE]],"MMM")</f>
        <v>Dec</v>
      </c>
      <c r="H1539" s="85" t="str">
        <f>TEXT(Table7[[#This Row],[EXPIRY DATE]],"YYY")</f>
        <v>2026</v>
      </c>
      <c r="I1539" s="84" t="s">
        <v>602</v>
      </c>
      <c r="J1539" s="69"/>
    </row>
    <row r="1540" spans="1:10" x14ac:dyDescent="0.3">
      <c r="A1540" s="84">
        <v>1539</v>
      </c>
      <c r="B1540" s="84" t="s">
        <v>2465</v>
      </c>
      <c r="C1540" s="84" t="s">
        <v>2466</v>
      </c>
      <c r="D1540" s="115" t="s">
        <v>2467</v>
      </c>
      <c r="E1540" s="85" t="s">
        <v>2468</v>
      </c>
      <c r="F1540" s="85">
        <v>46387</v>
      </c>
      <c r="G1540" s="85" t="str">
        <f>TEXT(Table7[[#This Row],[EXPIRY DATE]],"MMM")</f>
        <v>Dec</v>
      </c>
      <c r="H1540" s="85" t="str">
        <f>TEXT(Table7[[#This Row],[EXPIRY DATE]],"YYY")</f>
        <v>2026</v>
      </c>
      <c r="I1540" s="84" t="s">
        <v>602</v>
      </c>
      <c r="J1540" s="69"/>
    </row>
    <row r="1541" spans="1:10" x14ac:dyDescent="0.3">
      <c r="A1541" s="84">
        <v>1540</v>
      </c>
      <c r="B1541" s="84" t="s">
        <v>2469</v>
      </c>
      <c r="C1541" s="84" t="s">
        <v>2466</v>
      </c>
      <c r="D1541" s="115" t="s">
        <v>2470</v>
      </c>
      <c r="E1541" s="85" t="s">
        <v>2471</v>
      </c>
      <c r="F1541" s="85">
        <v>46387</v>
      </c>
      <c r="G1541" s="85" t="str">
        <f>TEXT(Table7[[#This Row],[EXPIRY DATE]],"MMM")</f>
        <v>Dec</v>
      </c>
      <c r="H1541" s="85" t="str">
        <f>TEXT(Table7[[#This Row],[EXPIRY DATE]],"YYY")</f>
        <v>2026</v>
      </c>
      <c r="I1541" s="84" t="s">
        <v>602</v>
      </c>
      <c r="J1541" s="69"/>
    </row>
    <row r="1542" spans="1:10" x14ac:dyDescent="0.3">
      <c r="A1542" s="84">
        <v>1541</v>
      </c>
      <c r="B1542" s="84" t="s">
        <v>2502</v>
      </c>
      <c r="C1542" s="84" t="s">
        <v>2466</v>
      </c>
      <c r="D1542" s="115" t="s">
        <v>2503</v>
      </c>
      <c r="E1542" s="85" t="s">
        <v>605</v>
      </c>
      <c r="F1542" s="85">
        <v>46387</v>
      </c>
      <c r="G1542" s="85" t="str">
        <f>TEXT(Table7[[#This Row],[EXPIRY DATE]],"MMM")</f>
        <v>Dec</v>
      </c>
      <c r="H1542" s="85" t="str">
        <f>TEXT(Table7[[#This Row],[EXPIRY DATE]],"YYY")</f>
        <v>2026</v>
      </c>
      <c r="I1542" s="84" t="s">
        <v>602</v>
      </c>
      <c r="J1542" s="69"/>
    </row>
    <row r="1543" spans="1:10" x14ac:dyDescent="0.3">
      <c r="A1543" s="84">
        <v>1542</v>
      </c>
      <c r="B1543" s="84" t="s">
        <v>2494</v>
      </c>
      <c r="C1543" s="84" t="s">
        <v>2466</v>
      </c>
      <c r="D1543" s="115" t="s">
        <v>2495</v>
      </c>
      <c r="E1543" s="85" t="s">
        <v>2468</v>
      </c>
      <c r="F1543" s="85">
        <v>46387</v>
      </c>
      <c r="G1543" s="85" t="str">
        <f>TEXT(Table7[[#This Row],[EXPIRY DATE]],"MMM")</f>
        <v>Dec</v>
      </c>
      <c r="H1543" s="85" t="str">
        <f>TEXT(Table7[[#This Row],[EXPIRY DATE]],"YYY")</f>
        <v>2026</v>
      </c>
      <c r="I1543" s="84" t="s">
        <v>602</v>
      </c>
      <c r="J1543" s="69"/>
    </row>
    <row r="1544" spans="1:10" x14ac:dyDescent="0.3">
      <c r="A1544" s="84">
        <v>1543</v>
      </c>
      <c r="B1544" s="84" t="s">
        <v>2502</v>
      </c>
      <c r="C1544" s="84" t="s">
        <v>2466</v>
      </c>
      <c r="D1544" s="115" t="s">
        <v>2503</v>
      </c>
      <c r="E1544" s="85" t="s">
        <v>605</v>
      </c>
      <c r="F1544" s="85">
        <v>46477</v>
      </c>
      <c r="G1544" s="85" t="str">
        <f>TEXT(Table7[[#This Row],[EXPIRY DATE]],"MMM")</f>
        <v>Mar</v>
      </c>
      <c r="H1544" s="85" t="str">
        <f>TEXT(Table7[[#This Row],[EXPIRY DATE]],"YYY")</f>
        <v>2027</v>
      </c>
      <c r="I1544" s="84" t="s">
        <v>607</v>
      </c>
      <c r="J1544" s="69"/>
    </row>
    <row r="1545" spans="1:10" x14ac:dyDescent="0.3">
      <c r="A1545" s="84">
        <v>1544</v>
      </c>
      <c r="B1545" s="84" t="s">
        <v>2504</v>
      </c>
      <c r="C1545" s="92" t="s">
        <v>2466</v>
      </c>
      <c r="D1545" s="119" t="s">
        <v>2505</v>
      </c>
      <c r="E1545" s="93" t="s">
        <v>605</v>
      </c>
      <c r="F1545" s="93">
        <v>46752</v>
      </c>
      <c r="G1545" s="93" t="str">
        <f>TEXT(Table7[[#This Row],[EXPIRY DATE]],"MMM")</f>
        <v>Dec</v>
      </c>
      <c r="H1545" s="93" t="str">
        <f>TEXT(Table7[[#This Row],[EXPIRY DATE]],"YYY")</f>
        <v>2027</v>
      </c>
      <c r="I1545" s="92" t="s">
        <v>602</v>
      </c>
      <c r="J1545" s="75"/>
    </row>
    <row r="1546" spans="1:10" x14ac:dyDescent="0.3">
      <c r="A1546" s="84">
        <v>1545</v>
      </c>
      <c r="B1546" s="84" t="s">
        <v>2483</v>
      </c>
      <c r="C1546" s="84" t="s">
        <v>2466</v>
      </c>
      <c r="D1546" s="115" t="s">
        <v>2484</v>
      </c>
      <c r="E1546" s="85" t="s">
        <v>605</v>
      </c>
      <c r="F1546" s="85">
        <v>46752</v>
      </c>
      <c r="G1546" s="85" t="str">
        <f>TEXT(Table7[[#This Row],[EXPIRY DATE]],"MMM")</f>
        <v>Dec</v>
      </c>
      <c r="H1546" s="85" t="str">
        <f>TEXT(Table7[[#This Row],[EXPIRY DATE]],"YYY")</f>
        <v>2027</v>
      </c>
      <c r="I1546" s="84" t="s">
        <v>602</v>
      </c>
      <c r="J1546" s="69"/>
    </row>
    <row r="1547" spans="1:10" x14ac:dyDescent="0.3">
      <c r="A1547" s="84">
        <v>1546</v>
      </c>
      <c r="B1547" s="84" t="s">
        <v>2496</v>
      </c>
      <c r="C1547" s="92" t="s">
        <v>2466</v>
      </c>
      <c r="D1547" s="119" t="s">
        <v>2497</v>
      </c>
      <c r="E1547" s="93" t="s">
        <v>605</v>
      </c>
      <c r="F1547" s="93">
        <v>46752</v>
      </c>
      <c r="G1547" s="93" t="str">
        <f>TEXT(Table7[[#This Row],[EXPIRY DATE]],"MMM")</f>
        <v>Dec</v>
      </c>
      <c r="H1547" s="93" t="str">
        <f>TEXT(Table7[[#This Row],[EXPIRY DATE]],"YYY")</f>
        <v>2027</v>
      </c>
      <c r="I1547" s="92" t="s">
        <v>602</v>
      </c>
      <c r="J1547" s="75"/>
    </row>
    <row r="1548" spans="1:10" x14ac:dyDescent="0.3">
      <c r="A1548" s="84">
        <v>1547</v>
      </c>
      <c r="B1548" s="84" t="s">
        <v>2506</v>
      </c>
      <c r="C1548" s="92" t="s">
        <v>2466</v>
      </c>
      <c r="D1548" s="119" t="s">
        <v>2507</v>
      </c>
      <c r="E1548" s="93"/>
      <c r="F1548" s="93" t="s">
        <v>629</v>
      </c>
      <c r="G1548" s="93" t="str">
        <f>TEXT(Table7[[#This Row],[EXPIRY DATE]],"MMM")</f>
        <v>LIFETIME</v>
      </c>
      <c r="H1548" s="93" t="str">
        <f>TEXT(Table7[[#This Row],[EXPIRY DATE]],"YYY")</f>
        <v>LIFETIME</v>
      </c>
      <c r="I1548" s="92" t="s">
        <v>602</v>
      </c>
      <c r="J1548" s="75"/>
    </row>
    <row r="1549" spans="1:10" x14ac:dyDescent="0.3">
      <c r="A1549" s="84">
        <v>1548</v>
      </c>
      <c r="B1549" s="84" t="s">
        <v>2508</v>
      </c>
      <c r="C1549" s="92" t="s">
        <v>2466</v>
      </c>
      <c r="D1549" s="119" t="s">
        <v>2509</v>
      </c>
      <c r="E1549" s="93" t="s">
        <v>956</v>
      </c>
      <c r="F1549" s="93" t="s">
        <v>766</v>
      </c>
      <c r="G1549" s="93" t="str">
        <f>TEXT(Table7[[#This Row],[EXPIRY DATE]],"MMM")</f>
        <v>CLOSED</v>
      </c>
      <c r="H1549" s="93" t="str">
        <f>TEXT(Table7[[#This Row],[EXPIRY DATE]],"YYY")</f>
        <v>CLOSED</v>
      </c>
      <c r="I1549" s="92" t="s">
        <v>602</v>
      </c>
      <c r="J1549" s="75"/>
    </row>
    <row r="1550" spans="1:10" x14ac:dyDescent="0.3">
      <c r="A1550" s="84">
        <v>1549</v>
      </c>
      <c r="B1550" s="84" t="s">
        <v>2510</v>
      </c>
      <c r="C1550" s="84" t="s">
        <v>2466</v>
      </c>
      <c r="D1550" s="115" t="s">
        <v>2511</v>
      </c>
      <c r="E1550" s="85" t="s">
        <v>79</v>
      </c>
      <c r="F1550" s="85" t="s">
        <v>81</v>
      </c>
      <c r="G1550" s="85" t="str">
        <f>TEXT(Table7[[#This Row],[EXPIRY DATE]],"MMM")</f>
        <v>NA</v>
      </c>
      <c r="H1550" s="85" t="str">
        <f>TEXT(Table7[[#This Row],[EXPIRY DATE]],"YYY")</f>
        <v>NA</v>
      </c>
      <c r="I1550" s="84" t="s">
        <v>602</v>
      </c>
      <c r="J1550" s="69"/>
    </row>
    <row r="1551" spans="1:10" x14ac:dyDescent="0.3">
      <c r="A1551" s="84">
        <v>1550</v>
      </c>
      <c r="B1551" s="84" t="s">
        <v>2504</v>
      </c>
      <c r="C1551" s="92" t="s">
        <v>2466</v>
      </c>
      <c r="D1551" s="119" t="s">
        <v>2505</v>
      </c>
      <c r="E1551" s="93" t="s">
        <v>605</v>
      </c>
      <c r="F1551" s="93" t="s">
        <v>766</v>
      </c>
      <c r="G1551" s="93" t="str">
        <f>TEXT(Table7[[#This Row],[EXPIRY DATE]],"MMM")</f>
        <v>CLOSED</v>
      </c>
      <c r="H1551" s="93" t="str">
        <f>TEXT(Table7[[#This Row],[EXPIRY DATE]],"YYY")</f>
        <v>CLOSED</v>
      </c>
      <c r="I1551" s="92" t="s">
        <v>607</v>
      </c>
      <c r="J1551" s="75"/>
    </row>
    <row r="1552" spans="1:10" x14ac:dyDescent="0.3">
      <c r="A1552" s="84">
        <v>1551</v>
      </c>
      <c r="B1552" s="84" t="s">
        <v>2512</v>
      </c>
      <c r="C1552" s="84" t="s">
        <v>2466</v>
      </c>
      <c r="D1552" s="115" t="s">
        <v>2513</v>
      </c>
      <c r="E1552" s="85" t="s">
        <v>1329</v>
      </c>
      <c r="F1552" s="85" t="s">
        <v>629</v>
      </c>
      <c r="G1552" s="85" t="str">
        <f>TEXT(Table7[[#This Row],[EXPIRY DATE]],"MMM")</f>
        <v>LIFETIME</v>
      </c>
      <c r="H1552" s="85" t="str">
        <f>TEXT(Table7[[#This Row],[EXPIRY DATE]],"YYY")</f>
        <v>LIFETIME</v>
      </c>
      <c r="I1552" s="84" t="s">
        <v>602</v>
      </c>
      <c r="J1552" s="69"/>
    </row>
    <row r="1553" spans="1:10" x14ac:dyDescent="0.3">
      <c r="A1553" s="84">
        <v>1552</v>
      </c>
      <c r="B1553" s="84" t="s">
        <v>2514</v>
      </c>
      <c r="C1553" s="92" t="s">
        <v>2466</v>
      </c>
      <c r="D1553" s="119" t="s">
        <v>2515</v>
      </c>
      <c r="E1553" s="93" t="s">
        <v>601</v>
      </c>
      <c r="F1553" s="93" t="s">
        <v>766</v>
      </c>
      <c r="G1553" s="93" t="str">
        <f>TEXT(Table7[[#This Row],[EXPIRY DATE]],"MMM")</f>
        <v>CLOSED</v>
      </c>
      <c r="H1553" s="93" t="str">
        <f>TEXT(Table7[[#This Row],[EXPIRY DATE]],"YYY")</f>
        <v>CLOSED</v>
      </c>
      <c r="I1553" s="92" t="s">
        <v>602</v>
      </c>
      <c r="J1553" s="75"/>
    </row>
    <row r="1554" spans="1:10" ht="20.399999999999999" x14ac:dyDescent="0.3">
      <c r="A1554" s="84">
        <v>1553</v>
      </c>
      <c r="B1554" s="84" t="s">
        <v>2516</v>
      </c>
      <c r="C1554" s="92" t="s">
        <v>2466</v>
      </c>
      <c r="D1554" s="119" t="s">
        <v>2517</v>
      </c>
      <c r="E1554" s="93" t="s">
        <v>605</v>
      </c>
      <c r="F1554" s="93" t="s">
        <v>766</v>
      </c>
      <c r="G1554" s="93" t="str">
        <f>TEXT(Table7[[#This Row],[EXPIRY DATE]],"MMM")</f>
        <v>CLOSED</v>
      </c>
      <c r="H1554" s="93" t="str">
        <f>TEXT(Table7[[#This Row],[EXPIRY DATE]],"YYY")</f>
        <v>CLOSED</v>
      </c>
      <c r="I1554" s="92" t="s">
        <v>602</v>
      </c>
      <c r="J1554" s="75"/>
    </row>
    <row r="1555" spans="1:10" ht="20.399999999999999" x14ac:dyDescent="0.3">
      <c r="A1555" s="84">
        <v>1554</v>
      </c>
      <c r="B1555" s="84" t="s">
        <v>2516</v>
      </c>
      <c r="C1555" s="92" t="s">
        <v>2466</v>
      </c>
      <c r="D1555" s="119" t="s">
        <v>2517</v>
      </c>
      <c r="E1555" s="93" t="s">
        <v>605</v>
      </c>
      <c r="F1555" s="93" t="s">
        <v>766</v>
      </c>
      <c r="G1555" s="93" t="str">
        <f>TEXT(Table7[[#This Row],[EXPIRY DATE]],"MMM")</f>
        <v>CLOSED</v>
      </c>
      <c r="H1555" s="93" t="str">
        <f>TEXT(Table7[[#This Row],[EXPIRY DATE]],"YYY")</f>
        <v>CLOSED</v>
      </c>
      <c r="I1555" s="92" t="s">
        <v>607</v>
      </c>
      <c r="J1555" s="75"/>
    </row>
    <row r="1556" spans="1:10" x14ac:dyDescent="0.3">
      <c r="A1556" s="84">
        <v>1555</v>
      </c>
      <c r="B1556" s="84" t="s">
        <v>2518</v>
      </c>
      <c r="C1556" s="92" t="s">
        <v>2466</v>
      </c>
      <c r="D1556" s="119" t="s">
        <v>2519</v>
      </c>
      <c r="E1556" s="93" t="s">
        <v>595</v>
      </c>
      <c r="F1556" s="93" t="s">
        <v>766</v>
      </c>
      <c r="G1556" s="93" t="str">
        <f>TEXT(Table7[[#This Row],[EXPIRY DATE]],"MMM")</f>
        <v>CLOSED</v>
      </c>
      <c r="H1556" s="93" t="str">
        <f>TEXT(Table7[[#This Row],[EXPIRY DATE]],"YYY")</f>
        <v>CLOSED</v>
      </c>
      <c r="I1556" s="92" t="s">
        <v>602</v>
      </c>
      <c r="J1556" s="75"/>
    </row>
    <row r="1557" spans="1:10" x14ac:dyDescent="0.3">
      <c r="A1557" s="84">
        <v>1556</v>
      </c>
      <c r="B1557" s="84" t="s">
        <v>2520</v>
      </c>
      <c r="C1557" s="92" t="s">
        <v>2466</v>
      </c>
      <c r="D1557" s="119" t="s">
        <v>2521</v>
      </c>
      <c r="E1557" s="93" t="s">
        <v>2522</v>
      </c>
      <c r="F1557" s="93" t="s">
        <v>766</v>
      </c>
      <c r="G1557" s="93" t="str">
        <f>TEXT(Table7[[#This Row],[EXPIRY DATE]],"MMM")</f>
        <v>CLOSED</v>
      </c>
      <c r="H1557" s="93" t="str">
        <f>TEXT(Table7[[#This Row],[EXPIRY DATE]],"YYY")</f>
        <v>CLOSED</v>
      </c>
      <c r="I1557" s="92" t="s">
        <v>602</v>
      </c>
      <c r="J1557" s="75"/>
    </row>
    <row r="1558" spans="1:10" x14ac:dyDescent="0.3">
      <c r="A1558" s="84">
        <v>1557</v>
      </c>
      <c r="B1558" s="84" t="s">
        <v>2523</v>
      </c>
      <c r="C1558" s="92" t="s">
        <v>2466</v>
      </c>
      <c r="D1558" s="119" t="s">
        <v>2524</v>
      </c>
      <c r="E1558" s="93" t="s">
        <v>613</v>
      </c>
      <c r="F1558" s="93" t="s">
        <v>766</v>
      </c>
      <c r="G1558" s="93" t="str">
        <f>TEXT(Table7[[#This Row],[EXPIRY DATE]],"MMM")</f>
        <v>CLOSED</v>
      </c>
      <c r="H1558" s="93" t="str">
        <f>TEXT(Table7[[#This Row],[EXPIRY DATE]],"YYY")</f>
        <v>CLOSED</v>
      </c>
      <c r="I1558" s="92" t="s">
        <v>602</v>
      </c>
      <c r="J1558" s="75"/>
    </row>
    <row r="1559" spans="1:10" x14ac:dyDescent="0.3">
      <c r="A1559" s="84">
        <v>1558</v>
      </c>
      <c r="B1559" s="84" t="s">
        <v>2525</v>
      </c>
      <c r="C1559" s="92" t="s">
        <v>2466</v>
      </c>
      <c r="D1559" s="119" t="s">
        <v>2526</v>
      </c>
      <c r="E1559" s="93" t="s">
        <v>1096</v>
      </c>
      <c r="F1559" s="93" t="s">
        <v>766</v>
      </c>
      <c r="G1559" s="93" t="str">
        <f>TEXT(Table7[[#This Row],[EXPIRY DATE]],"MMM")</f>
        <v>CLOSED</v>
      </c>
      <c r="H1559" s="93" t="str">
        <f>TEXT(Table7[[#This Row],[EXPIRY DATE]],"YYY")</f>
        <v>CLOSED</v>
      </c>
      <c r="I1559" s="92" t="s">
        <v>602</v>
      </c>
      <c r="J1559" s="75"/>
    </row>
    <row r="1560" spans="1:10" x14ac:dyDescent="0.3">
      <c r="A1560" s="84">
        <v>1559</v>
      </c>
      <c r="B1560" s="84" t="s">
        <v>2527</v>
      </c>
      <c r="C1560" s="92" t="s">
        <v>2466</v>
      </c>
      <c r="D1560" s="119" t="s">
        <v>2528</v>
      </c>
      <c r="E1560" s="93" t="s">
        <v>1636</v>
      </c>
      <c r="F1560" s="93" t="s">
        <v>629</v>
      </c>
      <c r="G1560" s="93" t="str">
        <f>TEXT(Table7[[#This Row],[EXPIRY DATE]],"MMM")</f>
        <v>LIFETIME</v>
      </c>
      <c r="H1560" s="93" t="str">
        <f>TEXT(Table7[[#This Row],[EXPIRY DATE]],"YYY")</f>
        <v>LIFETIME</v>
      </c>
      <c r="I1560" s="92" t="s">
        <v>602</v>
      </c>
      <c r="J1560" s="75"/>
    </row>
    <row r="1561" spans="1:10" x14ac:dyDescent="0.3">
      <c r="A1561" s="84">
        <v>1560</v>
      </c>
      <c r="B1561" s="84" t="s">
        <v>2529</v>
      </c>
      <c r="C1561" s="92" t="s">
        <v>2466</v>
      </c>
      <c r="D1561" s="119" t="s">
        <v>2530</v>
      </c>
      <c r="E1561" s="93" t="s">
        <v>14</v>
      </c>
      <c r="F1561" s="93" t="s">
        <v>766</v>
      </c>
      <c r="G1561" s="93" t="str">
        <f>TEXT(Table7[[#This Row],[EXPIRY DATE]],"MMM")</f>
        <v>CLOSED</v>
      </c>
      <c r="H1561" s="93" t="str">
        <f>TEXT(Table7[[#This Row],[EXPIRY DATE]],"YYY")</f>
        <v>CLOSED</v>
      </c>
      <c r="I1561" s="92" t="s">
        <v>602</v>
      </c>
      <c r="J1561" s="75"/>
    </row>
    <row r="1562" spans="1:10" x14ac:dyDescent="0.3">
      <c r="A1562" s="84">
        <v>1561</v>
      </c>
      <c r="B1562" s="84" t="s">
        <v>2529</v>
      </c>
      <c r="C1562" s="92" t="s">
        <v>2466</v>
      </c>
      <c r="D1562" s="119" t="s">
        <v>2530</v>
      </c>
      <c r="E1562" s="93" t="s">
        <v>14</v>
      </c>
      <c r="F1562" s="93" t="s">
        <v>766</v>
      </c>
      <c r="G1562" s="93" t="str">
        <f>TEXT(Table7[[#This Row],[EXPIRY DATE]],"MMM")</f>
        <v>CLOSED</v>
      </c>
      <c r="H1562" s="93" t="str">
        <f>TEXT(Table7[[#This Row],[EXPIRY DATE]],"YYY")</f>
        <v>CLOSED</v>
      </c>
      <c r="I1562" s="92" t="s">
        <v>621</v>
      </c>
      <c r="J1562" s="75"/>
    </row>
    <row r="1563" spans="1:10" x14ac:dyDescent="0.3">
      <c r="A1563" s="84">
        <v>1562</v>
      </c>
      <c r="B1563" s="84" t="s">
        <v>2529</v>
      </c>
      <c r="C1563" s="92" t="s">
        <v>2466</v>
      </c>
      <c r="D1563" s="119" t="s">
        <v>2530</v>
      </c>
      <c r="E1563" s="93" t="s">
        <v>14</v>
      </c>
      <c r="F1563" s="93" t="s">
        <v>766</v>
      </c>
      <c r="G1563" s="93" t="str">
        <f>TEXT(Table7[[#This Row],[EXPIRY DATE]],"MMM")</f>
        <v>CLOSED</v>
      </c>
      <c r="H1563" s="93" t="str">
        <f>TEXT(Table7[[#This Row],[EXPIRY DATE]],"YYY")</f>
        <v>CLOSED</v>
      </c>
      <c r="I1563" s="92" t="s">
        <v>607</v>
      </c>
      <c r="J1563" s="75"/>
    </row>
    <row r="1564" spans="1:10" x14ac:dyDescent="0.3">
      <c r="A1564" s="84">
        <v>1563</v>
      </c>
      <c r="B1564" s="84" t="s">
        <v>2531</v>
      </c>
      <c r="C1564" s="92" t="s">
        <v>2466</v>
      </c>
      <c r="D1564" s="119" t="s">
        <v>2532</v>
      </c>
      <c r="E1564" s="93" t="s">
        <v>616</v>
      </c>
      <c r="F1564" s="93" t="s">
        <v>766</v>
      </c>
      <c r="G1564" s="93" t="str">
        <f>TEXT(Table7[[#This Row],[EXPIRY DATE]],"MMM")</f>
        <v>CLOSED</v>
      </c>
      <c r="H1564" s="93" t="str">
        <f>TEXT(Table7[[#This Row],[EXPIRY DATE]],"YYY")</f>
        <v>CLOSED</v>
      </c>
      <c r="I1564" s="92" t="s">
        <v>602</v>
      </c>
      <c r="J1564" s="75"/>
    </row>
    <row r="1565" spans="1:10" x14ac:dyDescent="0.3">
      <c r="A1565" s="84">
        <v>1564</v>
      </c>
      <c r="B1565" s="84" t="s">
        <v>2533</v>
      </c>
      <c r="C1565" s="92" t="s">
        <v>2466</v>
      </c>
      <c r="D1565" s="119" t="s">
        <v>2534</v>
      </c>
      <c r="E1565" s="93" t="s">
        <v>14</v>
      </c>
      <c r="F1565" s="93" t="s">
        <v>766</v>
      </c>
      <c r="G1565" s="93" t="str">
        <f>TEXT(Table7[[#This Row],[EXPIRY DATE]],"MMM")</f>
        <v>CLOSED</v>
      </c>
      <c r="H1565" s="93" t="str">
        <f>TEXT(Table7[[#This Row],[EXPIRY DATE]],"YYY")</f>
        <v>CLOSED</v>
      </c>
      <c r="I1565" s="92" t="s">
        <v>602</v>
      </c>
      <c r="J1565" s="75"/>
    </row>
    <row r="1566" spans="1:10" x14ac:dyDescent="0.3">
      <c r="A1566" s="84">
        <v>1565</v>
      </c>
      <c r="B1566" s="84" t="s">
        <v>2533</v>
      </c>
      <c r="C1566" s="92" t="s">
        <v>2466</v>
      </c>
      <c r="D1566" s="119" t="s">
        <v>2534</v>
      </c>
      <c r="E1566" s="93" t="s">
        <v>14</v>
      </c>
      <c r="F1566" s="93" t="s">
        <v>81</v>
      </c>
      <c r="G1566" s="93" t="str">
        <f>TEXT(Table7[[#This Row],[EXPIRY DATE]],"MMM")</f>
        <v>NA</v>
      </c>
      <c r="H1566" s="93" t="str">
        <f>TEXT(Table7[[#This Row],[EXPIRY DATE]],"YYY")</f>
        <v>NA</v>
      </c>
      <c r="I1566" s="93" t="s">
        <v>791</v>
      </c>
      <c r="J1566" s="75"/>
    </row>
    <row r="1567" spans="1:10" x14ac:dyDescent="0.3">
      <c r="A1567" s="84">
        <v>1566</v>
      </c>
      <c r="B1567" s="84" t="s">
        <v>2533</v>
      </c>
      <c r="C1567" s="92" t="s">
        <v>2466</v>
      </c>
      <c r="D1567" s="119" t="s">
        <v>2534</v>
      </c>
      <c r="E1567" s="93" t="s">
        <v>14</v>
      </c>
      <c r="F1567" s="93" t="s">
        <v>766</v>
      </c>
      <c r="G1567" s="93" t="str">
        <f>TEXT(Table7[[#This Row],[EXPIRY DATE]],"MMM")</f>
        <v>CLOSED</v>
      </c>
      <c r="H1567" s="93" t="str">
        <f>TEXT(Table7[[#This Row],[EXPIRY DATE]],"YYY")</f>
        <v>CLOSED</v>
      </c>
      <c r="I1567" s="92" t="s">
        <v>621</v>
      </c>
      <c r="J1567" s="75"/>
    </row>
    <row r="1568" spans="1:10" x14ac:dyDescent="0.3">
      <c r="A1568" s="84">
        <v>1567</v>
      </c>
      <c r="B1568" s="84" t="s">
        <v>2533</v>
      </c>
      <c r="C1568" s="92" t="s">
        <v>2466</v>
      </c>
      <c r="D1568" s="119" t="s">
        <v>2534</v>
      </c>
      <c r="E1568" s="93" t="s">
        <v>14</v>
      </c>
      <c r="F1568" s="93" t="s">
        <v>766</v>
      </c>
      <c r="G1568" s="93" t="str">
        <f>TEXT(Table7[[#This Row],[EXPIRY DATE]],"MMM")</f>
        <v>CLOSED</v>
      </c>
      <c r="H1568" s="93" t="str">
        <f>TEXT(Table7[[#This Row],[EXPIRY DATE]],"YYY")</f>
        <v>CLOSED</v>
      </c>
      <c r="I1568" s="92" t="s">
        <v>607</v>
      </c>
      <c r="J1568" s="75"/>
    </row>
    <row r="1569" spans="1:10" x14ac:dyDescent="0.3">
      <c r="A1569" s="84">
        <v>1568</v>
      </c>
      <c r="B1569" s="84" t="s">
        <v>2533</v>
      </c>
      <c r="C1569" s="92" t="s">
        <v>2466</v>
      </c>
      <c r="D1569" s="119" t="s">
        <v>2534</v>
      </c>
      <c r="E1569" s="93" t="s">
        <v>14</v>
      </c>
      <c r="F1569" s="93" t="s">
        <v>81</v>
      </c>
      <c r="G1569" s="93" t="str">
        <f>TEXT(Table7[[#This Row],[EXPIRY DATE]],"MMM")</f>
        <v>NA</v>
      </c>
      <c r="H1569" s="93" t="str">
        <f>TEXT(Table7[[#This Row],[EXPIRY DATE]],"YYY")</f>
        <v>NA</v>
      </c>
      <c r="I1569" s="92" t="s">
        <v>592</v>
      </c>
      <c r="J1569" s="75"/>
    </row>
    <row r="1570" spans="1:10" x14ac:dyDescent="0.3">
      <c r="A1570" s="84">
        <v>1569</v>
      </c>
      <c r="B1570" s="84" t="s">
        <v>2533</v>
      </c>
      <c r="C1570" s="92" t="s">
        <v>2466</v>
      </c>
      <c r="D1570" s="119" t="s">
        <v>2534</v>
      </c>
      <c r="E1570" s="93"/>
      <c r="F1570" s="93" t="s">
        <v>81</v>
      </c>
      <c r="G1570" s="93" t="str">
        <f>TEXT(Table7[[#This Row],[EXPIRY DATE]],"MMM")</f>
        <v>NA</v>
      </c>
      <c r="H1570" s="93" t="str">
        <f>TEXT(Table7[[#This Row],[EXPIRY DATE]],"YYY")</f>
        <v>NA</v>
      </c>
      <c r="I1570" s="92" t="s">
        <v>916</v>
      </c>
      <c r="J1570" s="75"/>
    </row>
    <row r="1571" spans="1:10" x14ac:dyDescent="0.3">
      <c r="A1571" s="84">
        <v>1570</v>
      </c>
      <c r="B1571" s="84" t="s">
        <v>2535</v>
      </c>
      <c r="C1571" s="92" t="s">
        <v>2466</v>
      </c>
      <c r="D1571" s="119" t="s">
        <v>2536</v>
      </c>
      <c r="E1571" s="93" t="s">
        <v>2296</v>
      </c>
      <c r="F1571" s="93" t="s">
        <v>766</v>
      </c>
      <c r="G1571" s="93" t="str">
        <f>TEXT(Table7[[#This Row],[EXPIRY DATE]],"MMM")</f>
        <v>CLOSED</v>
      </c>
      <c r="H1571" s="93" t="str">
        <f>TEXT(Table7[[#This Row],[EXPIRY DATE]],"YYY")</f>
        <v>CLOSED</v>
      </c>
      <c r="I1571" s="92" t="s">
        <v>602</v>
      </c>
      <c r="J1571" s="75"/>
    </row>
    <row r="1572" spans="1:10" x14ac:dyDescent="0.3">
      <c r="A1572" s="84">
        <v>1571</v>
      </c>
      <c r="B1572" s="84" t="s">
        <v>2535</v>
      </c>
      <c r="C1572" s="92" t="s">
        <v>2466</v>
      </c>
      <c r="D1572" s="119" t="s">
        <v>2536</v>
      </c>
      <c r="E1572" s="93" t="s">
        <v>2296</v>
      </c>
      <c r="F1572" s="93" t="s">
        <v>766</v>
      </c>
      <c r="G1572" s="93" t="str">
        <f>TEXT(Table7[[#This Row],[EXPIRY DATE]],"MMM")</f>
        <v>CLOSED</v>
      </c>
      <c r="H1572" s="93" t="str">
        <f>TEXT(Table7[[#This Row],[EXPIRY DATE]],"YYY")</f>
        <v>CLOSED</v>
      </c>
      <c r="I1572" s="92" t="s">
        <v>607</v>
      </c>
      <c r="J1572" s="75"/>
    </row>
    <row r="1573" spans="1:10" x14ac:dyDescent="0.3">
      <c r="A1573" s="84">
        <v>1572</v>
      </c>
      <c r="B1573" s="84" t="s">
        <v>2537</v>
      </c>
      <c r="C1573" s="92" t="s">
        <v>2466</v>
      </c>
      <c r="D1573" s="119" t="s">
        <v>2538</v>
      </c>
      <c r="E1573" s="93"/>
      <c r="F1573" s="93" t="s">
        <v>81</v>
      </c>
      <c r="G1573" s="93" t="str">
        <f>TEXT(Table7[[#This Row],[EXPIRY DATE]],"MMM")</f>
        <v>NA</v>
      </c>
      <c r="H1573" s="93" t="str">
        <f>TEXT(Table7[[#This Row],[EXPIRY DATE]],"YYY")</f>
        <v>NA</v>
      </c>
      <c r="I1573" s="92" t="s">
        <v>916</v>
      </c>
      <c r="J1573" s="75"/>
    </row>
    <row r="1574" spans="1:10" x14ac:dyDescent="0.3">
      <c r="A1574" s="84">
        <v>1573</v>
      </c>
      <c r="B1574" s="84" t="s">
        <v>2539</v>
      </c>
      <c r="C1574" s="92" t="s">
        <v>2466</v>
      </c>
      <c r="D1574" s="119" t="s">
        <v>2538</v>
      </c>
      <c r="E1574" s="93" t="s">
        <v>14</v>
      </c>
      <c r="F1574" s="93" t="s">
        <v>766</v>
      </c>
      <c r="G1574" s="93" t="str">
        <f>TEXT(Table7[[#This Row],[EXPIRY DATE]],"MMM")</f>
        <v>CLOSED</v>
      </c>
      <c r="H1574" s="93" t="str">
        <f>TEXT(Table7[[#This Row],[EXPIRY DATE]],"YYY")</f>
        <v>CLOSED</v>
      </c>
      <c r="I1574" s="92" t="s">
        <v>602</v>
      </c>
      <c r="J1574" s="75"/>
    </row>
    <row r="1575" spans="1:10" x14ac:dyDescent="0.3">
      <c r="A1575" s="84">
        <v>1574</v>
      </c>
      <c r="B1575" s="84" t="s">
        <v>2539</v>
      </c>
      <c r="C1575" s="92" t="s">
        <v>2466</v>
      </c>
      <c r="D1575" s="119" t="s">
        <v>2538</v>
      </c>
      <c r="E1575" s="93" t="s">
        <v>14</v>
      </c>
      <c r="F1575" s="93" t="s">
        <v>766</v>
      </c>
      <c r="G1575" s="93" t="str">
        <f>TEXT(Table7[[#This Row],[EXPIRY DATE]],"MMM")</f>
        <v>CLOSED</v>
      </c>
      <c r="H1575" s="93" t="str">
        <f>TEXT(Table7[[#This Row],[EXPIRY DATE]],"YYY")</f>
        <v>CLOSED</v>
      </c>
      <c r="I1575" s="92" t="s">
        <v>621</v>
      </c>
      <c r="J1575" s="75"/>
    </row>
    <row r="1576" spans="1:10" x14ac:dyDescent="0.3">
      <c r="A1576" s="84">
        <v>1575</v>
      </c>
      <c r="B1576" s="84" t="s">
        <v>2539</v>
      </c>
      <c r="C1576" s="92" t="s">
        <v>2466</v>
      </c>
      <c r="D1576" s="119" t="s">
        <v>2538</v>
      </c>
      <c r="E1576" s="93" t="s">
        <v>14</v>
      </c>
      <c r="F1576" s="93" t="s">
        <v>766</v>
      </c>
      <c r="G1576" s="93" t="str">
        <f>TEXT(Table7[[#This Row],[EXPIRY DATE]],"MMM")</f>
        <v>CLOSED</v>
      </c>
      <c r="H1576" s="93" t="str">
        <f>TEXT(Table7[[#This Row],[EXPIRY DATE]],"YYY")</f>
        <v>CLOSED</v>
      </c>
      <c r="I1576" s="92" t="s">
        <v>607</v>
      </c>
      <c r="J1576" s="75"/>
    </row>
    <row r="1577" spans="1:10" x14ac:dyDescent="0.3">
      <c r="A1577" s="84">
        <v>1576</v>
      </c>
      <c r="B1577" s="84" t="s">
        <v>2539</v>
      </c>
      <c r="C1577" s="92" t="s">
        <v>2466</v>
      </c>
      <c r="D1577" s="119" t="s">
        <v>2538</v>
      </c>
      <c r="E1577" s="93" t="s">
        <v>14</v>
      </c>
      <c r="F1577" s="93" t="s">
        <v>81</v>
      </c>
      <c r="G1577" s="93" t="str">
        <f>TEXT(Table7[[#This Row],[EXPIRY DATE]],"MMM")</f>
        <v>NA</v>
      </c>
      <c r="H1577" s="93" t="str">
        <f>TEXT(Table7[[#This Row],[EXPIRY DATE]],"YYY")</f>
        <v>NA</v>
      </c>
      <c r="I1577" s="92" t="s">
        <v>592</v>
      </c>
      <c r="J1577" s="75"/>
    </row>
    <row r="1578" spans="1:10" x14ac:dyDescent="0.3">
      <c r="A1578" s="84">
        <v>1577</v>
      </c>
      <c r="B1578" s="84" t="s">
        <v>2540</v>
      </c>
      <c r="C1578" s="92" t="s">
        <v>2466</v>
      </c>
      <c r="D1578" s="119" t="s">
        <v>2541</v>
      </c>
      <c r="E1578" s="93" t="s">
        <v>14</v>
      </c>
      <c r="F1578" s="93" t="s">
        <v>766</v>
      </c>
      <c r="G1578" s="93" t="str">
        <f>TEXT(Table7[[#This Row],[EXPIRY DATE]],"MMM")</f>
        <v>CLOSED</v>
      </c>
      <c r="H1578" s="93" t="str">
        <f>TEXT(Table7[[#This Row],[EXPIRY DATE]],"YYY")</f>
        <v>CLOSED</v>
      </c>
      <c r="I1578" s="92" t="s">
        <v>602</v>
      </c>
      <c r="J1578" s="75"/>
    </row>
    <row r="1579" spans="1:10" x14ac:dyDescent="0.3">
      <c r="A1579" s="84">
        <v>1578</v>
      </c>
      <c r="B1579" s="84" t="s">
        <v>2540</v>
      </c>
      <c r="C1579" s="92" t="s">
        <v>2466</v>
      </c>
      <c r="D1579" s="119" t="s">
        <v>2541</v>
      </c>
      <c r="E1579" s="93" t="s">
        <v>14</v>
      </c>
      <c r="F1579" s="93" t="s">
        <v>766</v>
      </c>
      <c r="G1579" s="93" t="str">
        <f>TEXT(Table7[[#This Row],[EXPIRY DATE]],"MMM")</f>
        <v>CLOSED</v>
      </c>
      <c r="H1579" s="93" t="str">
        <f>TEXT(Table7[[#This Row],[EXPIRY DATE]],"YYY")</f>
        <v>CLOSED</v>
      </c>
      <c r="I1579" s="93" t="s">
        <v>791</v>
      </c>
      <c r="J1579" s="75"/>
    </row>
    <row r="1580" spans="1:10" x14ac:dyDescent="0.3">
      <c r="A1580" s="84">
        <v>1579</v>
      </c>
      <c r="B1580" s="84" t="s">
        <v>2540</v>
      </c>
      <c r="C1580" s="92" t="s">
        <v>2466</v>
      </c>
      <c r="D1580" s="119" t="s">
        <v>2541</v>
      </c>
      <c r="E1580" s="93" t="s">
        <v>14</v>
      </c>
      <c r="F1580" s="93" t="s">
        <v>766</v>
      </c>
      <c r="G1580" s="93" t="str">
        <f>TEXT(Table7[[#This Row],[EXPIRY DATE]],"MMM")</f>
        <v>CLOSED</v>
      </c>
      <c r="H1580" s="93" t="str">
        <f>TEXT(Table7[[#This Row],[EXPIRY DATE]],"YYY")</f>
        <v>CLOSED</v>
      </c>
      <c r="I1580" s="92" t="s">
        <v>621</v>
      </c>
      <c r="J1580" s="75"/>
    </row>
    <row r="1581" spans="1:10" x14ac:dyDescent="0.3">
      <c r="A1581" s="84">
        <v>1580</v>
      </c>
      <c r="B1581" s="84" t="s">
        <v>2540</v>
      </c>
      <c r="C1581" s="92" t="s">
        <v>2466</v>
      </c>
      <c r="D1581" s="119" t="s">
        <v>2541</v>
      </c>
      <c r="E1581" s="93" t="s">
        <v>14</v>
      </c>
      <c r="F1581" s="93" t="s">
        <v>766</v>
      </c>
      <c r="G1581" s="93" t="str">
        <f>TEXT(Table7[[#This Row],[EXPIRY DATE]],"MMM")</f>
        <v>CLOSED</v>
      </c>
      <c r="H1581" s="93" t="str">
        <f>TEXT(Table7[[#This Row],[EXPIRY DATE]],"YYY")</f>
        <v>CLOSED</v>
      </c>
      <c r="I1581" s="92" t="s">
        <v>607</v>
      </c>
      <c r="J1581" s="75"/>
    </row>
    <row r="1582" spans="1:10" x14ac:dyDescent="0.3">
      <c r="A1582" s="84">
        <v>1581</v>
      </c>
      <c r="B1582" s="84" t="s">
        <v>2540</v>
      </c>
      <c r="C1582" s="92" t="s">
        <v>2466</v>
      </c>
      <c r="D1582" s="119" t="s">
        <v>2541</v>
      </c>
      <c r="E1582" s="93" t="s">
        <v>14</v>
      </c>
      <c r="F1582" s="93" t="s">
        <v>766</v>
      </c>
      <c r="G1582" s="93" t="str">
        <f>TEXT(Table7[[#This Row],[EXPIRY DATE]],"MMM")</f>
        <v>CLOSED</v>
      </c>
      <c r="H1582" s="93" t="str">
        <f>TEXT(Table7[[#This Row],[EXPIRY DATE]],"YYY")</f>
        <v>CLOSED</v>
      </c>
      <c r="I1582" s="92" t="s">
        <v>592</v>
      </c>
      <c r="J1582" s="75"/>
    </row>
    <row r="1583" spans="1:10" x14ac:dyDescent="0.3">
      <c r="A1583" s="84">
        <v>1582</v>
      </c>
      <c r="B1583" s="84" t="s">
        <v>2540</v>
      </c>
      <c r="C1583" s="92" t="s">
        <v>2466</v>
      </c>
      <c r="D1583" s="119" t="s">
        <v>2541</v>
      </c>
      <c r="E1583" s="93"/>
      <c r="F1583" s="93" t="s">
        <v>766</v>
      </c>
      <c r="G1583" s="93" t="str">
        <f>TEXT(Table7[[#This Row],[EXPIRY DATE]],"MMM")</f>
        <v>CLOSED</v>
      </c>
      <c r="H1583" s="93" t="str">
        <f>TEXT(Table7[[#This Row],[EXPIRY DATE]],"YYY")</f>
        <v>CLOSED</v>
      </c>
      <c r="I1583" s="92" t="s">
        <v>916</v>
      </c>
      <c r="J1583" s="75"/>
    </row>
    <row r="1584" spans="1:10" x14ac:dyDescent="0.3">
      <c r="A1584" s="84">
        <v>1583</v>
      </c>
      <c r="B1584" s="84" t="s">
        <v>2542</v>
      </c>
      <c r="C1584" s="92" t="s">
        <v>2466</v>
      </c>
      <c r="D1584" s="119" t="s">
        <v>2543</v>
      </c>
      <c r="E1584" s="93"/>
      <c r="F1584" s="93" t="s">
        <v>81</v>
      </c>
      <c r="G1584" s="93" t="str">
        <f>TEXT(Table7[[#This Row],[EXPIRY DATE]],"MMM")</f>
        <v>NA</v>
      </c>
      <c r="H1584" s="93" t="str">
        <f>TEXT(Table7[[#This Row],[EXPIRY DATE]],"YYY")</f>
        <v>NA</v>
      </c>
      <c r="I1584" s="92" t="s">
        <v>916</v>
      </c>
      <c r="J1584" s="75"/>
    </row>
    <row r="1585" spans="1:10" x14ac:dyDescent="0.3">
      <c r="A1585" s="84">
        <v>1584</v>
      </c>
      <c r="B1585" s="84" t="s">
        <v>2542</v>
      </c>
      <c r="C1585" s="92" t="s">
        <v>2466</v>
      </c>
      <c r="D1585" s="119" t="s">
        <v>2543</v>
      </c>
      <c r="E1585" s="93" t="s">
        <v>2468</v>
      </c>
      <c r="F1585" s="93" t="s">
        <v>766</v>
      </c>
      <c r="G1585" s="93" t="str">
        <f>TEXT(Table7[[#This Row],[EXPIRY DATE]],"MMM")</f>
        <v>CLOSED</v>
      </c>
      <c r="H1585" s="93" t="str">
        <f>TEXT(Table7[[#This Row],[EXPIRY DATE]],"YYY")</f>
        <v>CLOSED</v>
      </c>
      <c r="I1585" s="92" t="s">
        <v>602</v>
      </c>
      <c r="J1585" s="75"/>
    </row>
    <row r="1586" spans="1:10" x14ac:dyDescent="0.3">
      <c r="A1586" s="84">
        <v>1585</v>
      </c>
      <c r="B1586" s="84" t="s">
        <v>2542</v>
      </c>
      <c r="C1586" s="92" t="s">
        <v>2466</v>
      </c>
      <c r="D1586" s="119" t="s">
        <v>2543</v>
      </c>
      <c r="E1586" s="93" t="s">
        <v>2468</v>
      </c>
      <c r="F1586" s="93" t="s">
        <v>81</v>
      </c>
      <c r="G1586" s="93" t="str">
        <f>TEXT(Table7[[#This Row],[EXPIRY DATE]],"MMM")</f>
        <v>NA</v>
      </c>
      <c r="H1586" s="93" t="str">
        <f>TEXT(Table7[[#This Row],[EXPIRY DATE]],"YYY")</f>
        <v>NA</v>
      </c>
      <c r="I1586" s="93" t="s">
        <v>791</v>
      </c>
      <c r="J1586" s="75"/>
    </row>
    <row r="1587" spans="1:10" x14ac:dyDescent="0.3">
      <c r="A1587" s="84">
        <v>1586</v>
      </c>
      <c r="B1587" s="84" t="s">
        <v>2542</v>
      </c>
      <c r="C1587" s="92" t="s">
        <v>2466</v>
      </c>
      <c r="D1587" s="119" t="s">
        <v>2543</v>
      </c>
      <c r="E1587" s="93" t="s">
        <v>2468</v>
      </c>
      <c r="F1587" s="93" t="s">
        <v>81</v>
      </c>
      <c r="G1587" s="93" t="str">
        <f>TEXT(Table7[[#This Row],[EXPIRY DATE]],"MMM")</f>
        <v>NA</v>
      </c>
      <c r="H1587" s="93" t="str">
        <f>TEXT(Table7[[#This Row],[EXPIRY DATE]],"YYY")</f>
        <v>NA</v>
      </c>
      <c r="I1587" s="92" t="s">
        <v>621</v>
      </c>
      <c r="J1587" s="75"/>
    </row>
    <row r="1588" spans="1:10" x14ac:dyDescent="0.3">
      <c r="A1588" s="84">
        <v>1587</v>
      </c>
      <c r="B1588" s="84" t="s">
        <v>2542</v>
      </c>
      <c r="C1588" s="92" t="s">
        <v>2466</v>
      </c>
      <c r="D1588" s="119" t="s">
        <v>2543</v>
      </c>
      <c r="E1588" s="93" t="s">
        <v>2468</v>
      </c>
      <c r="F1588" s="93" t="s">
        <v>766</v>
      </c>
      <c r="G1588" s="93" t="str">
        <f>TEXT(Table7[[#This Row],[EXPIRY DATE]],"MMM")</f>
        <v>CLOSED</v>
      </c>
      <c r="H1588" s="93" t="str">
        <f>TEXT(Table7[[#This Row],[EXPIRY DATE]],"YYY")</f>
        <v>CLOSED</v>
      </c>
      <c r="I1588" s="92" t="s">
        <v>607</v>
      </c>
      <c r="J1588" s="75"/>
    </row>
    <row r="1589" spans="1:10" x14ac:dyDescent="0.3">
      <c r="A1589" s="84">
        <v>1588</v>
      </c>
      <c r="B1589" s="84" t="s">
        <v>2542</v>
      </c>
      <c r="C1589" s="92" t="s">
        <v>2466</v>
      </c>
      <c r="D1589" s="119" t="s">
        <v>2543</v>
      </c>
      <c r="E1589" s="93" t="s">
        <v>2468</v>
      </c>
      <c r="F1589" s="93" t="s">
        <v>81</v>
      </c>
      <c r="G1589" s="93" t="str">
        <f>TEXT(Table7[[#This Row],[EXPIRY DATE]],"MMM")</f>
        <v>NA</v>
      </c>
      <c r="H1589" s="93" t="str">
        <f>TEXT(Table7[[#This Row],[EXPIRY DATE]],"YYY")</f>
        <v>NA</v>
      </c>
      <c r="I1589" s="92" t="s">
        <v>592</v>
      </c>
      <c r="J1589" s="75"/>
    </row>
    <row r="1590" spans="1:10" x14ac:dyDescent="0.3">
      <c r="A1590" s="84">
        <v>1589</v>
      </c>
      <c r="B1590" s="84" t="s">
        <v>2494</v>
      </c>
      <c r="C1590" s="106" t="s">
        <v>2466</v>
      </c>
      <c r="D1590" s="124" t="s">
        <v>2495</v>
      </c>
      <c r="E1590" s="107" t="s">
        <v>2468</v>
      </c>
      <c r="F1590" s="107" t="s">
        <v>81</v>
      </c>
      <c r="G1590" s="107" t="str">
        <f>TEXT(Table7[[#This Row],[EXPIRY DATE]],"MMM")</f>
        <v>NA</v>
      </c>
      <c r="H1590" s="107" t="str">
        <f>TEXT(Table7[[#This Row],[EXPIRY DATE]],"YYY")</f>
        <v>NA</v>
      </c>
      <c r="I1590" s="107" t="s">
        <v>791</v>
      </c>
      <c r="J1590" s="78"/>
    </row>
    <row r="1591" spans="1:10" x14ac:dyDescent="0.3">
      <c r="A1591" s="84">
        <v>1590</v>
      </c>
      <c r="B1591" s="84" t="s">
        <v>2494</v>
      </c>
      <c r="C1591" s="84" t="s">
        <v>2466</v>
      </c>
      <c r="D1591" s="115" t="s">
        <v>2495</v>
      </c>
      <c r="E1591" s="85" t="s">
        <v>2468</v>
      </c>
      <c r="F1591" s="85" t="s">
        <v>81</v>
      </c>
      <c r="G1591" s="85" t="str">
        <f>TEXT(Table7[[#This Row],[EXPIRY DATE]],"MMM")</f>
        <v>NA</v>
      </c>
      <c r="H1591" s="85" t="str">
        <f>TEXT(Table7[[#This Row],[EXPIRY DATE]],"YYY")</f>
        <v>NA</v>
      </c>
      <c r="I1591" s="84" t="s">
        <v>621</v>
      </c>
      <c r="J1591" s="69"/>
    </row>
    <row r="1592" spans="1:10" x14ac:dyDescent="0.3">
      <c r="A1592" s="84">
        <v>1591</v>
      </c>
      <c r="B1592" s="84" t="s">
        <v>2494</v>
      </c>
      <c r="C1592" s="84" t="s">
        <v>2466</v>
      </c>
      <c r="D1592" s="115" t="s">
        <v>2495</v>
      </c>
      <c r="E1592" s="85" t="s">
        <v>2468</v>
      </c>
      <c r="F1592" s="85" t="s">
        <v>81</v>
      </c>
      <c r="G1592" s="85" t="str">
        <f>TEXT(Table7[[#This Row],[EXPIRY DATE]],"MMM")</f>
        <v>NA</v>
      </c>
      <c r="H1592" s="85" t="str">
        <f>TEXT(Table7[[#This Row],[EXPIRY DATE]],"YYY")</f>
        <v>NA</v>
      </c>
      <c r="I1592" s="84" t="s">
        <v>592</v>
      </c>
      <c r="J1592" s="69"/>
    </row>
    <row r="1593" spans="1:10" x14ac:dyDescent="0.3">
      <c r="A1593" s="84">
        <v>1592</v>
      </c>
      <c r="B1593" s="84" t="s">
        <v>2494</v>
      </c>
      <c r="C1593" s="84" t="s">
        <v>2466</v>
      </c>
      <c r="D1593" s="115" t="s">
        <v>2495</v>
      </c>
      <c r="E1593" s="85"/>
      <c r="F1593" s="85" t="s">
        <v>81</v>
      </c>
      <c r="G1593" s="85" t="str">
        <f>TEXT(Table7[[#This Row],[EXPIRY DATE]],"MMM")</f>
        <v>NA</v>
      </c>
      <c r="H1593" s="85" t="str">
        <f>TEXT(Table7[[#This Row],[EXPIRY DATE]],"YYY")</f>
        <v>NA</v>
      </c>
      <c r="I1593" s="84" t="s">
        <v>916</v>
      </c>
      <c r="J1593" s="69"/>
    </row>
    <row r="1594" spans="1:10" x14ac:dyDescent="0.3">
      <c r="A1594" s="84">
        <v>1593</v>
      </c>
      <c r="B1594" s="84" t="s">
        <v>2544</v>
      </c>
      <c r="C1594" s="92" t="s">
        <v>2466</v>
      </c>
      <c r="D1594" s="119" t="s">
        <v>2545</v>
      </c>
      <c r="E1594" s="93" t="s">
        <v>601</v>
      </c>
      <c r="F1594" s="93" t="s">
        <v>766</v>
      </c>
      <c r="G1594" s="93" t="str">
        <f>TEXT(Table7[[#This Row],[EXPIRY DATE]],"MMM")</f>
        <v>CLOSED</v>
      </c>
      <c r="H1594" s="93" t="str">
        <f>TEXT(Table7[[#This Row],[EXPIRY DATE]],"YYY")</f>
        <v>CLOSED</v>
      </c>
      <c r="I1594" s="92" t="s">
        <v>602</v>
      </c>
      <c r="J1594" s="75"/>
    </row>
    <row r="1595" spans="1:10" x14ac:dyDescent="0.3">
      <c r="A1595" s="84">
        <v>1594</v>
      </c>
      <c r="B1595" s="84" t="s">
        <v>2546</v>
      </c>
      <c r="C1595" s="84" t="s">
        <v>2547</v>
      </c>
      <c r="D1595" s="115" t="s">
        <v>2548</v>
      </c>
      <c r="E1595" s="85" t="s">
        <v>737</v>
      </c>
      <c r="F1595" s="85">
        <v>46170</v>
      </c>
      <c r="G1595" s="85" t="str">
        <f>TEXT(Table7[[#This Row],[EXPIRY DATE]],"MMM")</f>
        <v>May</v>
      </c>
      <c r="H1595" s="85" t="str">
        <f>TEXT(Table7[[#This Row],[EXPIRY DATE]],"YYY")</f>
        <v>2026</v>
      </c>
      <c r="I1595" s="85" t="s">
        <v>791</v>
      </c>
      <c r="J1595" s="69"/>
    </row>
    <row r="1596" spans="1:10" x14ac:dyDescent="0.3">
      <c r="A1596" s="84">
        <v>1595</v>
      </c>
      <c r="B1596" s="84" t="s">
        <v>2549</v>
      </c>
      <c r="C1596" s="84" t="s">
        <v>2550</v>
      </c>
      <c r="D1596" s="115" t="s">
        <v>2551</v>
      </c>
      <c r="E1596" s="85" t="s">
        <v>2552</v>
      </c>
      <c r="F1596" s="84" t="s">
        <v>629</v>
      </c>
      <c r="G1596" s="85" t="s">
        <v>629</v>
      </c>
      <c r="H1596" s="85" t="str">
        <f>TEXT(Table7[[#This Row],[EXPIRY DATE]],"YYY")</f>
        <v>LIFETIME</v>
      </c>
      <c r="I1596" s="84" t="s">
        <v>602</v>
      </c>
      <c r="J1596" s="69"/>
    </row>
    <row r="1597" spans="1:10" x14ac:dyDescent="0.3">
      <c r="A1597" s="84">
        <v>1596</v>
      </c>
      <c r="B1597" s="84" t="s">
        <v>2553</v>
      </c>
      <c r="C1597" s="84" t="s">
        <v>2554</v>
      </c>
      <c r="D1597" s="115" t="s">
        <v>2555</v>
      </c>
      <c r="E1597" s="85"/>
      <c r="F1597" s="85" t="s">
        <v>766</v>
      </c>
      <c r="G1597" s="85" t="str">
        <f>TEXT(Table7[[#This Row],[EXPIRY DATE]],"MMM")</f>
        <v>CLOSED</v>
      </c>
      <c r="H1597" s="85" t="str">
        <f>TEXT(Table7[[#This Row],[EXPIRY DATE]],"YYY")</f>
        <v>CLOSED</v>
      </c>
      <c r="I1597" s="84" t="s">
        <v>602</v>
      </c>
      <c r="J1597" s="69"/>
    </row>
    <row r="1598" spans="1:10" x14ac:dyDescent="0.3">
      <c r="A1598" s="84">
        <v>1597</v>
      </c>
      <c r="B1598" s="84" t="s">
        <v>2553</v>
      </c>
      <c r="C1598" s="84" t="s">
        <v>2554</v>
      </c>
      <c r="D1598" s="115" t="s">
        <v>2555</v>
      </c>
      <c r="E1598" s="85"/>
      <c r="F1598" s="85" t="s">
        <v>766</v>
      </c>
      <c r="G1598" s="85" t="str">
        <f>TEXT(Table7[[#This Row],[EXPIRY DATE]],"MMM")</f>
        <v>CLOSED</v>
      </c>
      <c r="H1598" s="85" t="str">
        <f>TEXT(Table7[[#This Row],[EXPIRY DATE]],"YYY")</f>
        <v>CLOSED</v>
      </c>
      <c r="I1598" s="85" t="s">
        <v>791</v>
      </c>
      <c r="J1598" s="69"/>
    </row>
    <row r="1599" spans="1:10" x14ac:dyDescent="0.3">
      <c r="A1599" s="84">
        <v>1598</v>
      </c>
      <c r="B1599" s="84" t="s">
        <v>2553</v>
      </c>
      <c r="C1599" s="84" t="s">
        <v>2554</v>
      </c>
      <c r="D1599" s="115" t="s">
        <v>2555</v>
      </c>
      <c r="E1599" s="85"/>
      <c r="F1599" s="85" t="s">
        <v>766</v>
      </c>
      <c r="G1599" s="85" t="str">
        <f>TEXT(Table7[[#This Row],[EXPIRY DATE]],"MMM")</f>
        <v>CLOSED</v>
      </c>
      <c r="H1599" s="85" t="str">
        <f>TEXT(Table7[[#This Row],[EXPIRY DATE]],"YYY")</f>
        <v>CLOSED</v>
      </c>
      <c r="I1599" s="84" t="s">
        <v>916</v>
      </c>
      <c r="J1599" s="69"/>
    </row>
    <row r="1600" spans="1:10" x14ac:dyDescent="0.3">
      <c r="A1600" s="84">
        <v>1599</v>
      </c>
      <c r="B1600" s="84" t="s">
        <v>2556</v>
      </c>
      <c r="C1600" s="92" t="s">
        <v>2557</v>
      </c>
      <c r="D1600" s="119" t="s">
        <v>2558</v>
      </c>
      <c r="E1600" s="93" t="s">
        <v>885</v>
      </c>
      <c r="F1600" s="93" t="s">
        <v>766</v>
      </c>
      <c r="G1600" s="93" t="str">
        <f>TEXT(Table7[[#This Row],[EXPIRY DATE]],"MMM")</f>
        <v>CLOSED</v>
      </c>
      <c r="H1600" s="93" t="str">
        <f>TEXT(Table7[[#This Row],[EXPIRY DATE]],"YYY")</f>
        <v>CLOSED</v>
      </c>
      <c r="I1600" s="93" t="s">
        <v>791</v>
      </c>
      <c r="J1600" s="75"/>
    </row>
    <row r="1601" spans="1:10" x14ac:dyDescent="0.3">
      <c r="A1601" s="84">
        <v>1600</v>
      </c>
      <c r="B1601" s="84" t="s">
        <v>2559</v>
      </c>
      <c r="C1601" s="84" t="s">
        <v>2557</v>
      </c>
      <c r="D1601" s="115" t="s">
        <v>2558</v>
      </c>
      <c r="E1601" s="85"/>
      <c r="F1601" s="85" t="s">
        <v>81</v>
      </c>
      <c r="G1601" s="85" t="str">
        <f>TEXT(Table7[[#This Row],[EXPIRY DATE]],"MMM")</f>
        <v>NA</v>
      </c>
      <c r="H1601" s="85" t="str">
        <f>TEXT(Table7[[#This Row],[EXPIRY DATE]],"YYY")</f>
        <v>NA</v>
      </c>
      <c r="I1601" s="84" t="s">
        <v>602</v>
      </c>
      <c r="J1601" s="69"/>
    </row>
    <row r="1602" spans="1:10" x14ac:dyDescent="0.3">
      <c r="A1602" s="84">
        <v>1601</v>
      </c>
      <c r="B1602" s="84"/>
      <c r="C1602" s="92" t="s">
        <v>2560</v>
      </c>
      <c r="D1602" s="119" t="s">
        <v>2561</v>
      </c>
      <c r="E1602" s="93" t="s">
        <v>616</v>
      </c>
      <c r="F1602" s="93" t="s">
        <v>766</v>
      </c>
      <c r="G1602" s="93" t="str">
        <f>TEXT(Table7[[#This Row],[EXPIRY DATE]],"MMM")</f>
        <v>CLOSED</v>
      </c>
      <c r="H1602" s="93" t="str">
        <f>TEXT(Table7[[#This Row],[EXPIRY DATE]],"YYY")</f>
        <v>CLOSED</v>
      </c>
      <c r="I1602" s="93" t="s">
        <v>791</v>
      </c>
      <c r="J1602" s="75"/>
    </row>
    <row r="1603" spans="1:10" x14ac:dyDescent="0.3">
      <c r="A1603" s="84">
        <v>1602</v>
      </c>
      <c r="B1603" s="84" t="s">
        <v>2562</v>
      </c>
      <c r="C1603" s="84" t="s">
        <v>2563</v>
      </c>
      <c r="D1603" s="115" t="s">
        <v>2564</v>
      </c>
      <c r="E1603" s="85" t="s">
        <v>737</v>
      </c>
      <c r="F1603" s="85">
        <v>46022</v>
      </c>
      <c r="G1603" s="85" t="s">
        <v>625</v>
      </c>
      <c r="H1603" s="85" t="str">
        <f>TEXT(Table7[[#This Row],[EXPIRY DATE]],"YYY")</f>
        <v>2025</v>
      </c>
      <c r="I1603" s="84" t="s">
        <v>607</v>
      </c>
      <c r="J1603" s="69"/>
    </row>
    <row r="1604" spans="1:10" x14ac:dyDescent="0.3">
      <c r="A1604" s="84">
        <v>1603</v>
      </c>
      <c r="B1604" s="84" t="s">
        <v>2562</v>
      </c>
      <c r="C1604" s="84" t="s">
        <v>2563</v>
      </c>
      <c r="D1604" s="115" t="s">
        <v>2564</v>
      </c>
      <c r="E1604" s="85" t="s">
        <v>737</v>
      </c>
      <c r="F1604" s="85" t="s">
        <v>629</v>
      </c>
      <c r="G1604" s="85" t="s">
        <v>629</v>
      </c>
      <c r="H1604" s="85" t="str">
        <f>TEXT(Table7[[#This Row],[EXPIRY DATE]],"YYY")</f>
        <v>LIFETIME</v>
      </c>
      <c r="I1604" s="84" t="s">
        <v>602</v>
      </c>
      <c r="J1604" s="69"/>
    </row>
    <row r="1605" spans="1:10" x14ac:dyDescent="0.3">
      <c r="A1605" s="84">
        <v>1604</v>
      </c>
      <c r="B1605" s="84" t="s">
        <v>2565</v>
      </c>
      <c r="C1605" s="102" t="s">
        <v>2566</v>
      </c>
      <c r="D1605" s="115" t="s">
        <v>2567</v>
      </c>
      <c r="E1605" s="103"/>
      <c r="F1605" s="103" t="s">
        <v>817</v>
      </c>
      <c r="G1605" s="103" t="str">
        <f>TEXT(Table7[[#This Row],[EXPIRY DATE]],"MMM")</f>
        <v>DORMANT</v>
      </c>
      <c r="H1605" s="103" t="str">
        <f>TEXT(Table7[[#This Row],[EXPIRY DATE]],"YYY")</f>
        <v>DORMANT</v>
      </c>
      <c r="I1605" s="103" t="s">
        <v>791</v>
      </c>
      <c r="J1605" s="77"/>
    </row>
    <row r="1606" spans="1:10" ht="20.399999999999999" x14ac:dyDescent="0.3">
      <c r="A1606" s="84">
        <v>1605</v>
      </c>
      <c r="B1606" s="84" t="s">
        <v>2568</v>
      </c>
      <c r="C1606" s="84" t="s">
        <v>2569</v>
      </c>
      <c r="D1606" s="115" t="s">
        <v>2570</v>
      </c>
      <c r="E1606" s="84" t="s">
        <v>2571</v>
      </c>
      <c r="F1606" s="85">
        <v>46108</v>
      </c>
      <c r="G1606" s="84" t="s">
        <v>606</v>
      </c>
      <c r="H1606" s="85" t="str">
        <f>TEXT(Table7[[#This Row],[EXPIRY DATE]],"YYY")</f>
        <v>2026</v>
      </c>
      <c r="I1606" s="84" t="s">
        <v>791</v>
      </c>
      <c r="J1606" s="69"/>
    </row>
    <row r="1607" spans="1:10" x14ac:dyDescent="0.3">
      <c r="A1607" s="84">
        <v>1606</v>
      </c>
      <c r="B1607" s="84" t="s">
        <v>1649</v>
      </c>
      <c r="C1607" s="84" t="s">
        <v>2572</v>
      </c>
      <c r="D1607" s="115" t="s">
        <v>2573</v>
      </c>
      <c r="E1607" s="85" t="s">
        <v>601</v>
      </c>
      <c r="F1607" s="85">
        <v>46149</v>
      </c>
      <c r="G1607" s="85" t="str">
        <f>TEXT(Table7[[#This Row],[EXPIRY DATE]],"MMM")</f>
        <v>May</v>
      </c>
      <c r="H1607" s="85" t="str">
        <f>TEXT(Table7[[#This Row],[EXPIRY DATE]],"YYY")</f>
        <v>2026</v>
      </c>
      <c r="I1607" s="84" t="s">
        <v>602</v>
      </c>
      <c r="J1607" s="69"/>
    </row>
    <row r="1608" spans="1:10" ht="20.399999999999999" x14ac:dyDescent="0.3">
      <c r="A1608" s="84">
        <v>1607</v>
      </c>
      <c r="B1608" s="84" t="s">
        <v>1649</v>
      </c>
      <c r="C1608" s="84" t="s">
        <v>2572</v>
      </c>
      <c r="D1608" s="115" t="s">
        <v>2574</v>
      </c>
      <c r="E1608" s="85" t="s">
        <v>601</v>
      </c>
      <c r="F1608" s="85">
        <v>46197</v>
      </c>
      <c r="G1608" s="85" t="str">
        <f>TEXT(Table7[[#This Row],[EXPIRY DATE]],"MMM")</f>
        <v>Jun</v>
      </c>
      <c r="H1608" s="85" t="str">
        <f>TEXT(Table7[[#This Row],[EXPIRY DATE]],"YYY")</f>
        <v>2026</v>
      </c>
      <c r="I1608" s="85" t="s">
        <v>791</v>
      </c>
      <c r="J1608" s="69"/>
    </row>
    <row r="1609" spans="1:10" ht="20.399999999999999" x14ac:dyDescent="0.3">
      <c r="A1609" s="84">
        <v>1608</v>
      </c>
      <c r="B1609" s="84" t="s">
        <v>1971</v>
      </c>
      <c r="C1609" s="84" t="s">
        <v>2572</v>
      </c>
      <c r="D1609" s="115" t="s">
        <v>2575</v>
      </c>
      <c r="E1609" s="85" t="s">
        <v>601</v>
      </c>
      <c r="F1609" s="85">
        <v>46198</v>
      </c>
      <c r="G1609" s="85" t="str">
        <f>TEXT(Table7[[#This Row],[EXPIRY DATE]],"MMM")</f>
        <v>Jun</v>
      </c>
      <c r="H1609" s="85" t="str">
        <f>TEXT(Table7[[#This Row],[EXPIRY DATE]],"YYY")</f>
        <v>2026</v>
      </c>
      <c r="I1609" s="85" t="s">
        <v>791</v>
      </c>
      <c r="J1609" s="69"/>
    </row>
    <row r="1610" spans="1:10" ht="20.399999999999999" x14ac:dyDescent="0.3">
      <c r="A1610" s="84">
        <v>1609</v>
      </c>
      <c r="B1610" s="84" t="s">
        <v>2328</v>
      </c>
      <c r="C1610" s="84" t="s">
        <v>2572</v>
      </c>
      <c r="D1610" s="115" t="s">
        <v>2576</v>
      </c>
      <c r="E1610" s="85" t="s">
        <v>601</v>
      </c>
      <c r="F1610" s="85">
        <v>46198</v>
      </c>
      <c r="G1610" s="85" t="str">
        <f>TEXT(Table7[[#This Row],[EXPIRY DATE]],"MMM")</f>
        <v>Jun</v>
      </c>
      <c r="H1610" s="85" t="str">
        <f>TEXT(Table7[[#This Row],[EXPIRY DATE]],"YYY")</f>
        <v>2026</v>
      </c>
      <c r="I1610" s="85" t="s">
        <v>791</v>
      </c>
      <c r="J1610" s="69"/>
    </row>
    <row r="1611" spans="1:10" x14ac:dyDescent="0.3">
      <c r="A1611" s="84">
        <v>1610</v>
      </c>
      <c r="B1611" s="84" t="s">
        <v>1649</v>
      </c>
      <c r="C1611" s="84" t="s">
        <v>2572</v>
      </c>
      <c r="D1611" s="115" t="s">
        <v>2573</v>
      </c>
      <c r="E1611" s="85" t="s">
        <v>601</v>
      </c>
      <c r="F1611" s="85">
        <v>46210</v>
      </c>
      <c r="G1611" s="85" t="str">
        <f>TEXT(Table7[[#This Row],[EXPIRY DATE]],"MMM")</f>
        <v>Jul</v>
      </c>
      <c r="H1611" s="85" t="str">
        <f>TEXT(Table7[[#This Row],[EXPIRY DATE]],"YYY")</f>
        <v>2026</v>
      </c>
      <c r="I1611" s="84" t="s">
        <v>839</v>
      </c>
      <c r="J1611" s="69"/>
    </row>
    <row r="1612" spans="1:10" x14ac:dyDescent="0.3">
      <c r="A1612" s="84">
        <v>1611</v>
      </c>
      <c r="B1612" s="84" t="s">
        <v>2328</v>
      </c>
      <c r="C1612" s="84" t="s">
        <v>2572</v>
      </c>
      <c r="D1612" s="115" t="s">
        <v>2577</v>
      </c>
      <c r="E1612" s="85" t="s">
        <v>601</v>
      </c>
      <c r="F1612" s="85">
        <v>46256</v>
      </c>
      <c r="G1612" s="85" t="str">
        <f>TEXT(Table7[[#This Row],[EXPIRY DATE]],"MMM")</f>
        <v>Aug</v>
      </c>
      <c r="H1612" s="85" t="str">
        <f>TEXT(Table7[[#This Row],[EXPIRY DATE]],"YYY")</f>
        <v>2026</v>
      </c>
      <c r="I1612" s="84" t="s">
        <v>602</v>
      </c>
      <c r="J1612" s="69"/>
    </row>
    <row r="1613" spans="1:10" x14ac:dyDescent="0.3">
      <c r="A1613" s="84">
        <v>1612</v>
      </c>
      <c r="B1613" s="84" t="s">
        <v>2578</v>
      </c>
      <c r="C1613" s="84" t="s">
        <v>2579</v>
      </c>
      <c r="D1613" s="115" t="s">
        <v>2580</v>
      </c>
      <c r="E1613" s="85"/>
      <c r="F1613" s="85">
        <v>45403</v>
      </c>
      <c r="G1613" s="85" t="str">
        <f>TEXT(Table7[[#This Row],[EXPIRY DATE]],"MMM")</f>
        <v>Apr</v>
      </c>
      <c r="H1613" s="85" t="str">
        <f>TEXT(Table7[[#This Row],[EXPIRY DATE]],"YYY")</f>
        <v>2024</v>
      </c>
      <c r="I1613" s="85" t="s">
        <v>791</v>
      </c>
      <c r="J1613" s="69"/>
    </row>
    <row r="1614" spans="1:10" x14ac:dyDescent="0.3">
      <c r="A1614" s="84">
        <v>1613</v>
      </c>
      <c r="B1614" s="84" t="s">
        <v>2581</v>
      </c>
      <c r="C1614" s="84" t="s">
        <v>2579</v>
      </c>
      <c r="D1614" s="115" t="s">
        <v>2582</v>
      </c>
      <c r="E1614" s="85"/>
      <c r="F1614" s="85">
        <v>45525</v>
      </c>
      <c r="G1614" s="85" t="str">
        <f>TEXT(Table7[[#This Row],[EXPIRY DATE]],"MMM")</f>
        <v>Aug</v>
      </c>
      <c r="H1614" s="85" t="str">
        <f>TEXT(Table7[[#This Row],[EXPIRY DATE]],"YYY")</f>
        <v>2024</v>
      </c>
      <c r="I1614" s="85" t="s">
        <v>791</v>
      </c>
      <c r="J1614" s="69"/>
    </row>
    <row r="1615" spans="1:10" x14ac:dyDescent="0.3">
      <c r="A1615" s="84">
        <v>1614</v>
      </c>
      <c r="B1615" s="84" t="s">
        <v>2583</v>
      </c>
      <c r="C1615" s="84" t="s">
        <v>2579</v>
      </c>
      <c r="D1615" s="115" t="s">
        <v>2584</v>
      </c>
      <c r="E1615" s="85"/>
      <c r="F1615" s="85">
        <v>45584</v>
      </c>
      <c r="G1615" s="85" t="str">
        <f>TEXT(Table7[[#This Row],[EXPIRY DATE]],"MMM")</f>
        <v>Oct</v>
      </c>
      <c r="H1615" s="85" t="str">
        <f>TEXT(Table7[[#This Row],[EXPIRY DATE]],"YYY")</f>
        <v>2024</v>
      </c>
      <c r="I1615" s="85" t="s">
        <v>791</v>
      </c>
      <c r="J1615" s="69"/>
    </row>
    <row r="1616" spans="1:10" x14ac:dyDescent="0.3">
      <c r="A1616" s="84">
        <v>1615</v>
      </c>
      <c r="B1616" s="84" t="s">
        <v>2585</v>
      </c>
      <c r="C1616" s="84" t="s">
        <v>2579</v>
      </c>
      <c r="D1616" s="115" t="s">
        <v>2586</v>
      </c>
      <c r="E1616" s="85"/>
      <c r="F1616" s="85">
        <v>46072</v>
      </c>
      <c r="G1616" s="85" t="str">
        <f>TEXT(Table7[[#This Row],[EXPIRY DATE]],"MMM")</f>
        <v>Feb</v>
      </c>
      <c r="H1616" s="85" t="str">
        <f>TEXT(Table7[[#This Row],[EXPIRY DATE]],"YYY")</f>
        <v>2026</v>
      </c>
      <c r="I1616" s="85" t="s">
        <v>791</v>
      </c>
      <c r="J1616" s="69"/>
    </row>
    <row r="1617" spans="1:10" x14ac:dyDescent="0.3">
      <c r="A1617" s="84">
        <v>1616</v>
      </c>
      <c r="B1617" s="84" t="s">
        <v>2587</v>
      </c>
      <c r="C1617" s="84" t="s">
        <v>2579</v>
      </c>
      <c r="D1617" s="115" t="s">
        <v>2588</v>
      </c>
      <c r="E1617" s="85"/>
      <c r="F1617" s="85">
        <v>46285</v>
      </c>
      <c r="G1617" s="85" t="str">
        <f>TEXT(Table7[[#This Row],[EXPIRY DATE]],"MMM")</f>
        <v>Sep</v>
      </c>
      <c r="H1617" s="85" t="str">
        <f>TEXT(Table7[[#This Row],[EXPIRY DATE]],"YYY")</f>
        <v>2026</v>
      </c>
      <c r="I1617" s="85" t="s">
        <v>791</v>
      </c>
      <c r="J1617" s="69"/>
    </row>
    <row r="1618" spans="1:10" x14ac:dyDescent="0.3">
      <c r="A1618" s="84">
        <v>1617</v>
      </c>
      <c r="B1618" s="84" t="s">
        <v>2589</v>
      </c>
      <c r="C1618" s="92" t="s">
        <v>2579</v>
      </c>
      <c r="D1618" s="119" t="s">
        <v>2590</v>
      </c>
      <c r="E1618" s="93"/>
      <c r="F1618" s="93" t="s">
        <v>766</v>
      </c>
      <c r="G1618" s="93" t="str">
        <f>TEXT(Table7[[#This Row],[EXPIRY DATE]],"MMM")</f>
        <v>CLOSED</v>
      </c>
      <c r="H1618" s="93" t="str">
        <f>TEXT(Table7[[#This Row],[EXPIRY DATE]],"YYY")</f>
        <v>CLOSED</v>
      </c>
      <c r="I1618" s="93" t="s">
        <v>791</v>
      </c>
      <c r="J1618" s="75"/>
    </row>
    <row r="1619" spans="1:10" x14ac:dyDescent="0.3">
      <c r="A1619" s="84">
        <v>1618</v>
      </c>
      <c r="B1619" s="84" t="s">
        <v>2591</v>
      </c>
      <c r="C1619" s="92" t="s">
        <v>2579</v>
      </c>
      <c r="D1619" s="119" t="s">
        <v>2592</v>
      </c>
      <c r="E1619" s="93"/>
      <c r="F1619" s="93" t="s">
        <v>766</v>
      </c>
      <c r="G1619" s="93" t="str">
        <f>TEXT(Table7[[#This Row],[EXPIRY DATE]],"MMM")</f>
        <v>CLOSED</v>
      </c>
      <c r="H1619" s="93" t="str">
        <f>TEXT(Table7[[#This Row],[EXPIRY DATE]],"YYY")</f>
        <v>CLOSED</v>
      </c>
      <c r="I1619" s="93" t="s">
        <v>791</v>
      </c>
      <c r="J1619" s="75"/>
    </row>
    <row r="1620" spans="1:10" x14ac:dyDescent="0.3">
      <c r="A1620" s="84">
        <v>1619</v>
      </c>
      <c r="B1620" s="84" t="s">
        <v>2593</v>
      </c>
      <c r="C1620" s="92" t="s">
        <v>2579</v>
      </c>
      <c r="D1620" s="119" t="s">
        <v>2594</v>
      </c>
      <c r="E1620" s="93"/>
      <c r="F1620" s="93" t="s">
        <v>766</v>
      </c>
      <c r="G1620" s="93" t="str">
        <f>TEXT(Table7[[#This Row],[EXPIRY DATE]],"MMM")</f>
        <v>CLOSED</v>
      </c>
      <c r="H1620" s="93" t="str">
        <f>TEXT(Table7[[#This Row],[EXPIRY DATE]],"YYY")</f>
        <v>CLOSED</v>
      </c>
      <c r="I1620" s="93" t="s">
        <v>791</v>
      </c>
      <c r="J1620" s="75"/>
    </row>
    <row r="1621" spans="1:10" ht="30.6" x14ac:dyDescent="0.3">
      <c r="A1621" s="84">
        <v>1620</v>
      </c>
      <c r="B1621" s="84" t="s">
        <v>2595</v>
      </c>
      <c r="C1621" s="92" t="s">
        <v>2579</v>
      </c>
      <c r="D1621" s="119" t="s">
        <v>2596</v>
      </c>
      <c r="E1621" s="93" t="s">
        <v>652</v>
      </c>
      <c r="F1621" s="93" t="s">
        <v>766</v>
      </c>
      <c r="G1621" s="93" t="s">
        <v>838</v>
      </c>
      <c r="H1621" s="93" t="str">
        <f>TEXT(Table7[[#This Row],[EXPIRY DATE]],"YYY")</f>
        <v>CLOSED</v>
      </c>
      <c r="I1621" s="92" t="s">
        <v>791</v>
      </c>
      <c r="J1621" s="75"/>
    </row>
    <row r="1622" spans="1:10" x14ac:dyDescent="0.3">
      <c r="A1622" s="84">
        <v>1621</v>
      </c>
      <c r="B1622" s="84" t="s">
        <v>1952</v>
      </c>
      <c r="C1622" s="84" t="s">
        <v>2597</v>
      </c>
      <c r="D1622" s="115" t="s">
        <v>2598</v>
      </c>
      <c r="E1622" s="85" t="s">
        <v>1014</v>
      </c>
      <c r="F1622" s="85">
        <v>45291</v>
      </c>
      <c r="G1622" s="85" t="str">
        <f>TEXT(Table7[[#This Row],[EXPIRY DATE]],"MMM")</f>
        <v>Dec</v>
      </c>
      <c r="H1622" s="85" t="str">
        <f>TEXT(Table7[[#This Row],[EXPIRY DATE]],"YYY")</f>
        <v>2023</v>
      </c>
      <c r="I1622" s="84" t="s">
        <v>916</v>
      </c>
      <c r="J1622" s="69"/>
    </row>
    <row r="1623" spans="1:10" x14ac:dyDescent="0.3">
      <c r="A1623" s="84">
        <v>1622</v>
      </c>
      <c r="B1623" s="84" t="s">
        <v>450</v>
      </c>
      <c r="C1623" s="84" t="s">
        <v>2597</v>
      </c>
      <c r="D1623" s="115" t="s">
        <v>2599</v>
      </c>
      <c r="E1623" s="85" t="s">
        <v>1210</v>
      </c>
      <c r="F1623" s="85">
        <v>45625</v>
      </c>
      <c r="G1623" s="85" t="str">
        <f>TEXT(Table7[[#This Row],[EXPIRY DATE]],"MMM")</f>
        <v>Nov</v>
      </c>
      <c r="H1623" s="85" t="str">
        <f>TEXT(Table7[[#This Row],[EXPIRY DATE]],"YYY")</f>
        <v>2024</v>
      </c>
      <c r="I1623" s="85" t="s">
        <v>791</v>
      </c>
      <c r="J1623" s="69"/>
    </row>
    <row r="1624" spans="1:10" x14ac:dyDescent="0.3">
      <c r="A1624" s="84">
        <v>1623</v>
      </c>
      <c r="B1624" s="84" t="s">
        <v>910</v>
      </c>
      <c r="C1624" s="84" t="s">
        <v>2597</v>
      </c>
      <c r="D1624" s="115" t="s">
        <v>2600</v>
      </c>
      <c r="E1624" s="85" t="s">
        <v>737</v>
      </c>
      <c r="F1624" s="85">
        <v>46017</v>
      </c>
      <c r="G1624" s="85" t="str">
        <f>TEXT(Table7[[#This Row],[EXPIRY DATE]],"MMM")</f>
        <v>Dec</v>
      </c>
      <c r="H1624" s="85" t="str">
        <f>TEXT(Table7[[#This Row],[EXPIRY DATE]],"YYY")</f>
        <v>2025</v>
      </c>
      <c r="I1624" s="85" t="s">
        <v>791</v>
      </c>
      <c r="J1624" s="69"/>
    </row>
    <row r="1625" spans="1:10" x14ac:dyDescent="0.3">
      <c r="A1625" s="84">
        <v>1624</v>
      </c>
      <c r="B1625" s="84" t="s">
        <v>1952</v>
      </c>
      <c r="C1625" s="84" t="s">
        <v>2597</v>
      </c>
      <c r="D1625" s="115" t="s">
        <v>2598</v>
      </c>
      <c r="E1625" s="85" t="s">
        <v>1014</v>
      </c>
      <c r="F1625" s="85">
        <v>46022</v>
      </c>
      <c r="G1625" s="85" t="str">
        <f>TEXT(Table7[[#This Row],[EXPIRY DATE]],"MMM")</f>
        <v>Dec</v>
      </c>
      <c r="H1625" s="85" t="str">
        <f>TEXT(Table7[[#This Row],[EXPIRY DATE]],"YYY")</f>
        <v>2025</v>
      </c>
      <c r="I1625" s="84" t="s">
        <v>607</v>
      </c>
      <c r="J1625" s="69"/>
    </row>
    <row r="1626" spans="1:10" x14ac:dyDescent="0.3">
      <c r="A1626" s="84">
        <v>1625</v>
      </c>
      <c r="B1626" s="84" t="s">
        <v>450</v>
      </c>
      <c r="C1626" s="84" t="s">
        <v>2597</v>
      </c>
      <c r="D1626" s="115" t="s">
        <v>2599</v>
      </c>
      <c r="E1626" s="85" t="s">
        <v>1210</v>
      </c>
      <c r="F1626" s="85">
        <v>46022</v>
      </c>
      <c r="G1626" s="85" t="str">
        <f>TEXT(Table7[[#This Row],[EXPIRY DATE]],"MMM")</f>
        <v>Dec</v>
      </c>
      <c r="H1626" s="85" t="str">
        <f>TEXT(Table7[[#This Row],[EXPIRY DATE]],"YYY")</f>
        <v>2025</v>
      </c>
      <c r="I1626" s="84" t="s">
        <v>916</v>
      </c>
      <c r="J1626" s="69"/>
    </row>
    <row r="1627" spans="1:10" ht="20.399999999999999" x14ac:dyDescent="0.3">
      <c r="A1627" s="84">
        <v>1626</v>
      </c>
      <c r="B1627" s="84" t="s">
        <v>2601</v>
      </c>
      <c r="C1627" s="84" t="s">
        <v>2597</v>
      </c>
      <c r="D1627" s="115" t="s">
        <v>2602</v>
      </c>
      <c r="E1627" s="85" t="s">
        <v>1175</v>
      </c>
      <c r="F1627" s="85">
        <v>46022</v>
      </c>
      <c r="G1627" s="85" t="str">
        <f>TEXT(Table7[[#This Row],[EXPIRY DATE]],"MMM")</f>
        <v>Dec</v>
      </c>
      <c r="H1627" s="85" t="str">
        <f>TEXT(Table7[[#This Row],[EXPIRY DATE]],"YYY")</f>
        <v>2025</v>
      </c>
      <c r="I1627" s="84" t="s">
        <v>607</v>
      </c>
      <c r="J1627" s="69"/>
    </row>
    <row r="1628" spans="1:10" x14ac:dyDescent="0.3">
      <c r="A1628" s="84">
        <v>1627</v>
      </c>
      <c r="B1628" s="84" t="s">
        <v>2603</v>
      </c>
      <c r="C1628" s="84" t="s">
        <v>2597</v>
      </c>
      <c r="D1628" s="115" t="s">
        <v>2604</v>
      </c>
      <c r="E1628" s="85" t="s">
        <v>1014</v>
      </c>
      <c r="F1628" s="85">
        <v>46022</v>
      </c>
      <c r="G1628" s="85" t="str">
        <f>TEXT(Table7[[#This Row],[EXPIRY DATE]],"MMM")</f>
        <v>Dec</v>
      </c>
      <c r="H1628" s="85" t="str">
        <f>TEXT(Table7[[#This Row],[EXPIRY DATE]],"YYY")</f>
        <v>2025</v>
      </c>
      <c r="I1628" s="84" t="s">
        <v>607</v>
      </c>
      <c r="J1628" s="69"/>
    </row>
    <row r="1629" spans="1:10" x14ac:dyDescent="0.3">
      <c r="A1629" s="84">
        <v>1628</v>
      </c>
      <c r="B1629" s="84" t="s">
        <v>2605</v>
      </c>
      <c r="C1629" s="84" t="s">
        <v>2597</v>
      </c>
      <c r="D1629" s="115" t="s">
        <v>2606</v>
      </c>
      <c r="E1629" s="85" t="s">
        <v>1014</v>
      </c>
      <c r="F1629" s="85">
        <v>46022</v>
      </c>
      <c r="G1629" s="85" t="str">
        <f>TEXT(Table7[[#This Row],[EXPIRY DATE]],"MMM")</f>
        <v>Dec</v>
      </c>
      <c r="H1629" s="85" t="str">
        <f>TEXT(Table7[[#This Row],[EXPIRY DATE]],"YYY")</f>
        <v>2025</v>
      </c>
      <c r="I1629" s="84" t="s">
        <v>607</v>
      </c>
      <c r="J1629" s="69"/>
    </row>
    <row r="1630" spans="1:10" x14ac:dyDescent="0.3">
      <c r="A1630" s="84">
        <v>1629</v>
      </c>
      <c r="B1630" s="84" t="s">
        <v>2607</v>
      </c>
      <c r="C1630" s="84" t="s">
        <v>2597</v>
      </c>
      <c r="D1630" s="115" t="s">
        <v>2608</v>
      </c>
      <c r="E1630" s="85" t="s">
        <v>1014</v>
      </c>
      <c r="F1630" s="85">
        <v>46022</v>
      </c>
      <c r="G1630" s="85" t="str">
        <f>TEXT(Table7[[#This Row],[EXPIRY DATE]],"MMM")</f>
        <v>Dec</v>
      </c>
      <c r="H1630" s="85" t="str">
        <f>TEXT(Table7[[#This Row],[EXPIRY DATE]],"YYY")</f>
        <v>2025</v>
      </c>
      <c r="I1630" s="84" t="s">
        <v>607</v>
      </c>
      <c r="J1630" s="69"/>
    </row>
    <row r="1631" spans="1:10" x14ac:dyDescent="0.3">
      <c r="A1631" s="84">
        <v>1630</v>
      </c>
      <c r="B1631" s="84" t="s">
        <v>450</v>
      </c>
      <c r="C1631" s="84" t="s">
        <v>2597</v>
      </c>
      <c r="D1631" s="115" t="s">
        <v>2599</v>
      </c>
      <c r="E1631" s="85" t="s">
        <v>1210</v>
      </c>
      <c r="F1631" s="85">
        <v>46112</v>
      </c>
      <c r="G1631" s="85" t="str">
        <f>TEXT(Table7[[#This Row],[EXPIRY DATE]],"MMM")</f>
        <v>Mar</v>
      </c>
      <c r="H1631" s="85" t="str">
        <f>TEXT(Table7[[#This Row],[EXPIRY DATE]],"YYY")</f>
        <v>2026</v>
      </c>
      <c r="I1631" s="84" t="s">
        <v>607</v>
      </c>
      <c r="J1631" s="69"/>
    </row>
    <row r="1632" spans="1:10" x14ac:dyDescent="0.3">
      <c r="A1632" s="84">
        <v>1631</v>
      </c>
      <c r="B1632" s="84" t="s">
        <v>2609</v>
      </c>
      <c r="C1632" s="84" t="s">
        <v>2597</v>
      </c>
      <c r="D1632" s="115" t="s">
        <v>2610</v>
      </c>
      <c r="E1632" s="85" t="s">
        <v>737</v>
      </c>
      <c r="F1632" s="85">
        <v>46112</v>
      </c>
      <c r="G1632" s="85" t="str">
        <f>TEXT(Table7[[#This Row],[EXPIRY DATE]],"MMM")</f>
        <v>Mar</v>
      </c>
      <c r="H1632" s="85" t="str">
        <f>TEXT(Table7[[#This Row],[EXPIRY DATE]],"YYY")</f>
        <v>2026</v>
      </c>
      <c r="I1632" s="84" t="s">
        <v>621</v>
      </c>
      <c r="J1632" s="69"/>
    </row>
    <row r="1633" spans="1:10" x14ac:dyDescent="0.3">
      <c r="A1633" s="84">
        <v>1632</v>
      </c>
      <c r="B1633" s="84" t="s">
        <v>2609</v>
      </c>
      <c r="C1633" s="84" t="s">
        <v>2597</v>
      </c>
      <c r="D1633" s="115" t="s">
        <v>2610</v>
      </c>
      <c r="E1633" s="85" t="s">
        <v>885</v>
      </c>
      <c r="F1633" s="85">
        <v>46112</v>
      </c>
      <c r="G1633" s="85" t="str">
        <f>TEXT(Table7[[#This Row],[EXPIRY DATE]],"MMM")</f>
        <v>Mar</v>
      </c>
      <c r="H1633" s="85" t="str">
        <f>TEXT(Table7[[#This Row],[EXPIRY DATE]],"YYY")</f>
        <v>2026</v>
      </c>
      <c r="I1633" s="84" t="s">
        <v>607</v>
      </c>
      <c r="J1633" s="69"/>
    </row>
    <row r="1634" spans="1:10" x14ac:dyDescent="0.3">
      <c r="A1634" s="84">
        <v>1633</v>
      </c>
      <c r="B1634" s="84" t="s">
        <v>2611</v>
      </c>
      <c r="C1634" s="84" t="s">
        <v>2597</v>
      </c>
      <c r="D1634" s="115" t="s">
        <v>2612</v>
      </c>
      <c r="E1634" s="85" t="s">
        <v>2613</v>
      </c>
      <c r="F1634" s="85">
        <v>46112</v>
      </c>
      <c r="G1634" s="85" t="str">
        <f>TEXT(Table7[[#This Row],[EXPIRY DATE]],"MMM")</f>
        <v>Mar</v>
      </c>
      <c r="H1634" s="85" t="str">
        <f>TEXT(Table7[[#This Row],[EXPIRY DATE]],"YYY")</f>
        <v>2026</v>
      </c>
      <c r="I1634" s="84" t="s">
        <v>839</v>
      </c>
      <c r="J1634" s="69"/>
    </row>
    <row r="1635" spans="1:10" x14ac:dyDescent="0.3">
      <c r="A1635" s="84">
        <v>1634</v>
      </c>
      <c r="B1635" s="84" t="s">
        <v>2609</v>
      </c>
      <c r="C1635" s="84" t="s">
        <v>2597</v>
      </c>
      <c r="D1635" s="115" t="s">
        <v>2610</v>
      </c>
      <c r="E1635" s="85" t="s">
        <v>885</v>
      </c>
      <c r="F1635" s="85">
        <v>46127</v>
      </c>
      <c r="G1635" s="85" t="str">
        <f>TEXT(Table7[[#This Row],[EXPIRY DATE]],"MMM")</f>
        <v>Apr</v>
      </c>
      <c r="H1635" s="85" t="str">
        <f>TEXT(Table7[[#This Row],[EXPIRY DATE]],"YYY")</f>
        <v>2026</v>
      </c>
      <c r="I1635" s="84" t="s">
        <v>916</v>
      </c>
      <c r="J1635" s="69"/>
    </row>
    <row r="1636" spans="1:10" x14ac:dyDescent="0.3">
      <c r="A1636" s="84">
        <v>1635</v>
      </c>
      <c r="B1636" s="84" t="s">
        <v>450</v>
      </c>
      <c r="C1636" s="84" t="s">
        <v>2597</v>
      </c>
      <c r="D1636" s="115" t="s">
        <v>2599</v>
      </c>
      <c r="E1636" s="85" t="s">
        <v>1210</v>
      </c>
      <c r="F1636" s="85">
        <v>46283</v>
      </c>
      <c r="G1636" s="85" t="str">
        <f>TEXT(Table7[[#This Row],[EXPIRY DATE]],"MMM")</f>
        <v>Sep</v>
      </c>
      <c r="H1636" s="85" t="str">
        <f>TEXT(Table7[[#This Row],[EXPIRY DATE]],"YYY")</f>
        <v>2026</v>
      </c>
      <c r="I1636" s="84" t="s">
        <v>839</v>
      </c>
      <c r="J1636" s="69"/>
    </row>
    <row r="1637" spans="1:10" ht="20.399999999999999" x14ac:dyDescent="0.3">
      <c r="A1637" s="84">
        <v>1636</v>
      </c>
      <c r="B1637" s="84" t="s">
        <v>2601</v>
      </c>
      <c r="C1637" s="84" t="s">
        <v>2597</v>
      </c>
      <c r="D1637" s="115" t="s">
        <v>2614</v>
      </c>
      <c r="E1637" s="85" t="s">
        <v>1175</v>
      </c>
      <c r="F1637" s="85">
        <v>46287</v>
      </c>
      <c r="G1637" s="85" t="str">
        <f>TEXT(Table7[[#This Row],[EXPIRY DATE]],"MMM")</f>
        <v>Sep</v>
      </c>
      <c r="H1637" s="85" t="str">
        <f>TEXT(Table7[[#This Row],[EXPIRY DATE]],"YYY")</f>
        <v>2026</v>
      </c>
      <c r="I1637" s="84" t="s">
        <v>916</v>
      </c>
      <c r="J1637" s="69"/>
    </row>
    <row r="1638" spans="1:10" x14ac:dyDescent="0.3">
      <c r="A1638" s="84">
        <v>1637</v>
      </c>
      <c r="B1638" s="84" t="s">
        <v>2609</v>
      </c>
      <c r="C1638" s="84" t="s">
        <v>2597</v>
      </c>
      <c r="D1638" s="115" t="s">
        <v>2610</v>
      </c>
      <c r="E1638" s="85" t="s">
        <v>885</v>
      </c>
      <c r="F1638" s="85">
        <v>46367</v>
      </c>
      <c r="G1638" s="85" t="str">
        <f>TEXT(Table7[[#This Row],[EXPIRY DATE]],"MMM")</f>
        <v>Dec</v>
      </c>
      <c r="H1638" s="85" t="str">
        <f>TEXT(Table7[[#This Row],[EXPIRY DATE]],"YYY")</f>
        <v>2026</v>
      </c>
      <c r="I1638" s="84" t="s">
        <v>839</v>
      </c>
      <c r="J1638" s="69"/>
    </row>
    <row r="1639" spans="1:10" x14ac:dyDescent="0.3">
      <c r="A1639" s="84">
        <v>1638</v>
      </c>
      <c r="B1639" s="84" t="s">
        <v>910</v>
      </c>
      <c r="C1639" s="84" t="s">
        <v>2597</v>
      </c>
      <c r="D1639" s="115" t="s">
        <v>2600</v>
      </c>
      <c r="E1639" s="85" t="s">
        <v>737</v>
      </c>
      <c r="F1639" s="85">
        <v>46387</v>
      </c>
      <c r="G1639" s="85" t="str">
        <f>TEXT(Table7[[#This Row],[EXPIRY DATE]],"MMM")</f>
        <v>Dec</v>
      </c>
      <c r="H1639" s="85" t="str">
        <f>TEXT(Table7[[#This Row],[EXPIRY DATE]],"YYY")</f>
        <v>2026</v>
      </c>
      <c r="I1639" s="84" t="s">
        <v>607</v>
      </c>
      <c r="J1639" s="69"/>
    </row>
    <row r="1640" spans="1:10" x14ac:dyDescent="0.3">
      <c r="A1640" s="84">
        <v>1639</v>
      </c>
      <c r="B1640" s="84" t="s">
        <v>2609</v>
      </c>
      <c r="C1640" s="84" t="s">
        <v>2597</v>
      </c>
      <c r="D1640" s="115" t="s">
        <v>2610</v>
      </c>
      <c r="E1640" s="85" t="s">
        <v>885</v>
      </c>
      <c r="F1640" s="85">
        <v>46735</v>
      </c>
      <c r="G1640" s="85" t="str">
        <f>TEXT(Table7[[#This Row],[EXPIRY DATE]],"MMM")</f>
        <v>Dec</v>
      </c>
      <c r="H1640" s="85" t="str">
        <f>TEXT(Table7[[#This Row],[EXPIRY DATE]],"YYY")</f>
        <v>2027</v>
      </c>
      <c r="I1640" s="85" t="s">
        <v>791</v>
      </c>
      <c r="J1640" s="69"/>
    </row>
    <row r="1641" spans="1:10" x14ac:dyDescent="0.3">
      <c r="A1641" s="84">
        <v>1640</v>
      </c>
      <c r="B1641" s="84" t="s">
        <v>1952</v>
      </c>
      <c r="C1641" s="102" t="s">
        <v>2597</v>
      </c>
      <c r="D1641" s="115" t="s">
        <v>2598</v>
      </c>
      <c r="E1641" s="103" t="s">
        <v>1014</v>
      </c>
      <c r="F1641" s="103" t="s">
        <v>817</v>
      </c>
      <c r="G1641" s="103" t="str">
        <f>TEXT(Table7[[#This Row],[EXPIRY DATE]],"MMM")</f>
        <v>DORMANT</v>
      </c>
      <c r="H1641" s="103" t="str">
        <f>TEXT(Table7[[#This Row],[EXPIRY DATE]],"YYY")</f>
        <v>DORMANT</v>
      </c>
      <c r="I1641" s="103" t="s">
        <v>791</v>
      </c>
      <c r="J1641" s="77"/>
    </row>
    <row r="1642" spans="1:10" x14ac:dyDescent="0.3">
      <c r="A1642" s="84">
        <v>1641</v>
      </c>
      <c r="B1642" s="84" t="s">
        <v>419</v>
      </c>
      <c r="C1642" s="84" t="s">
        <v>2597</v>
      </c>
      <c r="D1642" s="115" t="s">
        <v>2615</v>
      </c>
      <c r="E1642" s="85" t="s">
        <v>2616</v>
      </c>
      <c r="F1642" s="84" t="s">
        <v>629</v>
      </c>
      <c r="G1642" s="85" t="s">
        <v>629</v>
      </c>
      <c r="H1642" s="85" t="str">
        <f>TEXT(Table7[[#This Row],[EXPIRY DATE]],"YYY")</f>
        <v>LIFETIME</v>
      </c>
      <c r="I1642" s="84" t="s">
        <v>602</v>
      </c>
      <c r="J1642" s="69"/>
    </row>
    <row r="1643" spans="1:10" x14ac:dyDescent="0.3">
      <c r="A1643" s="84">
        <v>1642</v>
      </c>
      <c r="B1643" s="84" t="s">
        <v>450</v>
      </c>
      <c r="C1643" s="84" t="s">
        <v>2597</v>
      </c>
      <c r="D1643" s="115" t="s">
        <v>2599</v>
      </c>
      <c r="E1643" s="85" t="s">
        <v>1210</v>
      </c>
      <c r="F1643" s="85" t="s">
        <v>629</v>
      </c>
      <c r="G1643" s="85" t="str">
        <f>TEXT(Table7[[#This Row],[EXPIRY DATE]],"MMM")</f>
        <v>LIFETIME</v>
      </c>
      <c r="H1643" s="85" t="str">
        <f>TEXT(Table7[[#This Row],[EXPIRY DATE]],"YYY")</f>
        <v>LIFETIME</v>
      </c>
      <c r="I1643" s="84" t="s">
        <v>602</v>
      </c>
      <c r="J1643" s="69"/>
    </row>
    <row r="1644" spans="1:10" ht="40.799999999999997" x14ac:dyDescent="0.3">
      <c r="A1644" s="84">
        <v>1643</v>
      </c>
      <c r="B1644" s="84" t="s">
        <v>2601</v>
      </c>
      <c r="C1644" s="84" t="s">
        <v>2597</v>
      </c>
      <c r="D1644" s="115" t="s">
        <v>2617</v>
      </c>
      <c r="E1644" s="85"/>
      <c r="F1644" s="85" t="s">
        <v>629</v>
      </c>
      <c r="G1644" s="85" t="str">
        <f>TEXT(Table7[[#This Row],[EXPIRY DATE]],"MMM")</f>
        <v>LIFETIME</v>
      </c>
      <c r="H1644" s="85" t="str">
        <f>TEXT(Table7[[#This Row],[EXPIRY DATE]],"YYY")</f>
        <v>LIFETIME</v>
      </c>
      <c r="I1644" s="84" t="s">
        <v>602</v>
      </c>
      <c r="J1644" s="69"/>
    </row>
    <row r="1645" spans="1:10" ht="40.799999999999997" x14ac:dyDescent="0.3">
      <c r="A1645" s="84">
        <v>1644</v>
      </c>
      <c r="B1645" s="84" t="s">
        <v>2601</v>
      </c>
      <c r="C1645" s="102" t="s">
        <v>2597</v>
      </c>
      <c r="D1645" s="115" t="s">
        <v>2617</v>
      </c>
      <c r="E1645" s="103"/>
      <c r="F1645" s="103" t="s">
        <v>817</v>
      </c>
      <c r="G1645" s="103" t="str">
        <f>TEXT(Table7[[#This Row],[EXPIRY DATE]],"MMM")</f>
        <v>DORMANT</v>
      </c>
      <c r="H1645" s="103" t="str">
        <f>TEXT(Table7[[#This Row],[EXPIRY DATE]],"YYY")</f>
        <v>DORMANT</v>
      </c>
      <c r="I1645" s="103" t="s">
        <v>791</v>
      </c>
      <c r="J1645" s="77"/>
    </row>
    <row r="1646" spans="1:10" x14ac:dyDescent="0.3">
      <c r="A1646" s="84">
        <v>1645</v>
      </c>
      <c r="B1646" s="84" t="s">
        <v>2603</v>
      </c>
      <c r="C1646" s="84" t="s">
        <v>2597</v>
      </c>
      <c r="D1646" s="115" t="s">
        <v>2618</v>
      </c>
      <c r="E1646" s="85" t="s">
        <v>1014</v>
      </c>
      <c r="F1646" s="85" t="s">
        <v>629</v>
      </c>
      <c r="G1646" s="85" t="s">
        <v>629</v>
      </c>
      <c r="H1646" s="85" t="str">
        <f>TEXT(Table7[[#This Row],[EXPIRY DATE]],"YYY")</f>
        <v>LIFETIME</v>
      </c>
      <c r="I1646" s="84" t="s">
        <v>602</v>
      </c>
      <c r="J1646" s="69"/>
    </row>
    <row r="1647" spans="1:10" x14ac:dyDescent="0.3">
      <c r="A1647" s="84">
        <v>1646</v>
      </c>
      <c r="B1647" s="84" t="s">
        <v>2603</v>
      </c>
      <c r="C1647" s="102" t="s">
        <v>2597</v>
      </c>
      <c r="D1647" s="115" t="s">
        <v>2618</v>
      </c>
      <c r="E1647" s="103"/>
      <c r="F1647" s="103" t="s">
        <v>817</v>
      </c>
      <c r="G1647" s="103" t="str">
        <f>TEXT(Table7[[#This Row],[EXPIRY DATE]],"MMM")</f>
        <v>DORMANT</v>
      </c>
      <c r="H1647" s="103" t="str">
        <f>TEXT(Table7[[#This Row],[EXPIRY DATE]],"YYY")</f>
        <v>DORMANT</v>
      </c>
      <c r="I1647" s="103" t="s">
        <v>791</v>
      </c>
      <c r="J1647" s="77"/>
    </row>
    <row r="1648" spans="1:10" x14ac:dyDescent="0.3">
      <c r="A1648" s="84">
        <v>1647</v>
      </c>
      <c r="B1648" s="84" t="s">
        <v>2605</v>
      </c>
      <c r="C1648" s="84" t="s">
        <v>2597</v>
      </c>
      <c r="D1648" s="115" t="s">
        <v>2619</v>
      </c>
      <c r="E1648" s="85" t="s">
        <v>1014</v>
      </c>
      <c r="F1648" s="85" t="s">
        <v>2620</v>
      </c>
      <c r="G1648" s="85" t="str">
        <f>TEXT(Table7[[#This Row],[EXPIRY DATE]],"MMM")</f>
        <v>DONE BY TSPL</v>
      </c>
      <c r="H1648" s="85" t="str">
        <f>TEXT(Table7[[#This Row],[EXPIRY DATE]],"YYY")</f>
        <v>DONE BY TSPL</v>
      </c>
      <c r="I1648" s="85" t="s">
        <v>791</v>
      </c>
      <c r="J1648" s="69"/>
    </row>
    <row r="1649" spans="1:10" x14ac:dyDescent="0.3">
      <c r="A1649" s="84">
        <v>1648</v>
      </c>
      <c r="B1649" s="84" t="s">
        <v>2607</v>
      </c>
      <c r="C1649" s="84" t="s">
        <v>2597</v>
      </c>
      <c r="D1649" s="115" t="s">
        <v>2608</v>
      </c>
      <c r="E1649" s="85"/>
      <c r="F1649" s="85" t="s">
        <v>81</v>
      </c>
      <c r="G1649" s="85" t="str">
        <f>TEXT(Table7[[#This Row],[EXPIRY DATE]],"MMM")</f>
        <v>NA</v>
      </c>
      <c r="H1649" s="85" t="str">
        <f>TEXT(Table7[[#This Row],[EXPIRY DATE]],"YYY")</f>
        <v>NA</v>
      </c>
      <c r="I1649" s="84" t="s">
        <v>602</v>
      </c>
      <c r="J1649" s="69"/>
    </row>
    <row r="1650" spans="1:10" x14ac:dyDescent="0.3">
      <c r="A1650" s="84">
        <v>1649</v>
      </c>
      <c r="B1650" s="84" t="s">
        <v>910</v>
      </c>
      <c r="C1650" s="84" t="s">
        <v>2597</v>
      </c>
      <c r="D1650" s="115" t="s">
        <v>2600</v>
      </c>
      <c r="E1650" s="85"/>
      <c r="F1650" s="85" t="s">
        <v>81</v>
      </c>
      <c r="G1650" s="85" t="str">
        <f>TEXT(Table7[[#This Row],[EXPIRY DATE]],"MMM")</f>
        <v>NA</v>
      </c>
      <c r="H1650" s="85" t="str">
        <f>TEXT(Table7[[#This Row],[EXPIRY DATE]],"YYY")</f>
        <v>NA</v>
      </c>
      <c r="I1650" s="84" t="s">
        <v>602</v>
      </c>
      <c r="J1650" s="69"/>
    </row>
    <row r="1651" spans="1:10" x14ac:dyDescent="0.3">
      <c r="A1651" s="84">
        <v>1650</v>
      </c>
      <c r="B1651" s="84" t="s">
        <v>910</v>
      </c>
      <c r="C1651" s="84" t="s">
        <v>2597</v>
      </c>
      <c r="D1651" s="115" t="s">
        <v>2600</v>
      </c>
      <c r="E1651" s="85"/>
      <c r="F1651" s="85" t="s">
        <v>81</v>
      </c>
      <c r="G1651" s="85" t="str">
        <f>TEXT(Table7[[#This Row],[EXPIRY DATE]],"MMM")</f>
        <v>NA</v>
      </c>
      <c r="H1651" s="85" t="str">
        <f>TEXT(Table7[[#This Row],[EXPIRY DATE]],"YYY")</f>
        <v>NA</v>
      </c>
      <c r="I1651" s="84" t="s">
        <v>621</v>
      </c>
      <c r="J1651" s="69"/>
    </row>
    <row r="1652" spans="1:10" ht="20.399999999999999" x14ac:dyDescent="0.3">
      <c r="A1652" s="84">
        <v>1651</v>
      </c>
      <c r="B1652" s="84" t="s">
        <v>2621</v>
      </c>
      <c r="C1652" s="84" t="s">
        <v>2597</v>
      </c>
      <c r="D1652" s="115" t="s">
        <v>2622</v>
      </c>
      <c r="E1652" s="85" t="s">
        <v>2623</v>
      </c>
      <c r="F1652" s="84" t="s">
        <v>629</v>
      </c>
      <c r="G1652" s="85" t="s">
        <v>629</v>
      </c>
      <c r="H1652" s="85" t="str">
        <f>TEXT(Table7[[#This Row],[EXPIRY DATE]],"YYY")</f>
        <v>LIFETIME</v>
      </c>
      <c r="I1652" s="84" t="s">
        <v>602</v>
      </c>
      <c r="J1652" s="69"/>
    </row>
    <row r="1653" spans="1:10" x14ac:dyDescent="0.3">
      <c r="A1653" s="84">
        <v>1652</v>
      </c>
      <c r="B1653" s="84" t="s">
        <v>2611</v>
      </c>
      <c r="C1653" s="102" t="s">
        <v>2597</v>
      </c>
      <c r="D1653" s="115" t="s">
        <v>2612</v>
      </c>
      <c r="E1653" s="103"/>
      <c r="F1653" s="103" t="s">
        <v>817</v>
      </c>
      <c r="G1653" s="103" t="str">
        <f>TEXT(Table7[[#This Row],[EXPIRY DATE]],"MMM")</f>
        <v>DORMANT</v>
      </c>
      <c r="H1653" s="103" t="str">
        <f>TEXT(Table7[[#This Row],[EXPIRY DATE]],"YYY")</f>
        <v>DORMANT</v>
      </c>
      <c r="I1653" s="102" t="s">
        <v>602</v>
      </c>
      <c r="J1653" s="77"/>
    </row>
    <row r="1654" spans="1:10" x14ac:dyDescent="0.3">
      <c r="A1654" s="84">
        <v>1653</v>
      </c>
      <c r="B1654" s="84" t="s">
        <v>2611</v>
      </c>
      <c r="C1654" s="102" t="s">
        <v>2597</v>
      </c>
      <c r="D1654" s="115" t="s">
        <v>2612</v>
      </c>
      <c r="E1654" s="103"/>
      <c r="F1654" s="103" t="s">
        <v>817</v>
      </c>
      <c r="G1654" s="103" t="str">
        <f>TEXT(Table7[[#This Row],[EXPIRY DATE]],"MMM")</f>
        <v>DORMANT</v>
      </c>
      <c r="H1654" s="103" t="str">
        <f>TEXT(Table7[[#This Row],[EXPIRY DATE]],"YYY")</f>
        <v>DORMANT</v>
      </c>
      <c r="I1654" s="103" t="s">
        <v>791</v>
      </c>
      <c r="J1654" s="77"/>
    </row>
    <row r="1655" spans="1:10" x14ac:dyDescent="0.3">
      <c r="A1655" s="84">
        <v>1654</v>
      </c>
      <c r="B1655" s="84" t="s">
        <v>2624</v>
      </c>
      <c r="C1655" s="84" t="s">
        <v>407</v>
      </c>
      <c r="D1655" s="115" t="s">
        <v>2625</v>
      </c>
      <c r="E1655" s="85" t="s">
        <v>2296</v>
      </c>
      <c r="F1655" s="101">
        <v>45991</v>
      </c>
      <c r="G1655" s="101" t="s">
        <v>842</v>
      </c>
      <c r="H1655" s="101" t="str">
        <f>TEXT(Table7[[#This Row],[EXPIRY DATE]],"YYY")</f>
        <v>2025</v>
      </c>
      <c r="I1655" s="100" t="s">
        <v>592</v>
      </c>
      <c r="J1655" s="74"/>
    </row>
    <row r="1656" spans="1:10" x14ac:dyDescent="0.3">
      <c r="A1656" s="84">
        <v>1655</v>
      </c>
      <c r="B1656" s="84" t="s">
        <v>2626</v>
      </c>
      <c r="C1656" s="84" t="s">
        <v>407</v>
      </c>
      <c r="D1656" s="115" t="s">
        <v>2627</v>
      </c>
      <c r="E1656" s="85" t="s">
        <v>2628</v>
      </c>
      <c r="F1656" s="85">
        <v>45991</v>
      </c>
      <c r="G1656" s="85" t="s">
        <v>842</v>
      </c>
      <c r="H1656" s="85" t="str">
        <f>TEXT(Table7[[#This Row],[EXPIRY DATE]],"YYY")</f>
        <v>2025</v>
      </c>
      <c r="I1656" s="84" t="s">
        <v>592</v>
      </c>
      <c r="J1656" s="69"/>
    </row>
    <row r="1657" spans="1:10" x14ac:dyDescent="0.3">
      <c r="A1657" s="84">
        <v>1656</v>
      </c>
      <c r="B1657" s="84" t="s">
        <v>1693</v>
      </c>
      <c r="C1657" s="84" t="s">
        <v>407</v>
      </c>
      <c r="D1657" s="115" t="s">
        <v>2629</v>
      </c>
      <c r="E1657" s="85" t="s">
        <v>1294</v>
      </c>
      <c r="F1657" s="101">
        <v>45991</v>
      </c>
      <c r="G1657" s="101" t="s">
        <v>842</v>
      </c>
      <c r="H1657" s="101" t="str">
        <f>TEXT(Table7[[#This Row],[EXPIRY DATE]],"YYY")</f>
        <v>2025</v>
      </c>
      <c r="I1657" s="100" t="s">
        <v>592</v>
      </c>
      <c r="J1657" s="74"/>
    </row>
    <row r="1658" spans="1:10" x14ac:dyDescent="0.3">
      <c r="A1658" s="84">
        <v>1657</v>
      </c>
      <c r="B1658" s="84" t="s">
        <v>2630</v>
      </c>
      <c r="C1658" s="84" t="s">
        <v>407</v>
      </c>
      <c r="D1658" s="115" t="s">
        <v>2631</v>
      </c>
      <c r="E1658" s="85" t="s">
        <v>1692</v>
      </c>
      <c r="F1658" s="101">
        <v>45991</v>
      </c>
      <c r="G1658" s="101" t="s">
        <v>842</v>
      </c>
      <c r="H1658" s="101" t="str">
        <f>TEXT(Table7[[#This Row],[EXPIRY DATE]],"YYY")</f>
        <v>2025</v>
      </c>
      <c r="I1658" s="100" t="s">
        <v>592</v>
      </c>
      <c r="J1658" s="74"/>
    </row>
    <row r="1659" spans="1:10" x14ac:dyDescent="0.3">
      <c r="A1659" s="84">
        <v>1658</v>
      </c>
      <c r="B1659" s="84" t="s">
        <v>622</v>
      </c>
      <c r="C1659" s="84" t="s">
        <v>407</v>
      </c>
      <c r="D1659" s="115" t="s">
        <v>2632</v>
      </c>
      <c r="E1659" s="85" t="s">
        <v>386</v>
      </c>
      <c r="F1659" s="85">
        <v>45991</v>
      </c>
      <c r="G1659" s="85" t="s">
        <v>842</v>
      </c>
      <c r="H1659" s="85" t="str">
        <f>TEXT(Table7[[#This Row],[EXPIRY DATE]],"YYY")</f>
        <v>2025</v>
      </c>
      <c r="I1659" s="84" t="s">
        <v>592</v>
      </c>
      <c r="J1659" s="69"/>
    </row>
    <row r="1660" spans="1:10" x14ac:dyDescent="0.3">
      <c r="A1660" s="84">
        <v>1659</v>
      </c>
      <c r="B1660" s="84" t="s">
        <v>603</v>
      </c>
      <c r="C1660" s="84" t="s">
        <v>407</v>
      </c>
      <c r="D1660" s="115" t="s">
        <v>2633</v>
      </c>
      <c r="E1660" s="85" t="s">
        <v>605</v>
      </c>
      <c r="F1660" s="101">
        <v>45991</v>
      </c>
      <c r="G1660" s="101" t="s">
        <v>842</v>
      </c>
      <c r="H1660" s="101" t="str">
        <f>TEXT(Table7[[#This Row],[EXPIRY DATE]],"YYY")</f>
        <v>2025</v>
      </c>
      <c r="I1660" s="100" t="s">
        <v>592</v>
      </c>
      <c r="J1660" s="74"/>
    </row>
    <row r="1661" spans="1:10" x14ac:dyDescent="0.3">
      <c r="A1661" s="84">
        <v>1660</v>
      </c>
      <c r="B1661" s="84" t="s">
        <v>2502</v>
      </c>
      <c r="C1661" s="84" t="s">
        <v>407</v>
      </c>
      <c r="D1661" s="115" t="s">
        <v>2634</v>
      </c>
      <c r="E1661" s="85" t="s">
        <v>605</v>
      </c>
      <c r="F1661" s="101">
        <v>45991</v>
      </c>
      <c r="G1661" s="101" t="s">
        <v>842</v>
      </c>
      <c r="H1661" s="101" t="str">
        <f>TEXT(Table7[[#This Row],[EXPIRY DATE]],"YYY")</f>
        <v>2025</v>
      </c>
      <c r="I1661" s="100" t="s">
        <v>592</v>
      </c>
      <c r="J1661" s="74"/>
    </row>
    <row r="1662" spans="1:10" x14ac:dyDescent="0.3">
      <c r="A1662" s="84">
        <v>1661</v>
      </c>
      <c r="B1662" s="84" t="s">
        <v>2635</v>
      </c>
      <c r="C1662" s="84" t="s">
        <v>407</v>
      </c>
      <c r="D1662" s="115" t="s">
        <v>2636</v>
      </c>
      <c r="E1662" s="85" t="s">
        <v>605</v>
      </c>
      <c r="F1662" s="101">
        <v>45991</v>
      </c>
      <c r="G1662" s="101" t="s">
        <v>842</v>
      </c>
      <c r="H1662" s="101" t="str">
        <f>TEXT(Table7[[#This Row],[EXPIRY DATE]],"YYY")</f>
        <v>2025</v>
      </c>
      <c r="I1662" s="100" t="s">
        <v>592</v>
      </c>
      <c r="J1662" s="74"/>
    </row>
    <row r="1663" spans="1:10" x14ac:dyDescent="0.3">
      <c r="A1663" s="84">
        <v>1662</v>
      </c>
      <c r="B1663" s="84" t="s">
        <v>2626</v>
      </c>
      <c r="C1663" s="84" t="s">
        <v>407</v>
      </c>
      <c r="D1663" s="115" t="s">
        <v>2627</v>
      </c>
      <c r="E1663" s="85" t="s">
        <v>2628</v>
      </c>
      <c r="F1663" s="85">
        <v>46022</v>
      </c>
      <c r="G1663" s="85" t="s">
        <v>625</v>
      </c>
      <c r="H1663" s="85" t="str">
        <f>TEXT(Table7[[#This Row],[EXPIRY DATE]],"YYY")</f>
        <v>2025</v>
      </c>
      <c r="I1663" s="84" t="s">
        <v>602</v>
      </c>
      <c r="J1663" s="69"/>
    </row>
    <row r="1664" spans="1:10" x14ac:dyDescent="0.3">
      <c r="A1664" s="84">
        <v>1663</v>
      </c>
      <c r="B1664" s="84" t="s">
        <v>1693</v>
      </c>
      <c r="C1664" s="84" t="s">
        <v>407</v>
      </c>
      <c r="D1664" s="115" t="s">
        <v>2629</v>
      </c>
      <c r="E1664" s="85" t="s">
        <v>1294</v>
      </c>
      <c r="F1664" s="85">
        <v>46022</v>
      </c>
      <c r="G1664" s="85" t="s">
        <v>625</v>
      </c>
      <c r="H1664" s="85" t="str">
        <f>TEXT(Table7[[#This Row],[EXPIRY DATE]],"YYY")</f>
        <v>2025</v>
      </c>
      <c r="I1664" s="84" t="s">
        <v>602</v>
      </c>
      <c r="J1664" s="69"/>
    </row>
    <row r="1665" spans="1:10" x14ac:dyDescent="0.3">
      <c r="A1665" s="84">
        <v>1664</v>
      </c>
      <c r="B1665" s="84" t="s">
        <v>2630</v>
      </c>
      <c r="C1665" s="84" t="s">
        <v>407</v>
      </c>
      <c r="D1665" s="115" t="s">
        <v>2631</v>
      </c>
      <c r="E1665" s="85" t="s">
        <v>1692</v>
      </c>
      <c r="F1665" s="85">
        <v>46022</v>
      </c>
      <c r="G1665" s="85" t="s">
        <v>625</v>
      </c>
      <c r="H1665" s="85" t="str">
        <f>TEXT(Table7[[#This Row],[EXPIRY DATE]],"YYY")</f>
        <v>2025</v>
      </c>
      <c r="I1665" s="84" t="s">
        <v>602</v>
      </c>
      <c r="J1665" s="69"/>
    </row>
    <row r="1666" spans="1:10" x14ac:dyDescent="0.3">
      <c r="A1666" s="84">
        <v>1665</v>
      </c>
      <c r="B1666" s="84" t="s">
        <v>2637</v>
      </c>
      <c r="C1666" s="84" t="s">
        <v>407</v>
      </c>
      <c r="D1666" s="115" t="s">
        <v>2638</v>
      </c>
      <c r="E1666" s="85" t="s">
        <v>2639</v>
      </c>
      <c r="F1666" s="85">
        <v>46022</v>
      </c>
      <c r="G1666" s="85" t="s">
        <v>625</v>
      </c>
      <c r="H1666" s="85" t="str">
        <f>TEXT(Table7[[#This Row],[EXPIRY DATE]],"YYY")</f>
        <v>2025</v>
      </c>
      <c r="I1666" s="84" t="s">
        <v>602</v>
      </c>
      <c r="J1666" s="69"/>
    </row>
    <row r="1667" spans="1:10" x14ac:dyDescent="0.3">
      <c r="A1667" s="84">
        <v>1666</v>
      </c>
      <c r="B1667" s="84" t="s">
        <v>2640</v>
      </c>
      <c r="C1667" s="84" t="s">
        <v>407</v>
      </c>
      <c r="D1667" s="115" t="s">
        <v>2641</v>
      </c>
      <c r="E1667" s="85" t="s">
        <v>2642</v>
      </c>
      <c r="F1667" s="85">
        <v>46022</v>
      </c>
      <c r="G1667" s="85" t="s">
        <v>625</v>
      </c>
      <c r="H1667" s="85" t="str">
        <f>TEXT(Table7[[#This Row],[EXPIRY DATE]],"YYY")</f>
        <v>2025</v>
      </c>
      <c r="I1667" s="84" t="s">
        <v>602</v>
      </c>
      <c r="J1667" s="69"/>
    </row>
    <row r="1668" spans="1:10" x14ac:dyDescent="0.3">
      <c r="A1668" s="84">
        <v>1667</v>
      </c>
      <c r="B1668" s="84" t="s">
        <v>2643</v>
      </c>
      <c r="C1668" s="84" t="s">
        <v>407</v>
      </c>
      <c r="D1668" s="115" t="s">
        <v>2644</v>
      </c>
      <c r="E1668" s="85" t="s">
        <v>925</v>
      </c>
      <c r="F1668" s="85">
        <v>46022</v>
      </c>
      <c r="G1668" s="85" t="s">
        <v>625</v>
      </c>
      <c r="H1668" s="85" t="str">
        <f>TEXT(Table7[[#This Row],[EXPIRY DATE]],"YYY")</f>
        <v>2025</v>
      </c>
      <c r="I1668" s="84" t="s">
        <v>602</v>
      </c>
      <c r="J1668" s="69"/>
    </row>
    <row r="1669" spans="1:10" x14ac:dyDescent="0.3">
      <c r="A1669" s="84">
        <v>1668</v>
      </c>
      <c r="B1669" s="84" t="s">
        <v>622</v>
      </c>
      <c r="C1669" s="84" t="s">
        <v>407</v>
      </c>
      <c r="D1669" s="115" t="s">
        <v>2632</v>
      </c>
      <c r="E1669" s="85" t="s">
        <v>386</v>
      </c>
      <c r="F1669" s="101">
        <v>46111</v>
      </c>
      <c r="G1669" s="85" t="str">
        <f>TEXT(Table7[[#This Row],[EXPIRY DATE]],"MMM")</f>
        <v>Mar</v>
      </c>
      <c r="H1669" s="101" t="str">
        <f>TEXT(Table7[[#This Row],[EXPIRY DATE]],"YYY")</f>
        <v>2026</v>
      </c>
      <c r="I1669" s="100" t="s">
        <v>607</v>
      </c>
      <c r="J1669" s="74"/>
    </row>
    <row r="1670" spans="1:10" x14ac:dyDescent="0.3">
      <c r="A1670" s="84">
        <v>1669</v>
      </c>
      <c r="B1670" s="84" t="s">
        <v>2645</v>
      </c>
      <c r="C1670" s="84" t="s">
        <v>407</v>
      </c>
      <c r="D1670" s="115" t="s">
        <v>2646</v>
      </c>
      <c r="E1670" s="85" t="s">
        <v>700</v>
      </c>
      <c r="F1670" s="85">
        <v>46112</v>
      </c>
      <c r="G1670" s="85" t="s">
        <v>606</v>
      </c>
      <c r="H1670" s="85" t="str">
        <f>TEXT(Table7[[#This Row],[EXPIRY DATE]],"YYY")</f>
        <v>2026</v>
      </c>
      <c r="I1670" s="84" t="s">
        <v>602</v>
      </c>
      <c r="J1670" s="69"/>
    </row>
    <row r="1671" spans="1:10" x14ac:dyDescent="0.3">
      <c r="A1671" s="84">
        <v>1670</v>
      </c>
      <c r="B1671" s="84" t="s">
        <v>2645</v>
      </c>
      <c r="C1671" s="84" t="s">
        <v>407</v>
      </c>
      <c r="D1671" s="115" t="s">
        <v>2646</v>
      </c>
      <c r="E1671" s="85" t="s">
        <v>700</v>
      </c>
      <c r="F1671" s="85">
        <v>46112</v>
      </c>
      <c r="G1671" s="85" t="s">
        <v>606</v>
      </c>
      <c r="H1671" s="85" t="str">
        <f>TEXT(Table7[[#This Row],[EXPIRY DATE]],"YYY")</f>
        <v>2026</v>
      </c>
      <c r="I1671" s="84" t="s">
        <v>607</v>
      </c>
      <c r="J1671" s="69"/>
    </row>
    <row r="1672" spans="1:10" x14ac:dyDescent="0.3">
      <c r="A1672" s="84">
        <v>1671</v>
      </c>
      <c r="B1672" s="84" t="s">
        <v>2647</v>
      </c>
      <c r="C1672" s="84" t="s">
        <v>407</v>
      </c>
      <c r="D1672" s="115" t="s">
        <v>2648</v>
      </c>
      <c r="E1672" s="85" t="s">
        <v>2649</v>
      </c>
      <c r="F1672" s="85">
        <v>46112</v>
      </c>
      <c r="G1672" s="85" t="s">
        <v>606</v>
      </c>
      <c r="H1672" s="85" t="str">
        <f>TEXT(Table7[[#This Row],[EXPIRY DATE]],"YYY")</f>
        <v>2026</v>
      </c>
      <c r="I1672" s="84" t="s">
        <v>602</v>
      </c>
      <c r="J1672" s="69"/>
    </row>
    <row r="1673" spans="1:10" x14ac:dyDescent="0.3">
      <c r="A1673" s="84">
        <v>1672</v>
      </c>
      <c r="B1673" s="84" t="s">
        <v>2650</v>
      </c>
      <c r="C1673" s="84" t="s">
        <v>407</v>
      </c>
      <c r="D1673" s="115" t="s">
        <v>2651</v>
      </c>
      <c r="E1673" s="85" t="s">
        <v>633</v>
      </c>
      <c r="F1673" s="85">
        <v>46112</v>
      </c>
      <c r="G1673" s="85" t="s">
        <v>606</v>
      </c>
      <c r="H1673" s="85" t="str">
        <f>TEXT(Table7[[#This Row],[EXPIRY DATE]],"YYY")</f>
        <v>2026</v>
      </c>
      <c r="I1673" s="84" t="s">
        <v>607</v>
      </c>
      <c r="J1673" s="69"/>
    </row>
    <row r="1674" spans="1:10" x14ac:dyDescent="0.3">
      <c r="A1674" s="84">
        <v>1673</v>
      </c>
      <c r="B1674" s="84" t="s">
        <v>2650</v>
      </c>
      <c r="C1674" s="84" t="s">
        <v>407</v>
      </c>
      <c r="D1674" s="115" t="s">
        <v>2651</v>
      </c>
      <c r="E1674" s="85" t="s">
        <v>633</v>
      </c>
      <c r="F1674" s="85">
        <v>46112</v>
      </c>
      <c r="G1674" s="85" t="s">
        <v>606</v>
      </c>
      <c r="H1674" s="85" t="str">
        <f>TEXT(Table7[[#This Row],[EXPIRY DATE]],"YYY")</f>
        <v>2026</v>
      </c>
      <c r="I1674" s="84" t="s">
        <v>602</v>
      </c>
      <c r="J1674" s="69"/>
    </row>
    <row r="1675" spans="1:10" x14ac:dyDescent="0.3">
      <c r="A1675" s="84">
        <v>1674</v>
      </c>
      <c r="B1675" s="84" t="s">
        <v>2652</v>
      </c>
      <c r="C1675" s="84" t="s">
        <v>407</v>
      </c>
      <c r="D1675" s="115" t="s">
        <v>2653</v>
      </c>
      <c r="E1675" s="85" t="s">
        <v>2654</v>
      </c>
      <c r="F1675" s="85">
        <v>46112</v>
      </c>
      <c r="G1675" s="85" t="str">
        <f>TEXT(Table7[[#This Row],[EXPIRY DATE]],"MMM")</f>
        <v>Mar</v>
      </c>
      <c r="H1675" s="85" t="str">
        <f>TEXT(Table7[[#This Row],[EXPIRY DATE]],"YYY")</f>
        <v>2026</v>
      </c>
      <c r="I1675" s="84" t="s">
        <v>607</v>
      </c>
      <c r="J1675" s="69"/>
    </row>
    <row r="1676" spans="1:10" x14ac:dyDescent="0.3">
      <c r="A1676" s="84">
        <v>1675</v>
      </c>
      <c r="B1676" s="84" t="s">
        <v>2655</v>
      </c>
      <c r="C1676" s="84" t="s">
        <v>407</v>
      </c>
      <c r="D1676" s="115" t="s">
        <v>2656</v>
      </c>
      <c r="E1676" s="85" t="s">
        <v>2654</v>
      </c>
      <c r="F1676" s="85">
        <v>46112</v>
      </c>
      <c r="G1676" s="85" t="s">
        <v>606</v>
      </c>
      <c r="H1676" s="85" t="str">
        <f>TEXT(Table7[[#This Row],[EXPIRY DATE]],"YYY")</f>
        <v>2026</v>
      </c>
      <c r="I1676" s="84" t="s">
        <v>607</v>
      </c>
      <c r="J1676" s="69"/>
    </row>
    <row r="1677" spans="1:10" x14ac:dyDescent="0.3">
      <c r="A1677" s="84">
        <v>1676</v>
      </c>
      <c r="B1677" s="84" t="s">
        <v>2657</v>
      </c>
      <c r="C1677" s="84" t="s">
        <v>407</v>
      </c>
      <c r="D1677" s="115" t="s">
        <v>2658</v>
      </c>
      <c r="E1677" s="85" t="s">
        <v>692</v>
      </c>
      <c r="F1677" s="85">
        <v>46112</v>
      </c>
      <c r="G1677" s="85" t="s">
        <v>606</v>
      </c>
      <c r="H1677" s="85" t="str">
        <f>TEXT(Table7[[#This Row],[EXPIRY DATE]],"YYY")</f>
        <v>2026</v>
      </c>
      <c r="I1677" s="84" t="s">
        <v>607</v>
      </c>
      <c r="J1677" s="69"/>
    </row>
    <row r="1678" spans="1:10" x14ac:dyDescent="0.3">
      <c r="A1678" s="84">
        <v>1677</v>
      </c>
      <c r="B1678" s="84" t="s">
        <v>603</v>
      </c>
      <c r="C1678" s="84" t="s">
        <v>407</v>
      </c>
      <c r="D1678" s="115" t="s">
        <v>2633</v>
      </c>
      <c r="E1678" s="85" t="s">
        <v>605</v>
      </c>
      <c r="F1678" s="85">
        <v>46112</v>
      </c>
      <c r="G1678" s="85" t="s">
        <v>606</v>
      </c>
      <c r="H1678" s="85" t="str">
        <f>TEXT(Table7[[#This Row],[EXPIRY DATE]],"YYY")</f>
        <v>2026</v>
      </c>
      <c r="I1678" s="84" t="s">
        <v>607</v>
      </c>
      <c r="J1678" s="69"/>
    </row>
    <row r="1679" spans="1:10" x14ac:dyDescent="0.3">
      <c r="A1679" s="84">
        <v>1678</v>
      </c>
      <c r="B1679" s="84" t="s">
        <v>2502</v>
      </c>
      <c r="C1679" s="84" t="s">
        <v>407</v>
      </c>
      <c r="D1679" s="115" t="s">
        <v>2634</v>
      </c>
      <c r="E1679" s="85" t="s">
        <v>605</v>
      </c>
      <c r="F1679" s="85">
        <v>46112</v>
      </c>
      <c r="G1679" s="85" t="str">
        <f>TEXT(Table7[[#This Row],[EXPIRY DATE]],"MMM")</f>
        <v>Mar</v>
      </c>
      <c r="H1679" s="85" t="str">
        <f>TEXT(Table7[[#This Row],[EXPIRY DATE]],"YYY")</f>
        <v>2026</v>
      </c>
      <c r="I1679" s="84" t="s">
        <v>607</v>
      </c>
      <c r="J1679" s="69"/>
    </row>
    <row r="1680" spans="1:10" x14ac:dyDescent="0.3">
      <c r="A1680" s="84">
        <v>1679</v>
      </c>
      <c r="B1680" s="84" t="s">
        <v>2635</v>
      </c>
      <c r="C1680" s="84" t="s">
        <v>407</v>
      </c>
      <c r="D1680" s="115" t="s">
        <v>2636</v>
      </c>
      <c r="E1680" s="85" t="s">
        <v>605</v>
      </c>
      <c r="F1680" s="85">
        <v>46112</v>
      </c>
      <c r="G1680" s="85" t="s">
        <v>606</v>
      </c>
      <c r="H1680" s="85" t="str">
        <f>TEXT(Table7[[#This Row],[EXPIRY DATE]],"YYY")</f>
        <v>2026</v>
      </c>
      <c r="I1680" s="84" t="s">
        <v>607</v>
      </c>
      <c r="J1680" s="69"/>
    </row>
    <row r="1681" spans="1:10" x14ac:dyDescent="0.3">
      <c r="A1681" s="84">
        <v>1680</v>
      </c>
      <c r="B1681" s="84" t="s">
        <v>1971</v>
      </c>
      <c r="C1681" s="84" t="s">
        <v>407</v>
      </c>
      <c r="D1681" s="115" t="s">
        <v>2659</v>
      </c>
      <c r="E1681" s="85" t="s">
        <v>601</v>
      </c>
      <c r="F1681" s="85">
        <v>46168</v>
      </c>
      <c r="G1681" s="85" t="s">
        <v>838</v>
      </c>
      <c r="H1681" s="85" t="str">
        <f>TEXT(Table7[[#This Row],[EXPIRY DATE]],"YYY")</f>
        <v>2026</v>
      </c>
      <c r="I1681" s="84" t="s">
        <v>602</v>
      </c>
      <c r="J1681" s="69"/>
    </row>
    <row r="1682" spans="1:10" x14ac:dyDescent="0.3">
      <c r="A1682" s="84">
        <v>1681</v>
      </c>
      <c r="B1682" s="84" t="s">
        <v>2647</v>
      </c>
      <c r="C1682" s="84" t="s">
        <v>407</v>
      </c>
      <c r="D1682" s="115" t="s">
        <v>2648</v>
      </c>
      <c r="E1682" s="85" t="s">
        <v>2649</v>
      </c>
      <c r="F1682" s="85">
        <v>46272</v>
      </c>
      <c r="G1682" s="85" t="s">
        <v>591</v>
      </c>
      <c r="H1682" s="85" t="str">
        <f>TEXT(Table7[[#This Row],[EXPIRY DATE]],"YYY")</f>
        <v>2026</v>
      </c>
      <c r="I1682" s="84" t="s">
        <v>607</v>
      </c>
      <c r="J1682" s="69"/>
    </row>
    <row r="1683" spans="1:10" x14ac:dyDescent="0.3">
      <c r="A1683" s="84">
        <v>1682</v>
      </c>
      <c r="B1683" s="84" t="s">
        <v>2660</v>
      </c>
      <c r="C1683" s="84" t="s">
        <v>407</v>
      </c>
      <c r="D1683" s="115" t="s">
        <v>2661</v>
      </c>
      <c r="E1683" s="85" t="s">
        <v>2662</v>
      </c>
      <c r="F1683" s="85">
        <v>46282</v>
      </c>
      <c r="G1683" s="85" t="s">
        <v>591</v>
      </c>
      <c r="H1683" s="85" t="str">
        <f>TEXT(Table7[[#This Row],[EXPIRY DATE]],"YYY")</f>
        <v>2026</v>
      </c>
      <c r="I1683" s="84" t="s">
        <v>607</v>
      </c>
      <c r="J1683" s="69"/>
    </row>
    <row r="1684" spans="1:10" x14ac:dyDescent="0.3">
      <c r="A1684" s="84">
        <v>1683</v>
      </c>
      <c r="B1684" s="84" t="s">
        <v>2663</v>
      </c>
      <c r="C1684" s="84" t="s">
        <v>407</v>
      </c>
      <c r="D1684" s="115" t="s">
        <v>2664</v>
      </c>
      <c r="E1684" s="84" t="s">
        <v>601</v>
      </c>
      <c r="F1684" s="85">
        <v>46374</v>
      </c>
      <c r="G1684" s="85" t="s">
        <v>625</v>
      </c>
      <c r="H1684" s="85" t="str">
        <f>TEXT(Table7[[#This Row],[EXPIRY DATE]],"YYY")</f>
        <v>2026</v>
      </c>
      <c r="I1684" s="84" t="s">
        <v>602</v>
      </c>
      <c r="J1684" s="69"/>
    </row>
    <row r="1685" spans="1:10" x14ac:dyDescent="0.3">
      <c r="A1685" s="84">
        <v>1684</v>
      </c>
      <c r="B1685" s="84" t="s">
        <v>2624</v>
      </c>
      <c r="C1685" s="84" t="s">
        <v>407</v>
      </c>
      <c r="D1685" s="115" t="s">
        <v>2625</v>
      </c>
      <c r="E1685" s="85" t="s">
        <v>610</v>
      </c>
      <c r="F1685" s="85">
        <v>46387</v>
      </c>
      <c r="G1685" s="85" t="str">
        <f>TEXT(Table7[[#This Row],[EXPIRY DATE]],"MMM")</f>
        <v>Dec</v>
      </c>
      <c r="H1685" s="85" t="str">
        <f>TEXT(Table7[[#This Row],[EXPIRY DATE]],"YYY")</f>
        <v>2026</v>
      </c>
      <c r="I1685" s="84" t="s">
        <v>602</v>
      </c>
      <c r="J1685" s="69"/>
    </row>
    <row r="1686" spans="1:10" x14ac:dyDescent="0.3">
      <c r="A1686" s="84">
        <v>1685</v>
      </c>
      <c r="B1686" s="84" t="s">
        <v>2624</v>
      </c>
      <c r="C1686" s="84" t="s">
        <v>407</v>
      </c>
      <c r="D1686" s="115" t="s">
        <v>2665</v>
      </c>
      <c r="E1686" s="85" t="s">
        <v>610</v>
      </c>
      <c r="F1686" s="85">
        <v>46387</v>
      </c>
      <c r="G1686" s="85" t="s">
        <v>625</v>
      </c>
      <c r="H1686" s="85" t="str">
        <f>TEXT(Table7[[#This Row],[EXPIRY DATE]],"YYY")</f>
        <v>2026</v>
      </c>
      <c r="I1686" s="84" t="s">
        <v>607</v>
      </c>
      <c r="J1686" s="69"/>
    </row>
    <row r="1687" spans="1:10" x14ac:dyDescent="0.3">
      <c r="A1687" s="84">
        <v>1686</v>
      </c>
      <c r="B1687" s="84" t="s">
        <v>2135</v>
      </c>
      <c r="C1687" s="84" t="s">
        <v>407</v>
      </c>
      <c r="D1687" s="115" t="s">
        <v>2666</v>
      </c>
      <c r="E1687" s="85" t="s">
        <v>610</v>
      </c>
      <c r="F1687" s="85">
        <v>46387</v>
      </c>
      <c r="G1687" s="85" t="s">
        <v>625</v>
      </c>
      <c r="H1687" s="85" t="str">
        <f>TEXT(Table7[[#This Row],[EXPIRY DATE]],"YYY")</f>
        <v>2026</v>
      </c>
      <c r="I1687" s="84" t="s">
        <v>607</v>
      </c>
      <c r="J1687" s="69"/>
    </row>
    <row r="1688" spans="1:10" x14ac:dyDescent="0.3">
      <c r="A1688" s="84">
        <v>1687</v>
      </c>
      <c r="B1688" s="84" t="s">
        <v>2135</v>
      </c>
      <c r="C1688" s="84" t="s">
        <v>407</v>
      </c>
      <c r="D1688" s="115" t="s">
        <v>2666</v>
      </c>
      <c r="E1688" s="85" t="s">
        <v>610</v>
      </c>
      <c r="F1688" s="85">
        <v>46387</v>
      </c>
      <c r="G1688" s="85" t="s">
        <v>625</v>
      </c>
      <c r="H1688" s="85" t="str">
        <f>TEXT(Table7[[#This Row],[EXPIRY DATE]],"YYY")</f>
        <v>2026</v>
      </c>
      <c r="I1688" s="84" t="s">
        <v>602</v>
      </c>
      <c r="J1688" s="69"/>
    </row>
    <row r="1689" spans="1:10" x14ac:dyDescent="0.3">
      <c r="A1689" s="84">
        <v>1688</v>
      </c>
      <c r="B1689" s="84" t="s">
        <v>2667</v>
      </c>
      <c r="C1689" s="84" t="s">
        <v>407</v>
      </c>
      <c r="D1689" s="115" t="s">
        <v>2668</v>
      </c>
      <c r="E1689" s="85" t="s">
        <v>610</v>
      </c>
      <c r="F1689" s="85">
        <v>46387</v>
      </c>
      <c r="G1689" s="85" t="s">
        <v>625</v>
      </c>
      <c r="H1689" s="85" t="str">
        <f>TEXT(Table7[[#This Row],[EXPIRY DATE]],"YYY")</f>
        <v>2026</v>
      </c>
      <c r="I1689" s="84" t="s">
        <v>602</v>
      </c>
      <c r="J1689" s="69"/>
    </row>
    <row r="1690" spans="1:10" x14ac:dyDescent="0.3">
      <c r="A1690" s="84">
        <v>1689</v>
      </c>
      <c r="B1690" s="84" t="s">
        <v>2667</v>
      </c>
      <c r="C1690" s="84" t="s">
        <v>407</v>
      </c>
      <c r="D1690" s="115" t="s">
        <v>2668</v>
      </c>
      <c r="E1690" s="85" t="s">
        <v>610</v>
      </c>
      <c r="F1690" s="85">
        <v>46387</v>
      </c>
      <c r="G1690" s="85" t="s">
        <v>625</v>
      </c>
      <c r="H1690" s="85" t="str">
        <f>TEXT(Table7[[#This Row],[EXPIRY DATE]],"YYY")</f>
        <v>2026</v>
      </c>
      <c r="I1690" s="84" t="s">
        <v>607</v>
      </c>
      <c r="J1690" s="69"/>
    </row>
    <row r="1691" spans="1:10" ht="20.399999999999999" x14ac:dyDescent="0.3">
      <c r="A1691" s="84">
        <v>1690</v>
      </c>
      <c r="B1691" s="84" t="s">
        <v>2669</v>
      </c>
      <c r="C1691" s="84" t="s">
        <v>407</v>
      </c>
      <c r="D1691" s="115" t="s">
        <v>2670</v>
      </c>
      <c r="E1691" s="85" t="s">
        <v>590</v>
      </c>
      <c r="F1691" s="85">
        <v>46387</v>
      </c>
      <c r="G1691" s="85" t="s">
        <v>625</v>
      </c>
      <c r="H1691" s="85" t="str">
        <f>TEXT(Table7[[#This Row],[EXPIRY DATE]],"YYY")</f>
        <v>2026</v>
      </c>
      <c r="I1691" s="84" t="s">
        <v>602</v>
      </c>
      <c r="J1691" s="69"/>
    </row>
    <row r="1692" spans="1:10" ht="20.399999999999999" x14ac:dyDescent="0.3">
      <c r="A1692" s="84">
        <v>1691</v>
      </c>
      <c r="B1692" s="84" t="s">
        <v>2671</v>
      </c>
      <c r="C1692" s="84" t="s">
        <v>407</v>
      </c>
      <c r="D1692" s="115" t="s">
        <v>2672</v>
      </c>
      <c r="E1692" s="85" t="s">
        <v>605</v>
      </c>
      <c r="F1692" s="85">
        <v>46387</v>
      </c>
      <c r="G1692" s="85" t="s">
        <v>625</v>
      </c>
      <c r="H1692" s="85" t="str">
        <f>TEXT(Table7[[#This Row],[EXPIRY DATE]],"YYY")</f>
        <v>2026</v>
      </c>
      <c r="I1692" s="84" t="s">
        <v>602</v>
      </c>
      <c r="J1692" s="69"/>
    </row>
    <row r="1693" spans="1:10" x14ac:dyDescent="0.3">
      <c r="A1693" s="84">
        <v>1692</v>
      </c>
      <c r="B1693" s="84" t="s">
        <v>2673</v>
      </c>
      <c r="C1693" s="84" t="s">
        <v>407</v>
      </c>
      <c r="D1693" s="115" t="s">
        <v>2674</v>
      </c>
      <c r="E1693" s="85" t="s">
        <v>605</v>
      </c>
      <c r="F1693" s="85">
        <v>47118</v>
      </c>
      <c r="G1693" s="85" t="str">
        <f>TEXT(Table7[[#This Row],[EXPIRY DATE]],"MMM")</f>
        <v>Dec</v>
      </c>
      <c r="H1693" s="85" t="str">
        <f>TEXT(Table7[[#This Row],[EXPIRY DATE]],"YYY")</f>
        <v>2028</v>
      </c>
      <c r="I1693" s="84" t="s">
        <v>602</v>
      </c>
      <c r="J1693" s="69"/>
    </row>
    <row r="1694" spans="1:10" x14ac:dyDescent="0.3">
      <c r="A1694" s="84">
        <v>1693</v>
      </c>
      <c r="B1694" s="84" t="s">
        <v>2652</v>
      </c>
      <c r="C1694" s="84" t="s">
        <v>407</v>
      </c>
      <c r="D1694" s="115" t="s">
        <v>2653</v>
      </c>
      <c r="E1694" s="85" t="s">
        <v>2654</v>
      </c>
      <c r="F1694" s="85">
        <v>47118</v>
      </c>
      <c r="G1694" s="85" t="str">
        <f>TEXT(Table7[[#This Row],[EXPIRY DATE]],"MMM")</f>
        <v>Dec</v>
      </c>
      <c r="H1694" s="85" t="str">
        <f>TEXT(Table7[[#This Row],[EXPIRY DATE]],"YYY")</f>
        <v>2028</v>
      </c>
      <c r="I1694" s="84" t="s">
        <v>602</v>
      </c>
      <c r="J1694" s="69"/>
    </row>
    <row r="1695" spans="1:10" x14ac:dyDescent="0.3">
      <c r="A1695" s="84">
        <v>1694</v>
      </c>
      <c r="B1695" s="84" t="s">
        <v>2502</v>
      </c>
      <c r="C1695" s="84" t="s">
        <v>407</v>
      </c>
      <c r="D1695" s="115" t="s">
        <v>2634</v>
      </c>
      <c r="E1695" s="85" t="s">
        <v>605</v>
      </c>
      <c r="F1695" s="85">
        <v>47118</v>
      </c>
      <c r="G1695" s="85" t="str">
        <f>TEXT(Table7[[#This Row],[EXPIRY DATE]],"MMM")</f>
        <v>Dec</v>
      </c>
      <c r="H1695" s="85" t="str">
        <f>TEXT(Table7[[#This Row],[EXPIRY DATE]],"YYY")</f>
        <v>2028</v>
      </c>
      <c r="I1695" s="84" t="s">
        <v>602</v>
      </c>
      <c r="J1695" s="69"/>
    </row>
    <row r="1696" spans="1:10" x14ac:dyDescent="0.3">
      <c r="A1696" s="84">
        <v>1695</v>
      </c>
      <c r="B1696" s="84" t="s">
        <v>2635</v>
      </c>
      <c r="C1696" s="84" t="s">
        <v>407</v>
      </c>
      <c r="D1696" s="115" t="s">
        <v>2636</v>
      </c>
      <c r="E1696" s="85" t="s">
        <v>605</v>
      </c>
      <c r="F1696" s="85">
        <v>47118</v>
      </c>
      <c r="G1696" s="85" t="str">
        <f>TEXT(Table7[[#This Row],[EXPIRY DATE]],"MMM")</f>
        <v>Dec</v>
      </c>
      <c r="H1696" s="85" t="str">
        <f>TEXT(Table7[[#This Row],[EXPIRY DATE]],"YYY")</f>
        <v>2028</v>
      </c>
      <c r="I1696" s="84" t="s">
        <v>602</v>
      </c>
      <c r="J1696" s="69"/>
    </row>
    <row r="1697" spans="1:10" x14ac:dyDescent="0.3">
      <c r="A1697" s="84">
        <v>1696</v>
      </c>
      <c r="B1697" s="84" t="s">
        <v>2675</v>
      </c>
      <c r="C1697" s="84" t="s">
        <v>407</v>
      </c>
      <c r="D1697" s="115" t="s">
        <v>2676</v>
      </c>
      <c r="E1697" s="85" t="s">
        <v>2654</v>
      </c>
      <c r="F1697" s="85">
        <v>47483</v>
      </c>
      <c r="G1697" s="85" t="s">
        <v>625</v>
      </c>
      <c r="H1697" s="85" t="str">
        <f>TEXT(Table7[[#This Row],[EXPIRY DATE]],"YYY")</f>
        <v>2029</v>
      </c>
      <c r="I1697" s="84" t="s">
        <v>602</v>
      </c>
      <c r="J1697" s="69"/>
    </row>
    <row r="1698" spans="1:10" x14ac:dyDescent="0.3">
      <c r="A1698" s="84">
        <v>1697</v>
      </c>
      <c r="B1698" s="84" t="s">
        <v>603</v>
      </c>
      <c r="C1698" s="84" t="s">
        <v>407</v>
      </c>
      <c r="D1698" s="115" t="s">
        <v>2633</v>
      </c>
      <c r="E1698" s="85" t="s">
        <v>605</v>
      </c>
      <c r="F1698" s="85">
        <v>47483</v>
      </c>
      <c r="G1698" s="85" t="s">
        <v>625</v>
      </c>
      <c r="H1698" s="85" t="str">
        <f>TEXT(Table7[[#This Row],[EXPIRY DATE]],"YYY")</f>
        <v>2029</v>
      </c>
      <c r="I1698" s="84" t="s">
        <v>602</v>
      </c>
      <c r="J1698" s="69"/>
    </row>
    <row r="1699" spans="1:10" x14ac:dyDescent="0.3">
      <c r="A1699" s="84">
        <v>1698</v>
      </c>
      <c r="B1699" s="84" t="s">
        <v>2677</v>
      </c>
      <c r="C1699" s="84" t="s">
        <v>407</v>
      </c>
      <c r="D1699" s="115" t="s">
        <v>2678</v>
      </c>
      <c r="E1699" s="85" t="s">
        <v>2679</v>
      </c>
      <c r="F1699" s="85">
        <v>47483</v>
      </c>
      <c r="G1699" s="85" t="s">
        <v>625</v>
      </c>
      <c r="H1699" s="85" t="str">
        <f>TEXT(Table7[[#This Row],[EXPIRY DATE]],"YYY")</f>
        <v>2029</v>
      </c>
      <c r="I1699" s="84" t="s">
        <v>602</v>
      </c>
      <c r="J1699" s="69"/>
    </row>
    <row r="1700" spans="1:10" ht="30.6" x14ac:dyDescent="0.3">
      <c r="A1700" s="84">
        <v>1699</v>
      </c>
      <c r="B1700" s="84" t="s">
        <v>2680</v>
      </c>
      <c r="C1700" s="84" t="s">
        <v>407</v>
      </c>
      <c r="D1700" s="115" t="s">
        <v>2681</v>
      </c>
      <c r="E1700" s="85" t="s">
        <v>605</v>
      </c>
      <c r="F1700" s="85">
        <v>47483</v>
      </c>
      <c r="G1700" s="85" t="s">
        <v>625</v>
      </c>
      <c r="H1700" s="85" t="str">
        <f>TEXT(Table7[[#This Row],[EXPIRY DATE]],"YYY")</f>
        <v>2029</v>
      </c>
      <c r="I1700" s="84" t="s">
        <v>602</v>
      </c>
      <c r="J1700" s="69"/>
    </row>
    <row r="1701" spans="1:10" x14ac:dyDescent="0.3">
      <c r="A1701" s="84">
        <v>1700</v>
      </c>
      <c r="B1701" s="84" t="s">
        <v>947</v>
      </c>
      <c r="C1701" s="84" t="s">
        <v>407</v>
      </c>
      <c r="D1701" s="115" t="s">
        <v>2682</v>
      </c>
      <c r="E1701" s="85" t="s">
        <v>1225</v>
      </c>
      <c r="F1701" s="85">
        <v>46112</v>
      </c>
      <c r="G1701" s="85" t="s">
        <v>606</v>
      </c>
      <c r="H1701" s="85"/>
      <c r="I1701" s="84" t="s">
        <v>602</v>
      </c>
      <c r="J1701" s="70"/>
    </row>
    <row r="1702" spans="1:10" x14ac:dyDescent="0.3">
      <c r="A1702" s="84">
        <v>1701</v>
      </c>
      <c r="B1702" s="84" t="s">
        <v>2683</v>
      </c>
      <c r="C1702" s="84" t="s">
        <v>2684</v>
      </c>
      <c r="D1702" s="115" t="s">
        <v>2685</v>
      </c>
      <c r="E1702" s="85" t="s">
        <v>2296</v>
      </c>
      <c r="F1702" s="85">
        <v>46692</v>
      </c>
      <c r="G1702" s="85" t="str">
        <f>TEXT(Table7[[#This Row],[EXPIRY DATE]],"MMM")</f>
        <v>Nov</v>
      </c>
      <c r="H1702" s="85" t="str">
        <f>TEXT(Table7[[#This Row],[EXPIRY DATE]],"YYY")</f>
        <v>2027</v>
      </c>
      <c r="I1702" s="85" t="s">
        <v>791</v>
      </c>
      <c r="J1702" s="69"/>
    </row>
    <row r="1703" spans="1:10" x14ac:dyDescent="0.3">
      <c r="A1703" s="84">
        <v>1702</v>
      </c>
      <c r="B1703" s="84" t="s">
        <v>2686</v>
      </c>
      <c r="C1703" s="84" t="s">
        <v>2687</v>
      </c>
      <c r="D1703" s="115" t="s">
        <v>2688</v>
      </c>
      <c r="E1703" s="85" t="s">
        <v>2296</v>
      </c>
      <c r="F1703" s="85">
        <v>46658</v>
      </c>
      <c r="G1703" s="85" t="str">
        <f>TEXT(Table7[[#This Row],[EXPIRY DATE]],"MMM")</f>
        <v>Sep</v>
      </c>
      <c r="H1703" s="85" t="str">
        <f>TEXT(Table7[[#This Row],[EXPIRY DATE]],"YYY")</f>
        <v>2027</v>
      </c>
      <c r="I1703" s="85" t="s">
        <v>791</v>
      </c>
      <c r="J1703" s="69"/>
    </row>
    <row r="1704" spans="1:10" x14ac:dyDescent="0.3">
      <c r="A1704" s="84">
        <v>1703</v>
      </c>
      <c r="B1704" s="84" t="s">
        <v>2473</v>
      </c>
      <c r="C1704" s="84" t="s">
        <v>2687</v>
      </c>
      <c r="D1704" s="115" t="s">
        <v>2689</v>
      </c>
      <c r="E1704" s="85" t="s">
        <v>640</v>
      </c>
      <c r="F1704" s="85">
        <v>46697</v>
      </c>
      <c r="G1704" s="85" t="str">
        <f>TEXT(Table7[[#This Row],[EXPIRY DATE]],"MMM")</f>
        <v>Nov</v>
      </c>
      <c r="H1704" s="85" t="str">
        <f>TEXT(Table7[[#This Row],[EXPIRY DATE]],"YYY")</f>
        <v>2027</v>
      </c>
      <c r="I1704" s="85" t="s">
        <v>791</v>
      </c>
      <c r="J1704" s="69"/>
    </row>
    <row r="1705" spans="1:10" x14ac:dyDescent="0.3">
      <c r="A1705" s="84">
        <v>1704</v>
      </c>
      <c r="B1705" s="84" t="s">
        <v>2266</v>
      </c>
      <c r="C1705" s="84" t="s">
        <v>2690</v>
      </c>
      <c r="D1705" s="115" t="s">
        <v>2691</v>
      </c>
      <c r="E1705" s="85" t="s">
        <v>885</v>
      </c>
      <c r="F1705" s="85">
        <v>46022</v>
      </c>
      <c r="G1705" s="85" t="s">
        <v>625</v>
      </c>
      <c r="H1705" s="85" t="str">
        <f>TEXT(Table7[[#This Row],[EXPIRY DATE]],"YYY")</f>
        <v>2025</v>
      </c>
      <c r="I1705" s="84" t="s">
        <v>602</v>
      </c>
      <c r="J1705" s="69"/>
    </row>
    <row r="1706" spans="1:10" x14ac:dyDescent="0.3">
      <c r="A1706" s="84">
        <v>1705</v>
      </c>
      <c r="B1706" s="84" t="s">
        <v>2692</v>
      </c>
      <c r="C1706" s="102" t="s">
        <v>2693</v>
      </c>
      <c r="D1706" s="115" t="s">
        <v>2694</v>
      </c>
      <c r="E1706" s="103"/>
      <c r="F1706" s="103" t="s">
        <v>817</v>
      </c>
      <c r="G1706" s="103" t="str">
        <f>TEXT(Table7[[#This Row],[EXPIRY DATE]],"MMM")</f>
        <v>DORMANT</v>
      </c>
      <c r="H1706" s="103" t="str">
        <f>TEXT(Table7[[#This Row],[EXPIRY DATE]],"YYY")</f>
        <v>DORMANT</v>
      </c>
      <c r="I1706" s="103" t="s">
        <v>791</v>
      </c>
      <c r="J1706" s="77"/>
    </row>
    <row r="1707" spans="1:10" x14ac:dyDescent="0.3">
      <c r="A1707" s="84">
        <v>1706</v>
      </c>
      <c r="B1707" s="84" t="s">
        <v>2266</v>
      </c>
      <c r="C1707" s="84" t="s">
        <v>2695</v>
      </c>
      <c r="D1707" s="115" t="s">
        <v>2696</v>
      </c>
      <c r="E1707" s="85" t="s">
        <v>2697</v>
      </c>
      <c r="F1707" s="85">
        <v>46099</v>
      </c>
      <c r="G1707" s="85" t="str">
        <f>TEXT(Table7[[#This Row],[EXPIRY DATE]],"MMM")</f>
        <v>Mar</v>
      </c>
      <c r="H1707" s="85" t="str">
        <f>TEXT(Table7[[#This Row],[EXPIRY DATE]],"YYY")</f>
        <v>2026</v>
      </c>
      <c r="I1707" s="85" t="s">
        <v>791</v>
      </c>
      <c r="J1707" s="69"/>
    </row>
    <row r="1708" spans="1:10" x14ac:dyDescent="0.3">
      <c r="A1708" s="84">
        <v>1707</v>
      </c>
      <c r="B1708" s="84" t="s">
        <v>2266</v>
      </c>
      <c r="C1708" s="84" t="s">
        <v>2695</v>
      </c>
      <c r="D1708" s="115" t="s">
        <v>2696</v>
      </c>
      <c r="E1708" s="85"/>
      <c r="F1708" s="85" t="s">
        <v>629</v>
      </c>
      <c r="G1708" s="85" t="str">
        <f>TEXT(Table7[[#This Row],[EXPIRY DATE]],"MMM")</f>
        <v>LIFETIME</v>
      </c>
      <c r="H1708" s="85" t="str">
        <f>TEXT(Table7[[#This Row],[EXPIRY DATE]],"YYY")</f>
        <v>LIFETIME</v>
      </c>
      <c r="I1708" s="84" t="s">
        <v>602</v>
      </c>
      <c r="J1708" s="69"/>
    </row>
    <row r="1709" spans="1:10" ht="40.799999999999997" x14ac:dyDescent="0.3">
      <c r="A1709" s="84">
        <v>1708</v>
      </c>
      <c r="B1709" s="84" t="s">
        <v>2698</v>
      </c>
      <c r="C1709" s="92" t="s">
        <v>2699</v>
      </c>
      <c r="D1709" s="119" t="s">
        <v>2700</v>
      </c>
      <c r="E1709" s="93" t="s">
        <v>652</v>
      </c>
      <c r="F1709" s="93" t="s">
        <v>766</v>
      </c>
      <c r="G1709" s="93" t="str">
        <f>TEXT(Table7[[#This Row],[EXPIRY DATE]],"MMM")</f>
        <v>CLOSED</v>
      </c>
      <c r="H1709" s="93" t="str">
        <f>TEXT(Table7[[#This Row],[EXPIRY DATE]],"YYY")</f>
        <v>CLOSED</v>
      </c>
      <c r="I1709" s="93" t="s">
        <v>791</v>
      </c>
      <c r="J1709" s="75"/>
    </row>
    <row r="1710" spans="1:10" ht="40.799999999999997" x14ac:dyDescent="0.3">
      <c r="A1710" s="84">
        <v>1709</v>
      </c>
      <c r="B1710" s="84" t="s">
        <v>2701</v>
      </c>
      <c r="C1710" s="84" t="s">
        <v>2699</v>
      </c>
      <c r="D1710" s="115" t="s">
        <v>2700</v>
      </c>
      <c r="E1710" s="85"/>
      <c r="F1710" s="85" t="s">
        <v>81</v>
      </c>
      <c r="G1710" s="85" t="str">
        <f>TEXT(Table7[[#This Row],[EXPIRY DATE]],"MMM")</f>
        <v>NA</v>
      </c>
      <c r="H1710" s="85" t="str">
        <f>TEXT(Table7[[#This Row],[EXPIRY DATE]],"YYY")</f>
        <v>NA</v>
      </c>
      <c r="I1710" s="84" t="s">
        <v>602</v>
      </c>
      <c r="J1710" s="69"/>
    </row>
    <row r="1711" spans="1:10" x14ac:dyDescent="0.3">
      <c r="A1711" s="84">
        <v>1710</v>
      </c>
      <c r="B1711" s="84" t="s">
        <v>2702</v>
      </c>
      <c r="C1711" s="84" t="s">
        <v>147</v>
      </c>
      <c r="D1711" s="115" t="s">
        <v>2703</v>
      </c>
      <c r="E1711" s="85" t="s">
        <v>885</v>
      </c>
      <c r="F1711" s="85">
        <v>43830</v>
      </c>
      <c r="G1711" s="85" t="str">
        <f>TEXT(Table7[[#This Row],[EXPIRY DATE]],"MMM")</f>
        <v>Dec</v>
      </c>
      <c r="H1711" s="85" t="str">
        <f>TEXT(Table7[[#This Row],[EXPIRY DATE]],"YYY")</f>
        <v>2019</v>
      </c>
      <c r="I1711" s="84" t="s">
        <v>916</v>
      </c>
      <c r="J1711" s="69"/>
    </row>
    <row r="1712" spans="1:10" x14ac:dyDescent="0.3">
      <c r="A1712" s="84">
        <v>1711</v>
      </c>
      <c r="B1712" s="84" t="s">
        <v>2704</v>
      </c>
      <c r="C1712" s="84" t="s">
        <v>147</v>
      </c>
      <c r="D1712" s="115" t="s">
        <v>2705</v>
      </c>
      <c r="E1712" s="85" t="s">
        <v>616</v>
      </c>
      <c r="F1712" s="85">
        <v>45064</v>
      </c>
      <c r="G1712" s="85" t="str">
        <f>TEXT(Table7[[#This Row],[EXPIRY DATE]],"MMM")</f>
        <v>May</v>
      </c>
      <c r="H1712" s="85" t="str">
        <f>TEXT(Table7[[#This Row],[EXPIRY DATE]],"YYY")</f>
        <v>2023</v>
      </c>
      <c r="I1712" s="84" t="s">
        <v>621</v>
      </c>
      <c r="J1712" s="69"/>
    </row>
    <row r="1713" spans="1:10" x14ac:dyDescent="0.3">
      <c r="A1713" s="84">
        <v>1712</v>
      </c>
      <c r="B1713" s="84" t="s">
        <v>2706</v>
      </c>
      <c r="C1713" s="84" t="s">
        <v>147</v>
      </c>
      <c r="D1713" s="115" t="s">
        <v>2707</v>
      </c>
      <c r="E1713" s="85" t="s">
        <v>616</v>
      </c>
      <c r="F1713" s="85">
        <v>45284</v>
      </c>
      <c r="G1713" s="85" t="str">
        <f>TEXT(Table7[[#This Row],[EXPIRY DATE]],"MMM")</f>
        <v>Dec</v>
      </c>
      <c r="H1713" s="85" t="str">
        <f>TEXT(Table7[[#This Row],[EXPIRY DATE]],"YYY")</f>
        <v>2023</v>
      </c>
      <c r="I1713" s="84" t="s">
        <v>839</v>
      </c>
      <c r="J1713" s="69"/>
    </row>
    <row r="1714" spans="1:10" x14ac:dyDescent="0.3">
      <c r="A1714" s="84">
        <v>1713</v>
      </c>
      <c r="B1714" s="84" t="s">
        <v>2708</v>
      </c>
      <c r="C1714" s="84" t="s">
        <v>147</v>
      </c>
      <c r="D1714" s="115" t="s">
        <v>2709</v>
      </c>
      <c r="E1714" s="85" t="s">
        <v>616</v>
      </c>
      <c r="F1714" s="85">
        <v>45287</v>
      </c>
      <c r="G1714" s="85" t="str">
        <f>TEXT(Table7[[#This Row],[EXPIRY DATE]],"MMM")</f>
        <v>Dec</v>
      </c>
      <c r="H1714" s="85" t="str">
        <f>TEXT(Table7[[#This Row],[EXPIRY DATE]],"YYY")</f>
        <v>2023</v>
      </c>
      <c r="I1714" s="84" t="s">
        <v>607</v>
      </c>
      <c r="J1714" s="69"/>
    </row>
    <row r="1715" spans="1:10" ht="30.6" x14ac:dyDescent="0.3">
      <c r="A1715" s="84">
        <v>1714</v>
      </c>
      <c r="B1715" s="84" t="s">
        <v>2710</v>
      </c>
      <c r="C1715" s="84" t="s">
        <v>147</v>
      </c>
      <c r="D1715" s="115" t="s">
        <v>2711</v>
      </c>
      <c r="E1715" s="85"/>
      <c r="F1715" s="85">
        <v>45510</v>
      </c>
      <c r="G1715" s="85" t="str">
        <f>TEXT(Table7[[#This Row],[EXPIRY DATE]],"MMM")</f>
        <v>Aug</v>
      </c>
      <c r="H1715" s="85" t="str">
        <f>TEXT(Table7[[#This Row],[EXPIRY DATE]],"YYY")</f>
        <v>2024</v>
      </c>
      <c r="I1715" s="85" t="s">
        <v>791</v>
      </c>
      <c r="J1715" s="69"/>
    </row>
    <row r="1716" spans="1:10" ht="20.399999999999999" x14ac:dyDescent="0.3">
      <c r="A1716" s="84">
        <v>1715</v>
      </c>
      <c r="B1716" s="84" t="s">
        <v>2712</v>
      </c>
      <c r="C1716" s="84" t="s">
        <v>147</v>
      </c>
      <c r="D1716" s="115" t="s">
        <v>2713</v>
      </c>
      <c r="E1716" s="85" t="s">
        <v>616</v>
      </c>
      <c r="F1716" s="85">
        <v>45589</v>
      </c>
      <c r="G1716" s="85" t="str">
        <f>TEXT(Table7[[#This Row],[EXPIRY DATE]],"MMM")</f>
        <v>Oct</v>
      </c>
      <c r="H1716" s="85" t="str">
        <f>TEXT(Table7[[#This Row],[EXPIRY DATE]],"YYY")</f>
        <v>2024</v>
      </c>
      <c r="I1716" s="84" t="s">
        <v>839</v>
      </c>
      <c r="J1716" s="69"/>
    </row>
    <row r="1717" spans="1:10" x14ac:dyDescent="0.3">
      <c r="A1717" s="84">
        <v>1716</v>
      </c>
      <c r="B1717" s="84" t="s">
        <v>2714</v>
      </c>
      <c r="C1717" s="84" t="s">
        <v>147</v>
      </c>
      <c r="D1717" s="115" t="s">
        <v>2715</v>
      </c>
      <c r="E1717" s="85" t="s">
        <v>1014</v>
      </c>
      <c r="F1717" s="85">
        <v>45657</v>
      </c>
      <c r="G1717" s="85" t="str">
        <f>TEXT(Table7[[#This Row],[EXPIRY DATE]],"MMM")</f>
        <v>Dec</v>
      </c>
      <c r="H1717" s="85" t="str">
        <f>TEXT(Table7[[#This Row],[EXPIRY DATE]],"YYY")</f>
        <v>2024</v>
      </c>
      <c r="I1717" s="84" t="s">
        <v>916</v>
      </c>
      <c r="J1717" s="69"/>
    </row>
    <row r="1718" spans="1:10" x14ac:dyDescent="0.3">
      <c r="A1718" s="84">
        <v>1717</v>
      </c>
      <c r="B1718" s="84" t="s">
        <v>2716</v>
      </c>
      <c r="C1718" s="84" t="s">
        <v>147</v>
      </c>
      <c r="D1718" s="115" t="s">
        <v>2717</v>
      </c>
      <c r="E1718" s="85" t="s">
        <v>1014</v>
      </c>
      <c r="F1718" s="85">
        <v>45657</v>
      </c>
      <c r="G1718" s="85" t="str">
        <f>TEXT(Table7[[#This Row],[EXPIRY DATE]],"MMM")</f>
        <v>Dec</v>
      </c>
      <c r="H1718" s="85" t="str">
        <f>TEXT(Table7[[#This Row],[EXPIRY DATE]],"YYY")</f>
        <v>2024</v>
      </c>
      <c r="I1718" s="84" t="s">
        <v>916</v>
      </c>
      <c r="J1718" s="69"/>
    </row>
    <row r="1719" spans="1:10" ht="20.399999999999999" x14ac:dyDescent="0.3">
      <c r="A1719" s="84">
        <v>1718</v>
      </c>
      <c r="B1719" s="84" t="s">
        <v>2718</v>
      </c>
      <c r="C1719" s="84" t="s">
        <v>147</v>
      </c>
      <c r="D1719" s="115" t="s">
        <v>2719</v>
      </c>
      <c r="E1719" s="85" t="s">
        <v>1210</v>
      </c>
      <c r="F1719" s="85">
        <v>45657</v>
      </c>
      <c r="G1719" s="85" t="str">
        <f>TEXT(Table7[[#This Row],[EXPIRY DATE]],"MMM")</f>
        <v>Dec</v>
      </c>
      <c r="H1719" s="85" t="str">
        <f>TEXT(Table7[[#This Row],[EXPIRY DATE]],"YYY")</f>
        <v>2024</v>
      </c>
      <c r="I1719" s="84" t="s">
        <v>916</v>
      </c>
      <c r="J1719" s="69"/>
    </row>
    <row r="1720" spans="1:10" x14ac:dyDescent="0.3">
      <c r="A1720" s="84">
        <v>1719</v>
      </c>
      <c r="B1720" s="84" t="s">
        <v>2702</v>
      </c>
      <c r="C1720" s="84" t="s">
        <v>147</v>
      </c>
      <c r="D1720" s="115" t="s">
        <v>2703</v>
      </c>
      <c r="E1720" s="85" t="s">
        <v>885</v>
      </c>
      <c r="F1720" s="85">
        <v>45657</v>
      </c>
      <c r="G1720" s="85" t="str">
        <f>TEXT(Table7[[#This Row],[EXPIRY DATE]],"MMM")</f>
        <v>Dec</v>
      </c>
      <c r="H1720" s="85" t="str">
        <f>TEXT(Table7[[#This Row],[EXPIRY DATE]],"YYY")</f>
        <v>2024</v>
      </c>
      <c r="I1720" s="84" t="s">
        <v>607</v>
      </c>
      <c r="J1720" s="69"/>
    </row>
    <row r="1721" spans="1:10" x14ac:dyDescent="0.3">
      <c r="A1721" s="84">
        <v>1720</v>
      </c>
      <c r="B1721" s="84" t="s">
        <v>2720</v>
      </c>
      <c r="C1721" s="84" t="s">
        <v>147</v>
      </c>
      <c r="D1721" s="115" t="s">
        <v>2721</v>
      </c>
      <c r="E1721" s="85" t="s">
        <v>1014</v>
      </c>
      <c r="F1721" s="85">
        <v>45657</v>
      </c>
      <c r="G1721" s="85" t="str">
        <f>TEXT(Table7[[#This Row],[EXPIRY DATE]],"MMM")</f>
        <v>Dec</v>
      </c>
      <c r="H1721" s="85" t="str">
        <f>TEXT(Table7[[#This Row],[EXPIRY DATE]],"YYY")</f>
        <v>2024</v>
      </c>
      <c r="I1721" s="84" t="s">
        <v>916</v>
      </c>
      <c r="J1721" s="69"/>
    </row>
    <row r="1722" spans="1:10" x14ac:dyDescent="0.3">
      <c r="A1722" s="84">
        <v>1721</v>
      </c>
      <c r="B1722" s="84" t="s">
        <v>2722</v>
      </c>
      <c r="C1722" s="84" t="s">
        <v>147</v>
      </c>
      <c r="D1722" s="115" t="s">
        <v>2723</v>
      </c>
      <c r="E1722" s="85" t="s">
        <v>885</v>
      </c>
      <c r="F1722" s="85">
        <v>45657</v>
      </c>
      <c r="G1722" s="85" t="str">
        <f>TEXT(Table7[[#This Row],[EXPIRY DATE]],"MMM")</f>
        <v>Dec</v>
      </c>
      <c r="H1722" s="85" t="str">
        <f>TEXT(Table7[[#This Row],[EXPIRY DATE]],"YYY")</f>
        <v>2024</v>
      </c>
      <c r="I1722" s="84" t="s">
        <v>607</v>
      </c>
      <c r="J1722" s="69"/>
    </row>
    <row r="1723" spans="1:10" x14ac:dyDescent="0.3">
      <c r="A1723" s="84">
        <v>1722</v>
      </c>
      <c r="B1723" s="84" t="s">
        <v>2724</v>
      </c>
      <c r="C1723" s="84" t="s">
        <v>147</v>
      </c>
      <c r="D1723" s="115" t="s">
        <v>2725</v>
      </c>
      <c r="E1723" s="85" t="s">
        <v>1014</v>
      </c>
      <c r="F1723" s="85">
        <v>45657</v>
      </c>
      <c r="G1723" s="85" t="str">
        <f>TEXT(Table7[[#This Row],[EXPIRY DATE]],"MMM")</f>
        <v>Dec</v>
      </c>
      <c r="H1723" s="85" t="str">
        <f>TEXT(Table7[[#This Row],[EXPIRY DATE]],"YYY")</f>
        <v>2024</v>
      </c>
      <c r="I1723" s="84" t="s">
        <v>916</v>
      </c>
      <c r="J1723" s="69"/>
    </row>
    <row r="1724" spans="1:10" x14ac:dyDescent="0.3">
      <c r="A1724" s="84">
        <v>1723</v>
      </c>
      <c r="B1724" s="95" t="s">
        <v>2726</v>
      </c>
      <c r="C1724" s="96" t="s">
        <v>147</v>
      </c>
      <c r="D1724" s="120" t="s">
        <v>2727</v>
      </c>
      <c r="E1724" s="98" t="s">
        <v>885</v>
      </c>
      <c r="F1724" s="98">
        <v>45901</v>
      </c>
      <c r="G1724" s="98" t="str">
        <f>TEXT(Table7[[#This Row],[EXPIRY DATE]],"MMM")</f>
        <v>Sep</v>
      </c>
      <c r="H1724" s="98" t="str">
        <f>TEXT(Table7[[#This Row],[EXPIRY DATE]],"YYY")</f>
        <v>2025</v>
      </c>
      <c r="I1724" s="98" t="s">
        <v>791</v>
      </c>
      <c r="J1724" s="76"/>
    </row>
    <row r="1725" spans="1:10" x14ac:dyDescent="0.3">
      <c r="A1725" s="84">
        <v>1724</v>
      </c>
      <c r="B1725" s="95" t="s">
        <v>2728</v>
      </c>
      <c r="C1725" s="96" t="s">
        <v>147</v>
      </c>
      <c r="D1725" s="120" t="s">
        <v>2729</v>
      </c>
      <c r="E1725" s="98" t="s">
        <v>2730</v>
      </c>
      <c r="F1725" s="98">
        <v>45901</v>
      </c>
      <c r="G1725" s="98" t="str">
        <f>TEXT(Table7[[#This Row],[EXPIRY DATE]],"MMM")</f>
        <v>Sep</v>
      </c>
      <c r="H1725" s="98" t="str">
        <f>TEXT(Table7[[#This Row],[EXPIRY DATE]],"YYY")</f>
        <v>2025</v>
      </c>
      <c r="I1725" s="98" t="s">
        <v>791</v>
      </c>
      <c r="J1725" s="76"/>
    </row>
    <row r="1726" spans="1:10" x14ac:dyDescent="0.3">
      <c r="A1726" s="84">
        <v>1725</v>
      </c>
      <c r="B1726" s="95" t="s">
        <v>2731</v>
      </c>
      <c r="C1726" s="96" t="s">
        <v>147</v>
      </c>
      <c r="D1726" s="120" t="s">
        <v>2732</v>
      </c>
      <c r="E1726" s="98" t="s">
        <v>2733</v>
      </c>
      <c r="F1726" s="98">
        <v>45902</v>
      </c>
      <c r="G1726" s="98" t="str">
        <f>TEXT(Table7[[#This Row],[EXPIRY DATE]],"MMM")</f>
        <v>Sep</v>
      </c>
      <c r="H1726" s="98" t="str">
        <f>TEXT(Table7[[#This Row],[EXPIRY DATE]],"YYY")</f>
        <v>2025</v>
      </c>
      <c r="I1726" s="98" t="s">
        <v>791</v>
      </c>
      <c r="J1726" s="76"/>
    </row>
    <row r="1727" spans="1:10" x14ac:dyDescent="0.3">
      <c r="A1727" s="84">
        <v>1726</v>
      </c>
      <c r="B1727" s="95" t="s">
        <v>2734</v>
      </c>
      <c r="C1727" s="96" t="s">
        <v>147</v>
      </c>
      <c r="D1727" s="120" t="s">
        <v>2735</v>
      </c>
      <c r="E1727" s="98" t="s">
        <v>717</v>
      </c>
      <c r="F1727" s="98">
        <v>45902</v>
      </c>
      <c r="G1727" s="98" t="str">
        <f>TEXT(Table7[[#This Row],[EXPIRY DATE]],"MMM")</f>
        <v>Sep</v>
      </c>
      <c r="H1727" s="98" t="str">
        <f>TEXT(Table7[[#This Row],[EXPIRY DATE]],"YYY")</f>
        <v>2025</v>
      </c>
      <c r="I1727" s="96" t="s">
        <v>607</v>
      </c>
      <c r="J1727" s="76"/>
    </row>
    <row r="1728" spans="1:10" x14ac:dyDescent="0.3">
      <c r="A1728" s="84">
        <v>1727</v>
      </c>
      <c r="B1728" s="84" t="s">
        <v>2736</v>
      </c>
      <c r="C1728" s="84" t="s">
        <v>147</v>
      </c>
      <c r="D1728" s="115" t="s">
        <v>2737</v>
      </c>
      <c r="E1728" s="85" t="s">
        <v>817</v>
      </c>
      <c r="F1728" s="85" t="str">
        <f ca="1">TEXT(Table7[[#This Row],[EXPIRY DATE]],"MMM")</f>
        <v>DONE BY WOW MOMO</v>
      </c>
      <c r="G1728" s="85" t="str">
        <f ca="1">TEXT(Table7[[#This Row],[EXPIRY DATE]],"MMM")</f>
        <v>Mar</v>
      </c>
      <c r="H1728" s="85" t="str">
        <f ca="1">TEXT(Table7[[#This Row],[EXPIRY DATE]],"YYY")</f>
        <v>2025</v>
      </c>
      <c r="I1728" s="84" t="s">
        <v>916</v>
      </c>
      <c r="J1728" s="69"/>
    </row>
    <row r="1729" spans="1:10" x14ac:dyDescent="0.3">
      <c r="A1729" s="84">
        <v>1728</v>
      </c>
      <c r="B1729" s="84" t="s">
        <v>2738</v>
      </c>
      <c r="C1729" s="84" t="s">
        <v>147</v>
      </c>
      <c r="D1729" s="115" t="s">
        <v>2739</v>
      </c>
      <c r="E1729" s="85" t="s">
        <v>817</v>
      </c>
      <c r="F1729" s="85" t="str">
        <f ca="1">TEXT(Table7[[#This Row],[EXPIRY DATE]],"MMM")</f>
        <v>DONE BY WOW MOMO</v>
      </c>
      <c r="G1729" s="85" t="str">
        <f ca="1">TEXT(Table7[[#This Row],[EXPIRY DATE]],"MMM")</f>
        <v>Apr</v>
      </c>
      <c r="H1729" s="85" t="str">
        <f ca="1">TEXT(Table7[[#This Row],[EXPIRY DATE]],"YYY")</f>
        <v>2025</v>
      </c>
      <c r="I1729" s="84" t="s">
        <v>916</v>
      </c>
      <c r="J1729" s="69"/>
    </row>
    <row r="1730" spans="1:10" x14ac:dyDescent="0.3">
      <c r="A1730" s="84">
        <v>1729</v>
      </c>
      <c r="B1730" s="95" t="s">
        <v>2740</v>
      </c>
      <c r="C1730" s="96" t="s">
        <v>147</v>
      </c>
      <c r="D1730" s="120" t="s">
        <v>2741</v>
      </c>
      <c r="E1730" s="98" t="s">
        <v>717</v>
      </c>
      <c r="F1730" s="98">
        <v>45909</v>
      </c>
      <c r="G1730" s="98" t="str">
        <f>TEXT(Table7[[#This Row],[EXPIRY DATE]],"MMM")</f>
        <v>Sep</v>
      </c>
      <c r="H1730" s="98" t="str">
        <f>TEXT(Table7[[#This Row],[EXPIRY DATE]],"YYY")</f>
        <v>2025</v>
      </c>
      <c r="I1730" s="96" t="s">
        <v>602</v>
      </c>
      <c r="J1730" s="76"/>
    </row>
    <row r="1731" spans="1:10" ht="20.399999999999999" x14ac:dyDescent="0.3">
      <c r="A1731" s="84">
        <v>1730</v>
      </c>
      <c r="B1731" s="95" t="s">
        <v>2718</v>
      </c>
      <c r="C1731" s="96" t="s">
        <v>147</v>
      </c>
      <c r="D1731" s="120" t="s">
        <v>2719</v>
      </c>
      <c r="E1731" s="98" t="s">
        <v>1210</v>
      </c>
      <c r="F1731" s="98">
        <v>45918</v>
      </c>
      <c r="G1731" s="98" t="str">
        <f>TEXT(Table7[[#This Row],[EXPIRY DATE]],"MMM")</f>
        <v>Sep</v>
      </c>
      <c r="H1731" s="98" t="str">
        <f>TEXT(Table7[[#This Row],[EXPIRY DATE]],"YYY")</f>
        <v>2025</v>
      </c>
      <c r="I1731" s="96" t="s">
        <v>839</v>
      </c>
      <c r="J1731" s="76"/>
    </row>
    <row r="1732" spans="1:10" x14ac:dyDescent="0.3">
      <c r="A1732" s="84">
        <v>1731</v>
      </c>
      <c r="B1732" s="95" t="s">
        <v>2742</v>
      </c>
      <c r="C1732" s="96" t="s">
        <v>147</v>
      </c>
      <c r="D1732" s="120" t="s">
        <v>2743</v>
      </c>
      <c r="E1732" s="98" t="s">
        <v>616</v>
      </c>
      <c r="F1732" s="98">
        <v>45926</v>
      </c>
      <c r="G1732" s="98" t="str">
        <f>TEXT(Table7[[#This Row],[EXPIRY DATE]],"MMM")</f>
        <v>Sep</v>
      </c>
      <c r="H1732" s="98" t="str">
        <f>TEXT(Table7[[#This Row],[EXPIRY DATE]],"YYY")</f>
        <v>2025</v>
      </c>
      <c r="I1732" s="98" t="s">
        <v>791</v>
      </c>
      <c r="J1732" s="76"/>
    </row>
    <row r="1733" spans="1:10" x14ac:dyDescent="0.3">
      <c r="A1733" s="84">
        <v>1732</v>
      </c>
      <c r="B1733" s="95" t="s">
        <v>2744</v>
      </c>
      <c r="C1733" s="96" t="s">
        <v>147</v>
      </c>
      <c r="D1733" s="120" t="s">
        <v>2745</v>
      </c>
      <c r="E1733" s="98" t="s">
        <v>2746</v>
      </c>
      <c r="F1733" s="98">
        <v>45929</v>
      </c>
      <c r="G1733" s="98" t="str">
        <f>TEXT(Table7[[#This Row],[EXPIRY DATE]],"MMM")</f>
        <v>Sep</v>
      </c>
      <c r="H1733" s="98" t="str">
        <f>TEXT(Table7[[#This Row],[EXPIRY DATE]],"YYY")</f>
        <v>2025</v>
      </c>
      <c r="I1733" s="98" t="s">
        <v>791</v>
      </c>
      <c r="J1733" s="76"/>
    </row>
    <row r="1734" spans="1:10" x14ac:dyDescent="0.3">
      <c r="A1734" s="84">
        <v>1733</v>
      </c>
      <c r="B1734" s="95" t="s">
        <v>2747</v>
      </c>
      <c r="C1734" s="96" t="s">
        <v>147</v>
      </c>
      <c r="D1734" s="120" t="s">
        <v>2748</v>
      </c>
      <c r="E1734" s="98" t="s">
        <v>1194</v>
      </c>
      <c r="F1734" s="98">
        <v>45930</v>
      </c>
      <c r="G1734" s="98" t="s">
        <v>591</v>
      </c>
      <c r="H1734" s="98" t="str">
        <f>TEXT(Table7[[#This Row],[EXPIRY DATE]],"YYY")</f>
        <v>2025</v>
      </c>
      <c r="I1734" s="96" t="s">
        <v>839</v>
      </c>
      <c r="J1734" s="76"/>
    </row>
    <row r="1735" spans="1:10" x14ac:dyDescent="0.3">
      <c r="A1735" s="84">
        <v>1734</v>
      </c>
      <c r="B1735" s="95" t="s">
        <v>2749</v>
      </c>
      <c r="C1735" s="96" t="s">
        <v>147</v>
      </c>
      <c r="D1735" s="120" t="s">
        <v>2750</v>
      </c>
      <c r="E1735" s="98" t="s">
        <v>1194</v>
      </c>
      <c r="F1735" s="98">
        <v>45930</v>
      </c>
      <c r="G1735" s="98" t="s">
        <v>591</v>
      </c>
      <c r="H1735" s="98" t="str">
        <f>TEXT(Table7[[#This Row],[EXPIRY DATE]],"YYY")</f>
        <v>2025</v>
      </c>
      <c r="I1735" s="96" t="s">
        <v>839</v>
      </c>
      <c r="J1735" s="76"/>
    </row>
    <row r="1736" spans="1:10" ht="20.399999999999999" x14ac:dyDescent="0.3">
      <c r="A1736" s="84">
        <v>1735</v>
      </c>
      <c r="B1736" s="95" t="s">
        <v>2751</v>
      </c>
      <c r="C1736" s="96" t="s">
        <v>147</v>
      </c>
      <c r="D1736" s="120" t="s">
        <v>2752</v>
      </c>
      <c r="E1736" s="98"/>
      <c r="F1736" s="98">
        <v>45935</v>
      </c>
      <c r="G1736" s="98" t="str">
        <f>TEXT(Table7[[#This Row],[EXPIRY DATE]],"MMM")</f>
        <v>Oct</v>
      </c>
      <c r="H1736" s="98" t="str">
        <f>TEXT(Table7[[#This Row],[EXPIRY DATE]],"YYY")</f>
        <v>2025</v>
      </c>
      <c r="I1736" s="98" t="s">
        <v>791</v>
      </c>
      <c r="J1736" s="76"/>
    </row>
    <row r="1737" spans="1:10" x14ac:dyDescent="0.3">
      <c r="A1737" s="84">
        <v>1736</v>
      </c>
      <c r="B1737" s="84" t="s">
        <v>2753</v>
      </c>
      <c r="C1737" s="92" t="s">
        <v>147</v>
      </c>
      <c r="D1737" s="119" t="s">
        <v>2754</v>
      </c>
      <c r="E1737" s="93"/>
      <c r="F1737" s="93">
        <v>45940</v>
      </c>
      <c r="G1737" s="93" t="str">
        <f>TEXT(Table7[[#This Row],[EXPIRY DATE]],"MMM")</f>
        <v>Oct</v>
      </c>
      <c r="H1737" s="93" t="str">
        <f>TEXT(Table7[[#This Row],[EXPIRY DATE]],"YYY")</f>
        <v>2025</v>
      </c>
      <c r="I1737" s="92" t="s">
        <v>607</v>
      </c>
      <c r="J1737" s="75"/>
    </row>
    <row r="1738" spans="1:10" x14ac:dyDescent="0.3">
      <c r="A1738" s="84">
        <v>1737</v>
      </c>
      <c r="B1738" s="95" t="s">
        <v>2755</v>
      </c>
      <c r="C1738" s="96" t="s">
        <v>147</v>
      </c>
      <c r="D1738" s="120" t="s">
        <v>2756</v>
      </c>
      <c r="E1738" s="98" t="s">
        <v>2757</v>
      </c>
      <c r="F1738" s="98">
        <v>45940</v>
      </c>
      <c r="G1738" s="98" t="str">
        <f>TEXT(Table7[[#This Row],[EXPIRY DATE]],"MMM")</f>
        <v>Oct</v>
      </c>
      <c r="H1738" s="98" t="str">
        <f>TEXT(Table7[[#This Row],[EXPIRY DATE]],"YYY")</f>
        <v>2025</v>
      </c>
      <c r="I1738" s="96" t="s">
        <v>607</v>
      </c>
      <c r="J1738" s="76"/>
    </row>
    <row r="1739" spans="1:10" ht="20.399999999999999" x14ac:dyDescent="0.3">
      <c r="A1739" s="84">
        <v>1738</v>
      </c>
      <c r="B1739" s="95" t="s">
        <v>2758</v>
      </c>
      <c r="C1739" s="96" t="s">
        <v>147</v>
      </c>
      <c r="D1739" s="120" t="s">
        <v>2759</v>
      </c>
      <c r="E1739" s="98" t="s">
        <v>2760</v>
      </c>
      <c r="F1739" s="98">
        <v>45941</v>
      </c>
      <c r="G1739" s="98" t="str">
        <f>TEXT(Table7[[#This Row],[EXPIRY DATE]],"MMM")</f>
        <v>Oct</v>
      </c>
      <c r="H1739" s="98" t="str">
        <f>TEXT(Table7[[#This Row],[EXPIRY DATE]],"YYY")</f>
        <v>2025</v>
      </c>
      <c r="I1739" s="96" t="s">
        <v>607</v>
      </c>
      <c r="J1739" s="76"/>
    </row>
    <row r="1740" spans="1:10" x14ac:dyDescent="0.3">
      <c r="A1740" s="84">
        <v>1739</v>
      </c>
      <c r="B1740" s="95" t="s">
        <v>2761</v>
      </c>
      <c r="C1740" s="96" t="s">
        <v>147</v>
      </c>
      <c r="D1740" s="120" t="s">
        <v>2762</v>
      </c>
      <c r="E1740" s="98" t="s">
        <v>616</v>
      </c>
      <c r="F1740" s="98">
        <v>45950</v>
      </c>
      <c r="G1740" s="98" t="str">
        <f>TEXT(Table7[[#This Row],[EXPIRY DATE]],"MMM")</f>
        <v>Oct</v>
      </c>
      <c r="H1740" s="98" t="str">
        <f>TEXT(Table7[[#This Row],[EXPIRY DATE]],"YYY")</f>
        <v>2025</v>
      </c>
      <c r="I1740" s="98" t="s">
        <v>791</v>
      </c>
      <c r="J1740" s="76"/>
    </row>
    <row r="1741" spans="1:10" x14ac:dyDescent="0.3">
      <c r="A1741" s="84">
        <v>1740</v>
      </c>
      <c r="B1741" s="95" t="s">
        <v>2740</v>
      </c>
      <c r="C1741" s="96" t="s">
        <v>147</v>
      </c>
      <c r="D1741" s="120" t="s">
        <v>2741</v>
      </c>
      <c r="E1741" s="98" t="s">
        <v>717</v>
      </c>
      <c r="F1741" s="98">
        <v>45954</v>
      </c>
      <c r="G1741" s="98" t="str">
        <f>TEXT(Table7[[#This Row],[EXPIRY DATE]],"MMM")</f>
        <v>Oct</v>
      </c>
      <c r="H1741" s="98" t="str">
        <f>TEXT(Table7[[#This Row],[EXPIRY DATE]],"YYY")</f>
        <v>2025</v>
      </c>
      <c r="I1741" s="96" t="s">
        <v>839</v>
      </c>
      <c r="J1741" s="76"/>
    </row>
    <row r="1742" spans="1:10" x14ac:dyDescent="0.3">
      <c r="A1742" s="84">
        <v>1741</v>
      </c>
      <c r="B1742" s="95" t="s">
        <v>2763</v>
      </c>
      <c r="C1742" s="96" t="s">
        <v>147</v>
      </c>
      <c r="D1742" s="120" t="s">
        <v>2764</v>
      </c>
      <c r="E1742" s="98" t="s">
        <v>2765</v>
      </c>
      <c r="F1742" s="98">
        <v>45957</v>
      </c>
      <c r="G1742" s="98" t="str">
        <f>TEXT(Table7[[#This Row],[EXPIRY DATE]],"MMM")</f>
        <v>Oct</v>
      </c>
      <c r="H1742" s="98" t="str">
        <f>TEXT(Table7[[#This Row],[EXPIRY DATE]],"YYY")</f>
        <v>2025</v>
      </c>
      <c r="I1742" s="98" t="s">
        <v>791</v>
      </c>
      <c r="J1742" s="76"/>
    </row>
    <row r="1743" spans="1:10" x14ac:dyDescent="0.3">
      <c r="A1743" s="84">
        <v>1742</v>
      </c>
      <c r="B1743" s="95" t="s">
        <v>2766</v>
      </c>
      <c r="C1743" s="96" t="s">
        <v>147</v>
      </c>
      <c r="D1743" s="120" t="s">
        <v>2767</v>
      </c>
      <c r="E1743" s="98" t="s">
        <v>601</v>
      </c>
      <c r="F1743" s="98">
        <v>45957</v>
      </c>
      <c r="G1743" s="98" t="str">
        <f>TEXT(Table7[[#This Row],[EXPIRY DATE]],"MMM")</f>
        <v>Oct</v>
      </c>
      <c r="H1743" s="98" t="str">
        <f>TEXT(Table7[[#This Row],[EXPIRY DATE]],"YYY")</f>
        <v>2025</v>
      </c>
      <c r="I1743" s="96" t="s">
        <v>602</v>
      </c>
      <c r="J1743" s="76"/>
    </row>
    <row r="1744" spans="1:10" ht="20.399999999999999" x14ac:dyDescent="0.3">
      <c r="A1744" s="84">
        <v>1743</v>
      </c>
      <c r="B1744" s="95" t="s">
        <v>2768</v>
      </c>
      <c r="C1744" s="96" t="s">
        <v>147</v>
      </c>
      <c r="D1744" s="120" t="s">
        <v>2769</v>
      </c>
      <c r="E1744" s="98" t="s">
        <v>601</v>
      </c>
      <c r="F1744" s="98">
        <v>45957</v>
      </c>
      <c r="G1744" s="98" t="str">
        <f>TEXT(Table7[[#This Row],[EXPIRY DATE]],"MMM")</f>
        <v>Oct</v>
      </c>
      <c r="H1744" s="98" t="str">
        <f>TEXT(Table7[[#This Row],[EXPIRY DATE]],"YYY")</f>
        <v>2025</v>
      </c>
      <c r="I1744" s="96" t="s">
        <v>602</v>
      </c>
      <c r="J1744" s="76"/>
    </row>
    <row r="1745" spans="1:10" x14ac:dyDescent="0.3">
      <c r="A1745" s="84">
        <v>1744</v>
      </c>
      <c r="B1745" s="95" t="s">
        <v>2770</v>
      </c>
      <c r="C1745" s="96" t="s">
        <v>147</v>
      </c>
      <c r="D1745" s="120" t="s">
        <v>2771</v>
      </c>
      <c r="E1745" s="98"/>
      <c r="F1745" s="98">
        <v>45958</v>
      </c>
      <c r="G1745" s="98" t="str">
        <f>TEXT(Table7[[#This Row],[EXPIRY DATE]],"MMM")</f>
        <v>Oct</v>
      </c>
      <c r="H1745" s="98" t="str">
        <f>TEXT(Table7[[#This Row],[EXPIRY DATE]],"YYY")</f>
        <v>2025</v>
      </c>
      <c r="I1745" s="98" t="s">
        <v>791</v>
      </c>
      <c r="J1745" s="76"/>
    </row>
    <row r="1746" spans="1:10" x14ac:dyDescent="0.3">
      <c r="A1746" s="84">
        <v>1745</v>
      </c>
      <c r="B1746" s="84" t="s">
        <v>2772</v>
      </c>
      <c r="C1746" s="84" t="s">
        <v>147</v>
      </c>
      <c r="D1746" s="115" t="s">
        <v>2773</v>
      </c>
      <c r="E1746" s="85" t="s">
        <v>601</v>
      </c>
      <c r="F1746" s="85" t="str">
        <f ca="1">TEXT(Table7[[#This Row],[EXPIRY DATE]],"MMM")</f>
        <v>DONE BY WOW MOMO</v>
      </c>
      <c r="G1746" s="85" t="str">
        <f ca="1">TEXT(Table7[[#This Row],[EXPIRY DATE]],"MMM")</f>
        <v>May</v>
      </c>
      <c r="H1746" s="85" t="str">
        <f ca="1">TEXT(Table7[[#This Row],[EXPIRY DATE]],"YYY")</f>
        <v>2025</v>
      </c>
      <c r="I1746" s="84" t="s">
        <v>916</v>
      </c>
      <c r="J1746" s="69"/>
    </row>
    <row r="1747" spans="1:10" x14ac:dyDescent="0.3">
      <c r="A1747" s="84">
        <v>1746</v>
      </c>
      <c r="B1747" s="84" t="s">
        <v>2774</v>
      </c>
      <c r="C1747" s="84" t="s">
        <v>147</v>
      </c>
      <c r="D1747" s="115" t="s">
        <v>2775</v>
      </c>
      <c r="E1747" s="85" t="s">
        <v>601</v>
      </c>
      <c r="F1747" s="85" t="str">
        <f ca="1">TEXT(Table7[[#This Row],[EXPIRY DATE]],"MMM")</f>
        <v>DONE BY WOW MOMO</v>
      </c>
      <c r="G1747" s="85" t="str">
        <f ca="1">TEXT(Table7[[#This Row],[EXPIRY DATE]],"MMM")</f>
        <v>May</v>
      </c>
      <c r="H1747" s="85" t="str">
        <f ca="1">TEXT(Table7[[#This Row],[EXPIRY DATE]],"YYY")</f>
        <v>2025</v>
      </c>
      <c r="I1747" s="84" t="s">
        <v>916</v>
      </c>
      <c r="J1747" s="69"/>
    </row>
    <row r="1748" spans="1:10" x14ac:dyDescent="0.3">
      <c r="A1748" s="84">
        <v>1747</v>
      </c>
      <c r="B1748" s="95" t="s">
        <v>2763</v>
      </c>
      <c r="C1748" s="96" t="s">
        <v>147</v>
      </c>
      <c r="D1748" s="120" t="s">
        <v>2764</v>
      </c>
      <c r="E1748" s="98" t="s">
        <v>2765</v>
      </c>
      <c r="F1748" s="98">
        <v>45964</v>
      </c>
      <c r="G1748" s="98" t="str">
        <f>TEXT(Table7[[#This Row],[EXPIRY DATE]],"MMM")</f>
        <v>Nov</v>
      </c>
      <c r="H1748" s="98" t="str">
        <f>TEXT(Table7[[#This Row],[EXPIRY DATE]],"YYY")</f>
        <v>2025</v>
      </c>
      <c r="I1748" s="96" t="s">
        <v>602</v>
      </c>
      <c r="J1748" s="76"/>
    </row>
    <row r="1749" spans="1:10" x14ac:dyDescent="0.3">
      <c r="A1749" s="84">
        <v>1748</v>
      </c>
      <c r="B1749" s="95" t="s">
        <v>2731</v>
      </c>
      <c r="C1749" s="96" t="s">
        <v>147</v>
      </c>
      <c r="D1749" s="120" t="s">
        <v>2776</v>
      </c>
      <c r="E1749" s="98" t="s">
        <v>2733</v>
      </c>
      <c r="F1749" s="98">
        <v>45964</v>
      </c>
      <c r="G1749" s="98" t="str">
        <f>TEXT(Table7[[#This Row],[EXPIRY DATE]],"MMM")</f>
        <v>Nov</v>
      </c>
      <c r="H1749" s="98" t="str">
        <f>TEXT(Table7[[#This Row],[EXPIRY DATE]],"YYY")</f>
        <v>2025</v>
      </c>
      <c r="I1749" s="96" t="s">
        <v>602</v>
      </c>
      <c r="J1749" s="76"/>
    </row>
    <row r="1750" spans="1:10" x14ac:dyDescent="0.3">
      <c r="A1750" s="84">
        <v>1749</v>
      </c>
      <c r="B1750" s="95" t="s">
        <v>2731</v>
      </c>
      <c r="C1750" s="96" t="s">
        <v>147</v>
      </c>
      <c r="D1750" s="120" t="s">
        <v>2732</v>
      </c>
      <c r="E1750" s="98" t="s">
        <v>2733</v>
      </c>
      <c r="F1750" s="98">
        <v>45967</v>
      </c>
      <c r="G1750" s="98" t="str">
        <f>TEXT(Table7[[#This Row],[EXPIRY DATE]],"MMM")</f>
        <v>Nov</v>
      </c>
      <c r="H1750" s="98" t="str">
        <f>TEXT(Table7[[#This Row],[EXPIRY DATE]],"YYY")</f>
        <v>2025</v>
      </c>
      <c r="I1750" s="96" t="s">
        <v>602</v>
      </c>
      <c r="J1750" s="76"/>
    </row>
    <row r="1751" spans="1:10" x14ac:dyDescent="0.3">
      <c r="A1751" s="84">
        <v>1750</v>
      </c>
      <c r="B1751" s="95" t="s">
        <v>2766</v>
      </c>
      <c r="C1751" s="96" t="s">
        <v>147</v>
      </c>
      <c r="D1751" s="120" t="s">
        <v>2767</v>
      </c>
      <c r="E1751" s="98" t="s">
        <v>601</v>
      </c>
      <c r="F1751" s="98">
        <v>45968</v>
      </c>
      <c r="G1751" s="98" t="str">
        <f>TEXT(Table7[[#This Row],[EXPIRY DATE]],"MMM")</f>
        <v>Nov</v>
      </c>
      <c r="H1751" s="98" t="str">
        <f>TEXT(Table7[[#This Row],[EXPIRY DATE]],"YYY")</f>
        <v>2025</v>
      </c>
      <c r="I1751" s="96" t="s">
        <v>839</v>
      </c>
      <c r="J1751" s="76"/>
    </row>
    <row r="1752" spans="1:10" ht="20.399999999999999" x14ac:dyDescent="0.3">
      <c r="A1752" s="84">
        <v>1751</v>
      </c>
      <c r="B1752" s="95" t="s">
        <v>2768</v>
      </c>
      <c r="C1752" s="96" t="s">
        <v>147</v>
      </c>
      <c r="D1752" s="120" t="s">
        <v>2769</v>
      </c>
      <c r="E1752" s="98" t="s">
        <v>601</v>
      </c>
      <c r="F1752" s="98">
        <v>45968</v>
      </c>
      <c r="G1752" s="98" t="str">
        <f>TEXT(Table7[[#This Row],[EXPIRY DATE]],"MMM")</f>
        <v>Nov</v>
      </c>
      <c r="H1752" s="98" t="str">
        <f>TEXT(Table7[[#This Row],[EXPIRY DATE]],"YYY")</f>
        <v>2025</v>
      </c>
      <c r="I1752" s="96" t="s">
        <v>839</v>
      </c>
      <c r="J1752" s="76"/>
    </row>
    <row r="1753" spans="1:10" x14ac:dyDescent="0.3">
      <c r="A1753" s="84">
        <v>1752</v>
      </c>
      <c r="B1753" s="95" t="s">
        <v>2777</v>
      </c>
      <c r="C1753" s="96" t="s">
        <v>147</v>
      </c>
      <c r="D1753" s="120" t="s">
        <v>2778</v>
      </c>
      <c r="E1753" s="98" t="s">
        <v>616</v>
      </c>
      <c r="F1753" s="98">
        <v>45969</v>
      </c>
      <c r="G1753" s="98" t="str">
        <f>TEXT(Table7[[#This Row],[EXPIRY DATE]],"MMM")</f>
        <v>Nov</v>
      </c>
      <c r="H1753" s="98" t="str">
        <f>TEXT(Table7[[#This Row],[EXPIRY DATE]],"YYY")</f>
        <v>2025</v>
      </c>
      <c r="I1753" s="98" t="s">
        <v>791</v>
      </c>
      <c r="J1753" s="76"/>
    </row>
    <row r="1754" spans="1:10" x14ac:dyDescent="0.3">
      <c r="A1754" s="84">
        <v>1753</v>
      </c>
      <c r="B1754" s="95" t="s">
        <v>1188</v>
      </c>
      <c r="C1754" s="96" t="s">
        <v>147</v>
      </c>
      <c r="D1754" s="120" t="s">
        <v>2779</v>
      </c>
      <c r="E1754" s="98" t="s">
        <v>772</v>
      </c>
      <c r="F1754" s="98">
        <v>45974</v>
      </c>
      <c r="G1754" s="98" t="str">
        <f>TEXT(Table7[[#This Row],[EXPIRY DATE]],"MMM")</f>
        <v>Nov</v>
      </c>
      <c r="H1754" s="98" t="str">
        <f>TEXT(Table7[[#This Row],[EXPIRY DATE]],"YYY")</f>
        <v>2025</v>
      </c>
      <c r="I1754" s="96" t="s">
        <v>602</v>
      </c>
      <c r="J1754" s="76"/>
    </row>
    <row r="1755" spans="1:10" x14ac:dyDescent="0.3">
      <c r="A1755" s="84">
        <v>1754</v>
      </c>
      <c r="B1755" s="95" t="s">
        <v>2766</v>
      </c>
      <c r="C1755" s="96" t="s">
        <v>147</v>
      </c>
      <c r="D1755" s="120" t="s">
        <v>2767</v>
      </c>
      <c r="E1755" s="98" t="s">
        <v>601</v>
      </c>
      <c r="F1755" s="98">
        <v>45974</v>
      </c>
      <c r="G1755" s="98" t="str">
        <f>TEXT(Table7[[#This Row],[EXPIRY DATE]],"MMM")</f>
        <v>Nov</v>
      </c>
      <c r="H1755" s="98" t="str">
        <f>TEXT(Table7[[#This Row],[EXPIRY DATE]],"YYY")</f>
        <v>2025</v>
      </c>
      <c r="I1755" s="98" t="s">
        <v>791</v>
      </c>
      <c r="J1755" s="76"/>
    </row>
    <row r="1756" spans="1:10" ht="20.399999999999999" x14ac:dyDescent="0.3">
      <c r="A1756" s="84">
        <v>1755</v>
      </c>
      <c r="B1756" s="95" t="s">
        <v>2768</v>
      </c>
      <c r="C1756" s="96" t="s">
        <v>147</v>
      </c>
      <c r="D1756" s="120" t="s">
        <v>2769</v>
      </c>
      <c r="E1756" s="98" t="s">
        <v>601</v>
      </c>
      <c r="F1756" s="98">
        <v>45974</v>
      </c>
      <c r="G1756" s="98" t="str">
        <f>TEXT(Table7[[#This Row],[EXPIRY DATE]],"MMM")</f>
        <v>Nov</v>
      </c>
      <c r="H1756" s="98" t="str">
        <f>TEXT(Table7[[#This Row],[EXPIRY DATE]],"YYY")</f>
        <v>2025</v>
      </c>
      <c r="I1756" s="98" t="s">
        <v>791</v>
      </c>
      <c r="J1756" s="76"/>
    </row>
    <row r="1757" spans="1:10" x14ac:dyDescent="0.3">
      <c r="A1757" s="84">
        <v>1756</v>
      </c>
      <c r="B1757" s="95" t="s">
        <v>2780</v>
      </c>
      <c r="C1757" s="96" t="s">
        <v>147</v>
      </c>
      <c r="D1757" s="120" t="s">
        <v>2781</v>
      </c>
      <c r="E1757" s="98" t="s">
        <v>772</v>
      </c>
      <c r="F1757" s="98">
        <v>45975</v>
      </c>
      <c r="G1757" s="98" t="str">
        <f>TEXT(Table7[[#This Row],[EXPIRY DATE]],"MMM")</f>
        <v>Nov</v>
      </c>
      <c r="H1757" s="98" t="str">
        <f>TEXT(Table7[[#This Row],[EXPIRY DATE]],"YYY")</f>
        <v>2025</v>
      </c>
      <c r="I1757" s="96" t="s">
        <v>602</v>
      </c>
      <c r="J1757" s="76"/>
    </row>
    <row r="1758" spans="1:10" ht="20.399999999999999" x14ac:dyDescent="0.3">
      <c r="A1758" s="84">
        <v>1757</v>
      </c>
      <c r="B1758" s="95" t="s">
        <v>2782</v>
      </c>
      <c r="C1758" s="96" t="s">
        <v>147</v>
      </c>
      <c r="D1758" s="120" t="s">
        <v>2783</v>
      </c>
      <c r="E1758" s="98" t="s">
        <v>772</v>
      </c>
      <c r="F1758" s="98">
        <v>45990</v>
      </c>
      <c r="G1758" s="98" t="str">
        <f>TEXT(Table7[[#This Row],[EXPIRY DATE]],"MMM")</f>
        <v>Nov</v>
      </c>
      <c r="H1758" s="98" t="str">
        <f>TEXT(Table7[[#This Row],[EXPIRY DATE]],"YYY")</f>
        <v>2025</v>
      </c>
      <c r="I1758" s="98" t="s">
        <v>791</v>
      </c>
      <c r="J1758" s="76"/>
    </row>
    <row r="1759" spans="1:10" x14ac:dyDescent="0.3">
      <c r="A1759" s="84">
        <v>1758</v>
      </c>
      <c r="B1759" s="84" t="s">
        <v>2784</v>
      </c>
      <c r="C1759" s="84" t="s">
        <v>147</v>
      </c>
      <c r="D1759" s="115" t="s">
        <v>2785</v>
      </c>
      <c r="E1759" s="85" t="s">
        <v>601</v>
      </c>
      <c r="F1759" s="85">
        <v>45996</v>
      </c>
      <c r="G1759" s="85" t="str">
        <f>TEXT(Table7[[#This Row],[EXPIRY DATE]],"MMM")</f>
        <v>Dec</v>
      </c>
      <c r="H1759" s="85" t="str">
        <f>TEXT(Table7[[#This Row],[EXPIRY DATE]],"YYY")</f>
        <v>2025</v>
      </c>
      <c r="I1759" s="85" t="s">
        <v>791</v>
      </c>
      <c r="J1759" s="69"/>
    </row>
    <row r="1760" spans="1:10" x14ac:dyDescent="0.3">
      <c r="A1760" s="84">
        <v>1759</v>
      </c>
      <c r="B1760" s="84" t="s">
        <v>959</v>
      </c>
      <c r="C1760" s="84" t="s">
        <v>147</v>
      </c>
      <c r="D1760" s="115" t="s">
        <v>2786</v>
      </c>
      <c r="E1760" s="85" t="s">
        <v>1047</v>
      </c>
      <c r="F1760" s="85">
        <v>46002</v>
      </c>
      <c r="G1760" s="85" t="str">
        <f>TEXT(Table7[[#This Row],[EXPIRY DATE]],"MMM")</f>
        <v>Dec</v>
      </c>
      <c r="H1760" s="85" t="str">
        <f>TEXT(Table7[[#This Row],[EXPIRY DATE]],"YYY")</f>
        <v>2025</v>
      </c>
      <c r="I1760" s="84" t="s">
        <v>602</v>
      </c>
      <c r="J1760" s="69"/>
    </row>
    <row r="1761" spans="1:10" x14ac:dyDescent="0.3">
      <c r="A1761" s="84">
        <v>1760</v>
      </c>
      <c r="B1761" s="84" t="s">
        <v>2787</v>
      </c>
      <c r="C1761" s="84" t="s">
        <v>147</v>
      </c>
      <c r="D1761" s="115" t="s">
        <v>2788</v>
      </c>
      <c r="E1761" s="85" t="s">
        <v>613</v>
      </c>
      <c r="F1761" s="85">
        <v>46002</v>
      </c>
      <c r="G1761" s="85" t="str">
        <f>TEXT(Table7[[#This Row],[EXPIRY DATE]],"MMM")</f>
        <v>Dec</v>
      </c>
      <c r="H1761" s="85" t="str">
        <f>TEXT(Table7[[#This Row],[EXPIRY DATE]],"YYY")</f>
        <v>2025</v>
      </c>
      <c r="I1761" s="85" t="s">
        <v>791</v>
      </c>
      <c r="J1761" s="69"/>
    </row>
    <row r="1762" spans="1:10" x14ac:dyDescent="0.3">
      <c r="A1762" s="84">
        <v>1761</v>
      </c>
      <c r="B1762" s="84" t="s">
        <v>959</v>
      </c>
      <c r="C1762" s="84" t="s">
        <v>147</v>
      </c>
      <c r="D1762" s="115" t="s">
        <v>2786</v>
      </c>
      <c r="E1762" s="85" t="s">
        <v>1047</v>
      </c>
      <c r="F1762" s="85">
        <v>46007</v>
      </c>
      <c r="G1762" s="85" t="str">
        <f>TEXT(Table7[[#This Row],[EXPIRY DATE]],"MMM")</f>
        <v>Dec</v>
      </c>
      <c r="H1762" s="85" t="str">
        <f>TEXT(Table7[[#This Row],[EXPIRY DATE]],"YYY")</f>
        <v>2025</v>
      </c>
      <c r="I1762" s="84" t="s">
        <v>791</v>
      </c>
      <c r="J1762" s="69"/>
    </row>
    <row r="1763" spans="1:10" x14ac:dyDescent="0.3">
      <c r="A1763" s="84">
        <v>1762</v>
      </c>
      <c r="B1763" s="84" t="s">
        <v>2789</v>
      </c>
      <c r="C1763" s="84" t="s">
        <v>147</v>
      </c>
      <c r="D1763" s="115" t="s">
        <v>2789</v>
      </c>
      <c r="E1763" s="85" t="s">
        <v>601</v>
      </c>
      <c r="F1763" s="85">
        <v>46007</v>
      </c>
      <c r="G1763" s="85" t="str">
        <f>TEXT(Table7[[#This Row],[EXPIRY DATE]],"MMM")</f>
        <v>Dec</v>
      </c>
      <c r="H1763" s="85" t="str">
        <f>TEXT(Table7[[#This Row],[EXPIRY DATE]],"YYY")</f>
        <v>2025</v>
      </c>
      <c r="I1763" s="85" t="s">
        <v>791</v>
      </c>
      <c r="J1763" s="69"/>
    </row>
    <row r="1764" spans="1:10" x14ac:dyDescent="0.3">
      <c r="A1764" s="84">
        <v>1763</v>
      </c>
      <c r="B1764" s="84" t="s">
        <v>2790</v>
      </c>
      <c r="C1764" s="84" t="s">
        <v>147</v>
      </c>
      <c r="D1764" s="115" t="s">
        <v>2791</v>
      </c>
      <c r="E1764" s="85" t="s">
        <v>1172</v>
      </c>
      <c r="F1764" s="85">
        <v>46007</v>
      </c>
      <c r="G1764" s="85" t="str">
        <f>TEXT(Table7[[#This Row],[EXPIRY DATE]],"MMM")</f>
        <v>Dec</v>
      </c>
      <c r="H1764" s="85" t="str">
        <f>TEXT(Table7[[#This Row],[EXPIRY DATE]],"YYY")</f>
        <v>2025</v>
      </c>
      <c r="I1764" s="84" t="s">
        <v>791</v>
      </c>
      <c r="J1764" s="69"/>
    </row>
    <row r="1765" spans="1:10" x14ac:dyDescent="0.3">
      <c r="A1765" s="84">
        <v>1764</v>
      </c>
      <c r="B1765" s="84" t="s">
        <v>2736</v>
      </c>
      <c r="C1765" s="84" t="s">
        <v>147</v>
      </c>
      <c r="D1765" s="115" t="s">
        <v>2737</v>
      </c>
      <c r="E1765" s="85" t="s">
        <v>601</v>
      </c>
      <c r="F1765" s="85">
        <v>46016</v>
      </c>
      <c r="G1765" s="85" t="str">
        <f>TEXT(Table7[[#This Row],[EXPIRY DATE]],"MMM")</f>
        <v>Dec</v>
      </c>
      <c r="H1765" s="85" t="str">
        <f>TEXT(Table7[[#This Row],[EXPIRY DATE]],"YYY")</f>
        <v>2025</v>
      </c>
      <c r="I1765" s="85" t="s">
        <v>791</v>
      </c>
      <c r="J1765" s="69"/>
    </row>
    <row r="1766" spans="1:10" ht="20.399999999999999" x14ac:dyDescent="0.3">
      <c r="A1766" s="84">
        <v>1765</v>
      </c>
      <c r="B1766" s="84" t="s">
        <v>2758</v>
      </c>
      <c r="C1766" s="84" t="s">
        <v>147</v>
      </c>
      <c r="D1766" s="115" t="s">
        <v>2759</v>
      </c>
      <c r="E1766" s="85" t="s">
        <v>2760</v>
      </c>
      <c r="F1766" s="85">
        <v>46022</v>
      </c>
      <c r="G1766" s="85" t="str">
        <f>TEXT(Table7[[#This Row],[EXPIRY DATE]],"MMM")</f>
        <v>Dec</v>
      </c>
      <c r="H1766" s="85" t="str">
        <f>TEXT(Table7[[#This Row],[EXPIRY DATE]],"YYY")</f>
        <v>2025</v>
      </c>
      <c r="I1766" s="84" t="s">
        <v>916</v>
      </c>
      <c r="J1766" s="69"/>
    </row>
    <row r="1767" spans="1:10" x14ac:dyDescent="0.3">
      <c r="A1767" s="84">
        <v>1766</v>
      </c>
      <c r="B1767" s="84" t="s">
        <v>2774</v>
      </c>
      <c r="C1767" s="84" t="s">
        <v>147</v>
      </c>
      <c r="D1767" s="115" t="s">
        <v>2775</v>
      </c>
      <c r="E1767" s="85" t="s">
        <v>601</v>
      </c>
      <c r="F1767" s="85">
        <v>46034</v>
      </c>
      <c r="G1767" s="85" t="str">
        <f>TEXT(Table7[[#This Row],[EXPIRY DATE]],"MMM")</f>
        <v>Jan</v>
      </c>
      <c r="H1767" s="85" t="str">
        <f>TEXT(Table7[[#This Row],[EXPIRY DATE]],"YYY")</f>
        <v>2026</v>
      </c>
      <c r="I1767" s="85" t="s">
        <v>791</v>
      </c>
      <c r="J1767" s="69"/>
    </row>
    <row r="1768" spans="1:10" x14ac:dyDescent="0.3">
      <c r="A1768" s="84">
        <v>1767</v>
      </c>
      <c r="B1768" s="84" t="s">
        <v>1188</v>
      </c>
      <c r="C1768" s="84" t="s">
        <v>147</v>
      </c>
      <c r="D1768" s="115" t="s">
        <v>2779</v>
      </c>
      <c r="E1768" s="85" t="s">
        <v>772</v>
      </c>
      <c r="F1768" s="85">
        <v>46037</v>
      </c>
      <c r="G1768" s="85" t="str">
        <f>TEXT(Table7[[#This Row],[EXPIRY DATE]],"MMM")</f>
        <v>Jan</v>
      </c>
      <c r="H1768" s="85" t="str">
        <f>TEXT(Table7[[#This Row],[EXPIRY DATE]],"YYY")</f>
        <v>2026</v>
      </c>
      <c r="I1768" s="84" t="s">
        <v>791</v>
      </c>
      <c r="J1768" s="69"/>
    </row>
    <row r="1769" spans="1:10" x14ac:dyDescent="0.3">
      <c r="A1769" s="84">
        <v>1768</v>
      </c>
      <c r="B1769" s="84" t="s">
        <v>2792</v>
      </c>
      <c r="C1769" s="84" t="s">
        <v>147</v>
      </c>
      <c r="D1769" s="115" t="s">
        <v>2793</v>
      </c>
      <c r="E1769" s="85" t="s">
        <v>601</v>
      </c>
      <c r="F1769" s="85">
        <v>46040</v>
      </c>
      <c r="G1769" s="85" t="str">
        <f>TEXT(Table7[[#This Row],[EXPIRY DATE]],"MMM")</f>
        <v>Jan</v>
      </c>
      <c r="H1769" s="85" t="str">
        <f>TEXT(Table7[[#This Row],[EXPIRY DATE]],"YYY")</f>
        <v>2026</v>
      </c>
      <c r="I1769" s="85" t="s">
        <v>791</v>
      </c>
      <c r="J1769" s="69"/>
    </row>
    <row r="1770" spans="1:10" x14ac:dyDescent="0.3">
      <c r="A1770" s="84">
        <v>1769</v>
      </c>
      <c r="B1770" s="84" t="s">
        <v>2720</v>
      </c>
      <c r="C1770" s="84" t="s">
        <v>147</v>
      </c>
      <c r="D1770" s="115" t="s">
        <v>2721</v>
      </c>
      <c r="E1770" s="85" t="s">
        <v>1014</v>
      </c>
      <c r="F1770" s="85">
        <v>46040</v>
      </c>
      <c r="G1770" s="85" t="str">
        <f>TEXT(Table7[[#This Row],[EXPIRY DATE]],"MMM")</f>
        <v>Jan</v>
      </c>
      <c r="H1770" s="85" t="str">
        <f>TEXT(Table7[[#This Row],[EXPIRY DATE]],"YYY")</f>
        <v>2026</v>
      </c>
      <c r="I1770" s="85" t="s">
        <v>791</v>
      </c>
      <c r="J1770" s="69"/>
    </row>
    <row r="1771" spans="1:10" x14ac:dyDescent="0.3">
      <c r="A1771" s="84">
        <v>1770</v>
      </c>
      <c r="B1771" s="84" t="s">
        <v>2706</v>
      </c>
      <c r="C1771" s="84" t="s">
        <v>147</v>
      </c>
      <c r="D1771" s="115" t="s">
        <v>2707</v>
      </c>
      <c r="E1771" s="85" t="s">
        <v>616</v>
      </c>
      <c r="F1771" s="85">
        <v>46051</v>
      </c>
      <c r="G1771" s="85" t="str">
        <f>TEXT(Table7[[#This Row],[EXPIRY DATE]],"MMM")</f>
        <v>Jan</v>
      </c>
      <c r="H1771" s="85" t="str">
        <f>TEXT(Table7[[#This Row],[EXPIRY DATE]],"YYY")</f>
        <v>2026</v>
      </c>
      <c r="I1771" s="85" t="s">
        <v>791</v>
      </c>
      <c r="J1771" s="69"/>
    </row>
    <row r="1772" spans="1:10" x14ac:dyDescent="0.3">
      <c r="A1772" s="84">
        <v>1771</v>
      </c>
      <c r="B1772" s="84" t="s">
        <v>2702</v>
      </c>
      <c r="C1772" s="84" t="s">
        <v>147</v>
      </c>
      <c r="D1772" s="115" t="s">
        <v>2703</v>
      </c>
      <c r="E1772" s="85" t="s">
        <v>885</v>
      </c>
      <c r="F1772" s="85">
        <v>46065</v>
      </c>
      <c r="G1772" s="85" t="str">
        <f>TEXT(Table7[[#This Row],[EXPIRY DATE]],"MMM")</f>
        <v>Feb</v>
      </c>
      <c r="H1772" s="85" t="str">
        <f>TEXT(Table7[[#This Row],[EXPIRY DATE]],"YYY")</f>
        <v>2026</v>
      </c>
      <c r="I1772" s="85" t="s">
        <v>791</v>
      </c>
      <c r="J1772" s="69"/>
    </row>
    <row r="1773" spans="1:10" x14ac:dyDescent="0.3">
      <c r="A1773" s="84">
        <v>1772</v>
      </c>
      <c r="B1773" s="84" t="s">
        <v>2794</v>
      </c>
      <c r="C1773" s="84" t="s">
        <v>147</v>
      </c>
      <c r="D1773" s="115" t="s">
        <v>2795</v>
      </c>
      <c r="E1773" s="85" t="s">
        <v>616</v>
      </c>
      <c r="F1773" s="85">
        <v>46073</v>
      </c>
      <c r="G1773" s="85" t="str">
        <f>TEXT(Table7[[#This Row],[EXPIRY DATE]],"MMM")</f>
        <v>Feb</v>
      </c>
      <c r="H1773" s="85" t="str">
        <f>TEXT(Table7[[#This Row],[EXPIRY DATE]],"YYY")</f>
        <v>2026</v>
      </c>
      <c r="I1773" s="85" t="s">
        <v>791</v>
      </c>
      <c r="J1773" s="69"/>
    </row>
    <row r="1774" spans="1:10" x14ac:dyDescent="0.3">
      <c r="A1774" s="84">
        <v>1773</v>
      </c>
      <c r="B1774" s="84" t="s">
        <v>2747</v>
      </c>
      <c r="C1774" s="84" t="s">
        <v>147</v>
      </c>
      <c r="D1774" s="115" t="s">
        <v>2748</v>
      </c>
      <c r="E1774" s="85" t="s">
        <v>1194</v>
      </c>
      <c r="F1774" s="85">
        <v>46116</v>
      </c>
      <c r="G1774" s="85" t="str">
        <f>TEXT(Table7[[#This Row],[EXPIRY DATE]],"MMM")</f>
        <v>Apr</v>
      </c>
      <c r="H1774" s="85" t="str">
        <f>TEXT(Table7[[#This Row],[EXPIRY DATE]],"YYY")</f>
        <v>2026</v>
      </c>
      <c r="I1774" s="85" t="s">
        <v>791</v>
      </c>
      <c r="J1774" s="69"/>
    </row>
    <row r="1775" spans="1:10" x14ac:dyDescent="0.3">
      <c r="A1775" s="84">
        <v>1774</v>
      </c>
      <c r="B1775" s="84" t="s">
        <v>2749</v>
      </c>
      <c r="C1775" s="84" t="s">
        <v>147</v>
      </c>
      <c r="D1775" s="115" t="s">
        <v>2750</v>
      </c>
      <c r="E1775" s="85" t="s">
        <v>1194</v>
      </c>
      <c r="F1775" s="85">
        <v>46116</v>
      </c>
      <c r="G1775" s="85" t="str">
        <f>TEXT(Table7[[#This Row],[EXPIRY DATE]],"MMM")</f>
        <v>Apr</v>
      </c>
      <c r="H1775" s="85" t="str">
        <f>TEXT(Table7[[#This Row],[EXPIRY DATE]],"YYY")</f>
        <v>2026</v>
      </c>
      <c r="I1775" s="85" t="s">
        <v>791</v>
      </c>
      <c r="J1775" s="69"/>
    </row>
    <row r="1776" spans="1:10" ht="20.399999999999999" x14ac:dyDescent="0.3">
      <c r="A1776" s="84">
        <v>1775</v>
      </c>
      <c r="B1776" s="84" t="s">
        <v>2796</v>
      </c>
      <c r="C1776" s="84" t="s">
        <v>147</v>
      </c>
      <c r="D1776" s="115" t="s">
        <v>2797</v>
      </c>
      <c r="E1776" s="85" t="s">
        <v>616</v>
      </c>
      <c r="F1776" s="85">
        <v>46146</v>
      </c>
      <c r="G1776" s="85" t="str">
        <f>TEXT(Table7[[#This Row],[EXPIRY DATE]],"MMM")</f>
        <v>May</v>
      </c>
      <c r="H1776" s="85" t="str">
        <f>TEXT(Table7[[#This Row],[EXPIRY DATE]],"YYY")</f>
        <v>2026</v>
      </c>
      <c r="I1776" s="85" t="s">
        <v>791</v>
      </c>
      <c r="J1776" s="69"/>
    </row>
    <row r="1777" spans="1:10" x14ac:dyDescent="0.3">
      <c r="A1777" s="84">
        <v>1776</v>
      </c>
      <c r="B1777" s="84" t="s">
        <v>2798</v>
      </c>
      <c r="C1777" s="84" t="s">
        <v>147</v>
      </c>
      <c r="D1777" s="115" t="s">
        <v>2799</v>
      </c>
      <c r="E1777" s="85" t="s">
        <v>616</v>
      </c>
      <c r="F1777" s="85">
        <v>46208</v>
      </c>
      <c r="G1777" s="85" t="str">
        <f>TEXT(Table7[[#This Row],[EXPIRY DATE]],"MMM")</f>
        <v>Jul</v>
      </c>
      <c r="H1777" s="85" t="str">
        <f>TEXT(Table7[[#This Row],[EXPIRY DATE]],"YYY")</f>
        <v>2026</v>
      </c>
      <c r="I1777" s="84" t="s">
        <v>839</v>
      </c>
      <c r="J1777" s="69"/>
    </row>
    <row r="1778" spans="1:10" x14ac:dyDescent="0.3">
      <c r="A1778" s="84">
        <v>1777</v>
      </c>
      <c r="B1778" s="84" t="s">
        <v>2724</v>
      </c>
      <c r="C1778" s="84" t="s">
        <v>147</v>
      </c>
      <c r="D1778" s="115" t="s">
        <v>2725</v>
      </c>
      <c r="E1778" s="85" t="s">
        <v>1014</v>
      </c>
      <c r="F1778" s="85">
        <v>46208</v>
      </c>
      <c r="G1778" s="85" t="str">
        <f>TEXT(Table7[[#This Row],[EXPIRY DATE]],"MMM")</f>
        <v>Jul</v>
      </c>
      <c r="H1778" s="85" t="str">
        <f>TEXT(Table7[[#This Row],[EXPIRY DATE]],"YYY")</f>
        <v>2026</v>
      </c>
      <c r="I1778" s="85" t="s">
        <v>791</v>
      </c>
      <c r="J1778" s="69"/>
    </row>
    <row r="1779" spans="1:10" x14ac:dyDescent="0.3">
      <c r="A1779" s="84">
        <v>1778</v>
      </c>
      <c r="B1779" s="84" t="s">
        <v>2800</v>
      </c>
      <c r="C1779" s="84" t="s">
        <v>147</v>
      </c>
      <c r="D1779" s="115" t="s">
        <v>2801</v>
      </c>
      <c r="E1779" s="85" t="s">
        <v>616</v>
      </c>
      <c r="F1779" s="85">
        <v>46214</v>
      </c>
      <c r="G1779" s="85" t="str">
        <f>TEXT(Table7[[#This Row],[EXPIRY DATE]],"MMM")</f>
        <v>Jul</v>
      </c>
      <c r="H1779" s="85" t="str">
        <f>TEXT(Table7[[#This Row],[EXPIRY DATE]],"YYY")</f>
        <v>2026</v>
      </c>
      <c r="I1779" s="85" t="s">
        <v>791</v>
      </c>
      <c r="J1779" s="69"/>
    </row>
    <row r="1780" spans="1:10" x14ac:dyDescent="0.3">
      <c r="A1780" s="84">
        <v>1779</v>
      </c>
      <c r="B1780" s="84" t="s">
        <v>2802</v>
      </c>
      <c r="C1780" s="92" t="s">
        <v>147</v>
      </c>
      <c r="D1780" s="119" t="s">
        <v>2803</v>
      </c>
      <c r="E1780" s="93" t="s">
        <v>885</v>
      </c>
      <c r="F1780" s="93">
        <v>46220</v>
      </c>
      <c r="G1780" s="93" t="str">
        <f>TEXT(Table7[[#This Row],[EXPIRY DATE]],"MMM")</f>
        <v>Jul</v>
      </c>
      <c r="H1780" s="93" t="str">
        <f>TEXT(Table7[[#This Row],[EXPIRY DATE]],"YYY")</f>
        <v>2026</v>
      </c>
      <c r="I1780" s="93" t="s">
        <v>791</v>
      </c>
      <c r="J1780" s="75"/>
    </row>
    <row r="1781" spans="1:10" x14ac:dyDescent="0.3">
      <c r="A1781" s="84">
        <v>1780</v>
      </c>
      <c r="B1781" s="84" t="s">
        <v>2804</v>
      </c>
      <c r="C1781" s="84" t="s">
        <v>147</v>
      </c>
      <c r="D1781" s="115" t="s">
        <v>2805</v>
      </c>
      <c r="E1781" s="85" t="s">
        <v>616</v>
      </c>
      <c r="F1781" s="85">
        <v>46257</v>
      </c>
      <c r="G1781" s="85" t="str">
        <f>TEXT(Table7[[#This Row],[EXPIRY DATE]],"MMM")</f>
        <v>Aug</v>
      </c>
      <c r="H1781" s="85" t="str">
        <f>TEXT(Table7[[#This Row],[EXPIRY DATE]],"YYY")</f>
        <v>2026</v>
      </c>
      <c r="I1781" s="85" t="s">
        <v>791</v>
      </c>
      <c r="J1781" s="69"/>
    </row>
    <row r="1782" spans="1:10" x14ac:dyDescent="0.3">
      <c r="A1782" s="84">
        <v>1781</v>
      </c>
      <c r="B1782" s="84" t="s">
        <v>2806</v>
      </c>
      <c r="C1782" s="92" t="s">
        <v>147</v>
      </c>
      <c r="D1782" s="119" t="s">
        <v>2807</v>
      </c>
      <c r="E1782" s="93"/>
      <c r="F1782" s="93">
        <v>46291</v>
      </c>
      <c r="G1782" s="93" t="str">
        <f>TEXT(Table7[[#This Row],[EXPIRY DATE]],"MMM")</f>
        <v>Sep</v>
      </c>
      <c r="H1782" s="93" t="str">
        <f>TEXT(Table7[[#This Row],[EXPIRY DATE]],"YYY")</f>
        <v>2026</v>
      </c>
      <c r="I1782" s="93" t="s">
        <v>791</v>
      </c>
      <c r="J1782" s="75"/>
    </row>
    <row r="1783" spans="1:10" x14ac:dyDescent="0.3">
      <c r="A1783" s="84">
        <v>1782</v>
      </c>
      <c r="B1783" s="84" t="s">
        <v>2740</v>
      </c>
      <c r="C1783" s="84" t="s">
        <v>147</v>
      </c>
      <c r="D1783" s="115" t="s">
        <v>2741</v>
      </c>
      <c r="E1783" s="85" t="s">
        <v>717</v>
      </c>
      <c r="F1783" s="85">
        <v>46316</v>
      </c>
      <c r="G1783" s="85" t="str">
        <f>TEXT(Table7[[#This Row],[EXPIRY DATE]],"MMM")</f>
        <v>Oct</v>
      </c>
      <c r="H1783" s="85" t="str">
        <f>TEXT(Table7[[#This Row],[EXPIRY DATE]],"YYY")</f>
        <v>2026</v>
      </c>
      <c r="I1783" s="85" t="s">
        <v>791</v>
      </c>
      <c r="J1783" s="69"/>
    </row>
    <row r="1784" spans="1:10" ht="20.399999999999999" x14ac:dyDescent="0.3">
      <c r="A1784" s="84">
        <v>1783</v>
      </c>
      <c r="B1784" s="84" t="s">
        <v>2712</v>
      </c>
      <c r="C1784" s="84" t="s">
        <v>147</v>
      </c>
      <c r="D1784" s="115" t="s">
        <v>2713</v>
      </c>
      <c r="E1784" s="85" t="s">
        <v>616</v>
      </c>
      <c r="F1784" s="85">
        <v>46340</v>
      </c>
      <c r="G1784" s="85" t="str">
        <f>TEXT(Table7[[#This Row],[EXPIRY DATE]],"MMM")</f>
        <v>Nov</v>
      </c>
      <c r="H1784" s="85" t="str">
        <f>TEXT(Table7[[#This Row],[EXPIRY DATE]],"YYY")</f>
        <v>2026</v>
      </c>
      <c r="I1784" s="85" t="s">
        <v>791</v>
      </c>
      <c r="J1784" s="69"/>
    </row>
    <row r="1785" spans="1:10" x14ac:dyDescent="0.3">
      <c r="A1785" s="84">
        <v>1784</v>
      </c>
      <c r="B1785" s="84" t="s">
        <v>2787</v>
      </c>
      <c r="C1785" s="84" t="s">
        <v>147</v>
      </c>
      <c r="D1785" s="115" t="s">
        <v>2788</v>
      </c>
      <c r="E1785" s="85" t="s">
        <v>613</v>
      </c>
      <c r="F1785" s="85">
        <v>46371</v>
      </c>
      <c r="G1785" s="85" t="str">
        <f>TEXT(Table7[[#This Row],[EXPIRY DATE]],"MMM")</f>
        <v>Dec</v>
      </c>
      <c r="H1785" s="85" t="str">
        <f>TEXT(Table7[[#This Row],[EXPIRY DATE]],"YYY")</f>
        <v>2026</v>
      </c>
      <c r="I1785" s="84" t="s">
        <v>916</v>
      </c>
      <c r="J1785" s="69"/>
    </row>
    <row r="1786" spans="1:10" x14ac:dyDescent="0.3">
      <c r="A1786" s="84">
        <v>1785</v>
      </c>
      <c r="B1786" s="84" t="s">
        <v>2808</v>
      </c>
      <c r="C1786" s="84" t="s">
        <v>147</v>
      </c>
      <c r="D1786" s="115" t="s">
        <v>2809</v>
      </c>
      <c r="E1786" s="85" t="s">
        <v>613</v>
      </c>
      <c r="F1786" s="85">
        <v>46371</v>
      </c>
      <c r="G1786" s="85" t="str">
        <f>TEXT(Table7[[#This Row],[EXPIRY DATE]],"MMM")</f>
        <v>Dec</v>
      </c>
      <c r="H1786" s="85" t="str">
        <f>TEXT(Table7[[#This Row],[EXPIRY DATE]],"YYY")</f>
        <v>2026</v>
      </c>
      <c r="I1786" s="84" t="s">
        <v>916</v>
      </c>
      <c r="J1786" s="69"/>
    </row>
    <row r="1787" spans="1:10" x14ac:dyDescent="0.3">
      <c r="A1787" s="84">
        <v>1786</v>
      </c>
      <c r="B1787" s="84" t="s">
        <v>2810</v>
      </c>
      <c r="C1787" s="84" t="s">
        <v>147</v>
      </c>
      <c r="D1787" s="115" t="s">
        <v>2811</v>
      </c>
      <c r="E1787" s="85" t="s">
        <v>613</v>
      </c>
      <c r="F1787" s="85">
        <v>46371</v>
      </c>
      <c r="G1787" s="85" t="str">
        <f>TEXT(Table7[[#This Row],[EXPIRY DATE]],"MMM")</f>
        <v>Dec</v>
      </c>
      <c r="H1787" s="85" t="str">
        <f>TEXT(Table7[[#This Row],[EXPIRY DATE]],"YYY")</f>
        <v>2026</v>
      </c>
      <c r="I1787" s="84" t="s">
        <v>916</v>
      </c>
      <c r="J1787" s="69"/>
    </row>
    <row r="1788" spans="1:10" ht="20.399999999999999" x14ac:dyDescent="0.3">
      <c r="A1788" s="84">
        <v>1787</v>
      </c>
      <c r="B1788" s="84" t="s">
        <v>2751</v>
      </c>
      <c r="C1788" s="84" t="s">
        <v>147</v>
      </c>
      <c r="D1788" s="115" t="s">
        <v>2752</v>
      </c>
      <c r="E1788" s="85" t="s">
        <v>613</v>
      </c>
      <c r="F1788" s="85">
        <v>46375</v>
      </c>
      <c r="G1788" s="85" t="str">
        <f>TEXT(Table7[[#This Row],[EXPIRY DATE]],"MMM")</f>
        <v>Dec</v>
      </c>
      <c r="H1788" s="85" t="str">
        <f>TEXT(Table7[[#This Row],[EXPIRY DATE]],"YYY")</f>
        <v>2026</v>
      </c>
      <c r="I1788" s="84" t="s">
        <v>916</v>
      </c>
      <c r="J1788" s="69"/>
    </row>
    <row r="1789" spans="1:10" x14ac:dyDescent="0.3">
      <c r="A1789" s="84">
        <v>1788</v>
      </c>
      <c r="B1789" s="84" t="s">
        <v>2812</v>
      </c>
      <c r="C1789" s="84" t="s">
        <v>147</v>
      </c>
      <c r="D1789" s="115" t="s">
        <v>2813</v>
      </c>
      <c r="E1789" s="85" t="s">
        <v>885</v>
      </c>
      <c r="F1789" s="85">
        <v>46390</v>
      </c>
      <c r="G1789" s="85" t="str">
        <f>TEXT(Table7[[#This Row],[EXPIRY DATE]],"MMM")</f>
        <v>Jan</v>
      </c>
      <c r="H1789" s="85" t="str">
        <f>TEXT(Table7[[#This Row],[EXPIRY DATE]],"YYY")</f>
        <v>2027</v>
      </c>
      <c r="I1789" s="85" t="s">
        <v>791</v>
      </c>
      <c r="J1789" s="69"/>
    </row>
    <row r="1790" spans="1:10" x14ac:dyDescent="0.3">
      <c r="A1790" s="84">
        <v>1789</v>
      </c>
      <c r="B1790" s="84" t="s">
        <v>2704</v>
      </c>
      <c r="C1790" s="84" t="s">
        <v>147</v>
      </c>
      <c r="D1790" s="115" t="s">
        <v>2705</v>
      </c>
      <c r="E1790" s="85" t="s">
        <v>616</v>
      </c>
      <c r="F1790" s="85">
        <v>46397</v>
      </c>
      <c r="G1790" s="85" t="str">
        <f>TEXT(Table7[[#This Row],[EXPIRY DATE]],"MMM")</f>
        <v>Jan</v>
      </c>
      <c r="H1790" s="85" t="str">
        <f>TEXT(Table7[[#This Row],[EXPIRY DATE]],"YYY")</f>
        <v>2027</v>
      </c>
      <c r="I1790" s="85" t="s">
        <v>791</v>
      </c>
      <c r="J1790" s="69"/>
    </row>
    <row r="1791" spans="1:10" x14ac:dyDescent="0.3">
      <c r="A1791" s="84">
        <v>1790</v>
      </c>
      <c r="B1791" s="84" t="s">
        <v>2738</v>
      </c>
      <c r="C1791" s="84" t="s">
        <v>147</v>
      </c>
      <c r="D1791" s="115" t="s">
        <v>2814</v>
      </c>
      <c r="E1791" s="85"/>
      <c r="F1791" s="85">
        <v>46404</v>
      </c>
      <c r="G1791" s="85" t="str">
        <f>TEXT(Table7[[#This Row],[EXPIRY DATE]],"MMM")</f>
        <v>Jan</v>
      </c>
      <c r="H1791" s="85" t="str">
        <f>TEXT(Table7[[#This Row],[EXPIRY DATE]],"YYY")</f>
        <v>2027</v>
      </c>
      <c r="I1791" s="85" t="s">
        <v>791</v>
      </c>
      <c r="J1791" s="69"/>
    </row>
    <row r="1792" spans="1:10" x14ac:dyDescent="0.3">
      <c r="A1792" s="84">
        <v>1791</v>
      </c>
      <c r="B1792" s="84" t="s">
        <v>2772</v>
      </c>
      <c r="C1792" s="84" t="s">
        <v>147</v>
      </c>
      <c r="D1792" s="115" t="s">
        <v>2773</v>
      </c>
      <c r="E1792" s="85"/>
      <c r="F1792" s="85">
        <v>46404</v>
      </c>
      <c r="G1792" s="85" t="str">
        <f>TEXT(Table7[[#This Row],[EXPIRY DATE]],"MMM")</f>
        <v>Jan</v>
      </c>
      <c r="H1792" s="85" t="str">
        <f>TEXT(Table7[[#This Row],[EXPIRY DATE]],"YYY")</f>
        <v>2027</v>
      </c>
      <c r="I1792" s="85" t="s">
        <v>791</v>
      </c>
      <c r="J1792" s="69"/>
    </row>
    <row r="1793" spans="1:10" x14ac:dyDescent="0.3">
      <c r="A1793" s="84">
        <v>1792</v>
      </c>
      <c r="B1793" s="84" t="s">
        <v>2716</v>
      </c>
      <c r="C1793" s="84" t="s">
        <v>147</v>
      </c>
      <c r="D1793" s="115" t="s">
        <v>2717</v>
      </c>
      <c r="E1793" s="85" t="s">
        <v>1014</v>
      </c>
      <c r="F1793" s="85">
        <v>46437</v>
      </c>
      <c r="G1793" s="85" t="str">
        <f>TEXT(Table7[[#This Row],[EXPIRY DATE]],"MMM")</f>
        <v>Feb</v>
      </c>
      <c r="H1793" s="85" t="str">
        <f>TEXT(Table7[[#This Row],[EXPIRY DATE]],"YYY")</f>
        <v>2027</v>
      </c>
      <c r="I1793" s="85" t="s">
        <v>791</v>
      </c>
      <c r="J1793" s="69"/>
    </row>
    <row r="1794" spans="1:10" x14ac:dyDescent="0.3">
      <c r="A1794" s="84">
        <v>1793</v>
      </c>
      <c r="B1794" s="84" t="s">
        <v>2815</v>
      </c>
      <c r="C1794" s="84" t="s">
        <v>147</v>
      </c>
      <c r="D1794" s="115" t="s">
        <v>2816</v>
      </c>
      <c r="E1794" s="85" t="s">
        <v>885</v>
      </c>
      <c r="F1794" s="85">
        <v>46441</v>
      </c>
      <c r="G1794" s="85" t="str">
        <f>TEXT(Table7[[#This Row],[EXPIRY DATE]],"MMM")</f>
        <v>Feb</v>
      </c>
      <c r="H1794" s="85" t="str">
        <f>TEXT(Table7[[#This Row],[EXPIRY DATE]],"YYY")</f>
        <v>2027</v>
      </c>
      <c r="I1794" s="85" t="s">
        <v>791</v>
      </c>
      <c r="J1794" s="69"/>
    </row>
    <row r="1795" spans="1:10" x14ac:dyDescent="0.3">
      <c r="A1795" s="84">
        <v>1794</v>
      </c>
      <c r="B1795" s="84" t="s">
        <v>2817</v>
      </c>
      <c r="C1795" s="84" t="s">
        <v>147</v>
      </c>
      <c r="D1795" s="115" t="s">
        <v>2818</v>
      </c>
      <c r="E1795" s="85" t="s">
        <v>885</v>
      </c>
      <c r="F1795" s="85">
        <v>46447</v>
      </c>
      <c r="G1795" s="85" t="str">
        <f>TEXT(Table7[[#This Row],[EXPIRY DATE]],"MMM")</f>
        <v>Mar</v>
      </c>
      <c r="H1795" s="85" t="str">
        <f>TEXT(Table7[[#This Row],[EXPIRY DATE]],"YYY")</f>
        <v>2027</v>
      </c>
      <c r="I1795" s="85" t="s">
        <v>791</v>
      </c>
      <c r="J1795" s="69"/>
    </row>
    <row r="1796" spans="1:10" ht="20.399999999999999" x14ac:dyDescent="0.3">
      <c r="A1796" s="84">
        <v>1795</v>
      </c>
      <c r="B1796" s="84" t="s">
        <v>2718</v>
      </c>
      <c r="C1796" s="84" t="s">
        <v>147</v>
      </c>
      <c r="D1796" s="115" t="s">
        <v>2719</v>
      </c>
      <c r="E1796" s="85" t="s">
        <v>1210</v>
      </c>
      <c r="F1796" s="85">
        <v>46449</v>
      </c>
      <c r="G1796" s="85" t="str">
        <f>TEXT(Table7[[#This Row],[EXPIRY DATE]],"MMM")</f>
        <v>Mar</v>
      </c>
      <c r="H1796" s="85" t="str">
        <f>TEXT(Table7[[#This Row],[EXPIRY DATE]],"YYY")</f>
        <v>2027</v>
      </c>
      <c r="I1796" s="85" t="s">
        <v>791</v>
      </c>
      <c r="J1796" s="69"/>
    </row>
    <row r="1797" spans="1:10" ht="30.6" x14ac:dyDescent="0.3">
      <c r="A1797" s="84">
        <v>1796</v>
      </c>
      <c r="B1797" s="84" t="s">
        <v>2819</v>
      </c>
      <c r="C1797" s="84" t="s">
        <v>147</v>
      </c>
      <c r="D1797" s="115" t="s">
        <v>2820</v>
      </c>
      <c r="E1797" s="85" t="s">
        <v>616</v>
      </c>
      <c r="F1797" s="85">
        <v>46452</v>
      </c>
      <c r="G1797" s="85" t="str">
        <f>TEXT(Table7[[#This Row],[EXPIRY DATE]],"MMM")</f>
        <v>Mar</v>
      </c>
      <c r="H1797" s="85" t="str">
        <f>TEXT(Table7[[#This Row],[EXPIRY DATE]],"YYY")</f>
        <v>2027</v>
      </c>
      <c r="I1797" s="85" t="s">
        <v>791</v>
      </c>
      <c r="J1797" s="69"/>
    </row>
    <row r="1798" spans="1:10" x14ac:dyDescent="0.3">
      <c r="A1798" s="84">
        <v>1797</v>
      </c>
      <c r="B1798" s="84" t="s">
        <v>2821</v>
      </c>
      <c r="C1798" s="84" t="s">
        <v>147</v>
      </c>
      <c r="D1798" s="115" t="s">
        <v>2822</v>
      </c>
      <c r="E1798" s="85" t="s">
        <v>1175</v>
      </c>
      <c r="F1798" s="85">
        <v>46453</v>
      </c>
      <c r="G1798" s="85" t="str">
        <f>TEXT(Table7[[#This Row],[EXPIRY DATE]],"MMM")</f>
        <v>Mar</v>
      </c>
      <c r="H1798" s="85" t="str">
        <f>TEXT(Table7[[#This Row],[EXPIRY DATE]],"YYY")</f>
        <v>2027</v>
      </c>
      <c r="I1798" s="85" t="s">
        <v>791</v>
      </c>
      <c r="J1798" s="69"/>
    </row>
    <row r="1799" spans="1:10" x14ac:dyDescent="0.3">
      <c r="A1799" s="84">
        <v>1798</v>
      </c>
      <c r="B1799" s="84" t="s">
        <v>2708</v>
      </c>
      <c r="C1799" s="84" t="s">
        <v>147</v>
      </c>
      <c r="D1799" s="115" t="s">
        <v>2709</v>
      </c>
      <c r="E1799" s="85" t="s">
        <v>616</v>
      </c>
      <c r="F1799" s="85">
        <v>46460</v>
      </c>
      <c r="G1799" s="85" t="str">
        <f>TEXT(Table7[[#This Row],[EXPIRY DATE]],"MMM")</f>
        <v>Mar</v>
      </c>
      <c r="H1799" s="85" t="str">
        <f>TEXT(Table7[[#This Row],[EXPIRY DATE]],"YYY")</f>
        <v>2027</v>
      </c>
      <c r="I1799" s="85" t="s">
        <v>791</v>
      </c>
      <c r="J1799" s="69"/>
    </row>
    <row r="1800" spans="1:10" x14ac:dyDescent="0.3">
      <c r="A1800" s="84">
        <v>1799</v>
      </c>
      <c r="B1800" s="84" t="s">
        <v>2749</v>
      </c>
      <c r="C1800" s="84" t="s">
        <v>147</v>
      </c>
      <c r="D1800" s="115" t="s">
        <v>2750</v>
      </c>
      <c r="E1800" s="85" t="s">
        <v>1194</v>
      </c>
      <c r="F1800" s="85">
        <v>46484</v>
      </c>
      <c r="G1800" s="85" t="str">
        <f>TEXT(Table7[[#This Row],[EXPIRY DATE]],"MMM")</f>
        <v>Apr</v>
      </c>
      <c r="H1800" s="85" t="str">
        <f>TEXT(Table7[[#This Row],[EXPIRY DATE]],"YYY")</f>
        <v>2027</v>
      </c>
      <c r="I1800" s="84" t="s">
        <v>607</v>
      </c>
      <c r="J1800" s="69"/>
    </row>
    <row r="1801" spans="1:10" x14ac:dyDescent="0.3">
      <c r="A1801" s="84">
        <v>1800</v>
      </c>
      <c r="B1801" s="84" t="s">
        <v>2823</v>
      </c>
      <c r="C1801" s="84" t="s">
        <v>147</v>
      </c>
      <c r="D1801" s="115" t="s">
        <v>2824</v>
      </c>
      <c r="E1801" s="85" t="s">
        <v>885</v>
      </c>
      <c r="F1801" s="85">
        <v>46513</v>
      </c>
      <c r="G1801" s="85" t="str">
        <f>TEXT(Table7[[#This Row],[EXPIRY DATE]],"MMM")</f>
        <v>May</v>
      </c>
      <c r="H1801" s="85" t="str">
        <f>TEXT(Table7[[#This Row],[EXPIRY DATE]],"YYY")</f>
        <v>2027</v>
      </c>
      <c r="I1801" s="85" t="s">
        <v>791</v>
      </c>
      <c r="J1801" s="69"/>
    </row>
    <row r="1802" spans="1:10" ht="20.399999999999999" x14ac:dyDescent="0.3">
      <c r="A1802" s="84">
        <v>1801</v>
      </c>
      <c r="B1802" s="84" t="s">
        <v>2758</v>
      </c>
      <c r="C1802" s="84" t="s">
        <v>147</v>
      </c>
      <c r="D1802" s="115" t="s">
        <v>2759</v>
      </c>
      <c r="E1802" s="85" t="s">
        <v>2760</v>
      </c>
      <c r="F1802" s="85">
        <v>46513</v>
      </c>
      <c r="G1802" s="85" t="str">
        <f>TEXT(Table7[[#This Row],[EXPIRY DATE]],"MMM")</f>
        <v>May</v>
      </c>
      <c r="H1802" s="85" t="str">
        <f>TEXT(Table7[[#This Row],[EXPIRY DATE]],"YYY")</f>
        <v>2027</v>
      </c>
      <c r="I1802" s="85" t="s">
        <v>791</v>
      </c>
      <c r="J1802" s="69"/>
    </row>
    <row r="1803" spans="1:10" x14ac:dyDescent="0.3">
      <c r="A1803" s="84">
        <v>1802</v>
      </c>
      <c r="B1803" s="84" t="s">
        <v>2755</v>
      </c>
      <c r="C1803" s="84" t="s">
        <v>147</v>
      </c>
      <c r="D1803" s="115" t="s">
        <v>2756</v>
      </c>
      <c r="E1803" s="85" t="s">
        <v>2757</v>
      </c>
      <c r="F1803" s="85">
        <v>46513</v>
      </c>
      <c r="G1803" s="85" t="str">
        <f>TEXT(Table7[[#This Row],[EXPIRY DATE]],"MMM")</f>
        <v>May</v>
      </c>
      <c r="H1803" s="85" t="str">
        <f>TEXT(Table7[[#This Row],[EXPIRY DATE]],"YYY")</f>
        <v>2027</v>
      </c>
      <c r="I1803" s="85" t="s">
        <v>791</v>
      </c>
      <c r="J1803" s="69"/>
    </row>
    <row r="1804" spans="1:10" x14ac:dyDescent="0.3">
      <c r="A1804" s="84">
        <v>1803</v>
      </c>
      <c r="B1804" s="84" t="s">
        <v>2753</v>
      </c>
      <c r="C1804" s="92" t="s">
        <v>147</v>
      </c>
      <c r="D1804" s="119" t="s">
        <v>2754</v>
      </c>
      <c r="E1804" s="93"/>
      <c r="F1804" s="93">
        <v>46514</v>
      </c>
      <c r="G1804" s="93" t="str">
        <f>TEXT(Table7[[#This Row],[EXPIRY DATE]],"MMM")</f>
        <v>May</v>
      </c>
      <c r="H1804" s="93" t="str">
        <f>TEXT(Table7[[#This Row],[EXPIRY DATE]],"YYY")</f>
        <v>2027</v>
      </c>
      <c r="I1804" s="93" t="s">
        <v>791</v>
      </c>
      <c r="J1804" s="75"/>
    </row>
    <row r="1805" spans="1:10" x14ac:dyDescent="0.3">
      <c r="A1805" s="84">
        <v>1804</v>
      </c>
      <c r="B1805" s="84" t="s">
        <v>2747</v>
      </c>
      <c r="C1805" s="84" t="s">
        <v>147</v>
      </c>
      <c r="D1805" s="115" t="s">
        <v>2748</v>
      </c>
      <c r="E1805" s="85" t="s">
        <v>1194</v>
      </c>
      <c r="F1805" s="85">
        <v>46537</v>
      </c>
      <c r="G1805" s="85" t="str">
        <f>TEXT(Table7[[#This Row],[EXPIRY DATE]],"MMM")</f>
        <v>May</v>
      </c>
      <c r="H1805" s="85" t="str">
        <f>TEXT(Table7[[#This Row],[EXPIRY DATE]],"YYY")</f>
        <v>2027</v>
      </c>
      <c r="I1805" s="84" t="s">
        <v>607</v>
      </c>
      <c r="J1805" s="69"/>
    </row>
    <row r="1806" spans="1:10" x14ac:dyDescent="0.3">
      <c r="A1806" s="84">
        <v>1805</v>
      </c>
      <c r="B1806" s="84" t="s">
        <v>2825</v>
      </c>
      <c r="C1806" s="84" t="s">
        <v>147</v>
      </c>
      <c r="D1806" s="115" t="s">
        <v>2826</v>
      </c>
      <c r="E1806" s="85" t="s">
        <v>616</v>
      </c>
      <c r="F1806" s="85">
        <v>46566</v>
      </c>
      <c r="G1806" s="85" t="str">
        <f>TEXT(Table7[[#This Row],[EXPIRY DATE]],"MMM")</f>
        <v>Jun</v>
      </c>
      <c r="H1806" s="85" t="str">
        <f>TEXT(Table7[[#This Row],[EXPIRY DATE]],"YYY")</f>
        <v>2027</v>
      </c>
      <c r="I1806" s="85" t="s">
        <v>791</v>
      </c>
      <c r="J1806" s="69"/>
    </row>
    <row r="1807" spans="1:10" x14ac:dyDescent="0.3">
      <c r="A1807" s="84">
        <v>1806</v>
      </c>
      <c r="B1807" s="84" t="s">
        <v>2827</v>
      </c>
      <c r="C1807" s="84" t="s">
        <v>147</v>
      </c>
      <c r="D1807" s="115" t="s">
        <v>2828</v>
      </c>
      <c r="E1807" s="85" t="s">
        <v>601</v>
      </c>
      <c r="F1807" s="85">
        <v>46595</v>
      </c>
      <c r="G1807" s="85" t="str">
        <f>TEXT(Table7[[#This Row],[EXPIRY DATE]],"MMM")</f>
        <v>Jul</v>
      </c>
      <c r="H1807" s="85" t="str">
        <f>TEXT(Table7[[#This Row],[EXPIRY DATE]],"YYY")</f>
        <v>2027</v>
      </c>
      <c r="I1807" s="85" t="s">
        <v>791</v>
      </c>
      <c r="J1807" s="69"/>
    </row>
    <row r="1808" spans="1:10" x14ac:dyDescent="0.3">
      <c r="A1808" s="84">
        <v>1807</v>
      </c>
      <c r="B1808" s="84" t="s">
        <v>2829</v>
      </c>
      <c r="C1808" s="84" t="s">
        <v>147</v>
      </c>
      <c r="D1808" s="115" t="s">
        <v>2830</v>
      </c>
      <c r="E1808" s="85"/>
      <c r="F1808" s="85">
        <v>46605</v>
      </c>
      <c r="G1808" s="85" t="str">
        <f>TEXT(Table7[[#This Row],[EXPIRY DATE]],"MMM")</f>
        <v>Aug</v>
      </c>
      <c r="H1808" s="85" t="str">
        <f>TEXT(Table7[[#This Row],[EXPIRY DATE]],"YYY")</f>
        <v>2027</v>
      </c>
      <c r="I1808" s="85" t="s">
        <v>791</v>
      </c>
      <c r="J1808" s="69"/>
    </row>
    <row r="1809" spans="1:10" x14ac:dyDescent="0.3">
      <c r="A1809" s="84">
        <v>1808</v>
      </c>
      <c r="B1809" s="84" t="s">
        <v>2831</v>
      </c>
      <c r="C1809" s="84" t="s">
        <v>147</v>
      </c>
      <c r="D1809" s="115" t="s">
        <v>2832</v>
      </c>
      <c r="E1809" s="85" t="s">
        <v>616</v>
      </c>
      <c r="F1809" s="85">
        <v>46622</v>
      </c>
      <c r="G1809" s="85" t="str">
        <f>TEXT(Table7[[#This Row],[EXPIRY DATE]],"MMM")</f>
        <v>Aug</v>
      </c>
      <c r="H1809" s="85" t="str">
        <f>TEXT(Table7[[#This Row],[EXPIRY DATE]],"YYY")</f>
        <v>2027</v>
      </c>
      <c r="I1809" s="85" t="s">
        <v>791</v>
      </c>
      <c r="J1809" s="69"/>
    </row>
    <row r="1810" spans="1:10" ht="20.399999999999999" x14ac:dyDescent="0.3">
      <c r="A1810" s="84">
        <v>1809</v>
      </c>
      <c r="B1810" s="84" t="s">
        <v>2833</v>
      </c>
      <c r="C1810" s="84" t="s">
        <v>147</v>
      </c>
      <c r="D1810" s="115" t="s">
        <v>2834</v>
      </c>
      <c r="E1810" s="85" t="s">
        <v>601</v>
      </c>
      <c r="F1810" s="85">
        <v>46627</v>
      </c>
      <c r="G1810" s="85" t="str">
        <f>TEXT(Table7[[#This Row],[EXPIRY DATE]],"MMM")</f>
        <v>Aug</v>
      </c>
      <c r="H1810" s="85" t="str">
        <f>TEXT(Table7[[#This Row],[EXPIRY DATE]],"YYY")</f>
        <v>2027</v>
      </c>
      <c r="I1810" s="85" t="s">
        <v>791</v>
      </c>
      <c r="J1810" s="69"/>
    </row>
    <row r="1811" spans="1:10" ht="20.399999999999999" x14ac:dyDescent="0.3">
      <c r="A1811" s="84">
        <v>1810</v>
      </c>
      <c r="B1811" s="84" t="s">
        <v>2835</v>
      </c>
      <c r="C1811" s="84" t="s">
        <v>147</v>
      </c>
      <c r="D1811" s="115" t="s">
        <v>2836</v>
      </c>
      <c r="E1811" s="85"/>
      <c r="F1811" s="85">
        <v>46648</v>
      </c>
      <c r="G1811" s="85" t="str">
        <f>TEXT(Table7[[#This Row],[EXPIRY DATE]],"MMM")</f>
        <v>Sep</v>
      </c>
      <c r="H1811" s="85" t="str">
        <f>TEXT(Table7[[#This Row],[EXPIRY DATE]],"YYY")</f>
        <v>2027</v>
      </c>
      <c r="I1811" s="85" t="s">
        <v>791</v>
      </c>
      <c r="J1811" s="69"/>
    </row>
    <row r="1812" spans="1:10" x14ac:dyDescent="0.3">
      <c r="A1812" s="84">
        <v>1811</v>
      </c>
      <c r="B1812" s="84" t="s">
        <v>2837</v>
      </c>
      <c r="C1812" s="84" t="s">
        <v>147</v>
      </c>
      <c r="D1812" s="115" t="s">
        <v>2838</v>
      </c>
      <c r="E1812" s="85" t="s">
        <v>616</v>
      </c>
      <c r="F1812" s="85">
        <v>46702</v>
      </c>
      <c r="G1812" s="85" t="str">
        <f>TEXT(Table7[[#This Row],[EXPIRY DATE]],"MMM")</f>
        <v>Nov</v>
      </c>
      <c r="H1812" s="85" t="str">
        <f>TEXT(Table7[[#This Row],[EXPIRY DATE]],"YYY")</f>
        <v>2027</v>
      </c>
      <c r="I1812" s="85" t="s">
        <v>791</v>
      </c>
      <c r="J1812" s="69"/>
    </row>
    <row r="1813" spans="1:10" x14ac:dyDescent="0.3">
      <c r="A1813" s="84">
        <v>1812</v>
      </c>
      <c r="B1813" s="84" t="s">
        <v>2839</v>
      </c>
      <c r="C1813" s="84" t="s">
        <v>147</v>
      </c>
      <c r="D1813" s="115" t="s">
        <v>2840</v>
      </c>
      <c r="E1813" s="85" t="s">
        <v>1175</v>
      </c>
      <c r="F1813" s="85">
        <v>46712</v>
      </c>
      <c r="G1813" s="85" t="str">
        <f>TEXT(Table7[[#This Row],[EXPIRY DATE]],"MMM")</f>
        <v>Nov</v>
      </c>
      <c r="H1813" s="85" t="str">
        <f>TEXT(Table7[[#This Row],[EXPIRY DATE]],"YYY")</f>
        <v>2027</v>
      </c>
      <c r="I1813" s="85" t="s">
        <v>791</v>
      </c>
      <c r="J1813" s="69"/>
    </row>
    <row r="1814" spans="1:10" x14ac:dyDescent="0.3">
      <c r="A1814" s="84">
        <v>1813</v>
      </c>
      <c r="B1814" s="84" t="s">
        <v>2841</v>
      </c>
      <c r="C1814" s="84" t="s">
        <v>147</v>
      </c>
      <c r="D1814" s="115" t="s">
        <v>2842</v>
      </c>
      <c r="E1814" s="85"/>
      <c r="F1814" s="85">
        <v>46718</v>
      </c>
      <c r="G1814" s="85" t="str">
        <f>TEXT(Table7[[#This Row],[EXPIRY DATE]],"MMM")</f>
        <v>Nov</v>
      </c>
      <c r="H1814" s="85" t="str">
        <f>TEXT(Table7[[#This Row],[EXPIRY DATE]],"YYY")</f>
        <v>2027</v>
      </c>
      <c r="I1814" s="85" t="s">
        <v>791</v>
      </c>
      <c r="J1814" s="69"/>
    </row>
    <row r="1815" spans="1:10" x14ac:dyDescent="0.3">
      <c r="A1815" s="84">
        <v>1814</v>
      </c>
      <c r="B1815" s="84" t="s">
        <v>2843</v>
      </c>
      <c r="C1815" s="84" t="s">
        <v>147</v>
      </c>
      <c r="D1815" s="115" t="s">
        <v>2844</v>
      </c>
      <c r="E1815" s="85" t="s">
        <v>601</v>
      </c>
      <c r="F1815" s="85">
        <v>46723</v>
      </c>
      <c r="G1815" s="85" t="str">
        <f>TEXT(Table7[[#This Row],[EXPIRY DATE]],"MMM")</f>
        <v>Dec</v>
      </c>
      <c r="H1815" s="85" t="str">
        <f>TEXT(Table7[[#This Row],[EXPIRY DATE]],"YYY")</f>
        <v>2027</v>
      </c>
      <c r="I1815" s="85" t="s">
        <v>791</v>
      </c>
      <c r="J1815" s="69"/>
    </row>
    <row r="1816" spans="1:10" x14ac:dyDescent="0.3">
      <c r="A1816" s="84">
        <v>1815</v>
      </c>
      <c r="B1816" s="84" t="s">
        <v>2845</v>
      </c>
      <c r="C1816" s="92" t="s">
        <v>147</v>
      </c>
      <c r="D1816" s="119" t="s">
        <v>2846</v>
      </c>
      <c r="E1816" s="93"/>
      <c r="F1816" s="93">
        <v>46728</v>
      </c>
      <c r="G1816" s="93" t="str">
        <f>TEXT(Table7[[#This Row],[EXPIRY DATE]],"MMM")</f>
        <v>Dec</v>
      </c>
      <c r="H1816" s="93" t="str">
        <f>TEXT(Table7[[#This Row],[EXPIRY DATE]],"YYY")</f>
        <v>2027</v>
      </c>
      <c r="I1816" s="93" t="s">
        <v>791</v>
      </c>
      <c r="J1816" s="75"/>
    </row>
    <row r="1817" spans="1:10" x14ac:dyDescent="0.3">
      <c r="A1817" s="84">
        <v>1816</v>
      </c>
      <c r="B1817" s="84" t="s">
        <v>2847</v>
      </c>
      <c r="C1817" s="84" t="s">
        <v>147</v>
      </c>
      <c r="D1817" s="115" t="s">
        <v>2848</v>
      </c>
      <c r="E1817" s="85"/>
      <c r="F1817" s="85">
        <v>46728</v>
      </c>
      <c r="G1817" s="85" t="str">
        <f>TEXT(Table7[[#This Row],[EXPIRY DATE]],"MMM")</f>
        <v>Dec</v>
      </c>
      <c r="H1817" s="85" t="str">
        <f>TEXT(Table7[[#This Row],[EXPIRY DATE]],"YYY")</f>
        <v>2027</v>
      </c>
      <c r="I1817" s="85" t="s">
        <v>791</v>
      </c>
      <c r="J1817" s="69"/>
    </row>
    <row r="1818" spans="1:10" x14ac:dyDescent="0.3">
      <c r="A1818" s="84">
        <v>1817</v>
      </c>
      <c r="B1818" s="84" t="s">
        <v>2714</v>
      </c>
      <c r="C1818" s="84" t="s">
        <v>147</v>
      </c>
      <c r="D1818" s="115" t="s">
        <v>2715</v>
      </c>
      <c r="E1818" s="85" t="s">
        <v>1014</v>
      </c>
      <c r="F1818" s="85">
        <v>46747</v>
      </c>
      <c r="G1818" s="85" t="str">
        <f>TEXT(Table7[[#This Row],[EXPIRY DATE]],"MMM")</f>
        <v>Dec</v>
      </c>
      <c r="H1818" s="85" t="str">
        <f>TEXT(Table7[[#This Row],[EXPIRY DATE]],"YYY")</f>
        <v>2027</v>
      </c>
      <c r="I1818" s="85" t="s">
        <v>791</v>
      </c>
      <c r="J1818" s="69"/>
    </row>
    <row r="1819" spans="1:10" x14ac:dyDescent="0.3">
      <c r="A1819" s="84">
        <v>1818</v>
      </c>
      <c r="B1819" s="84" t="s">
        <v>2849</v>
      </c>
      <c r="C1819" s="84" t="s">
        <v>147</v>
      </c>
      <c r="D1819" s="115" t="s">
        <v>2850</v>
      </c>
      <c r="E1819" s="85"/>
      <c r="F1819" s="85" t="s">
        <v>2851</v>
      </c>
      <c r="G1819" s="85" t="str">
        <f>TEXT(Table7[[#This Row],[EXPIRY DATE]],"MMM")</f>
        <v>DONE BY WOW MOMO</v>
      </c>
      <c r="H1819" s="85" t="str">
        <f>TEXT(Table7[[#This Row],[EXPIRY DATE]],"YYY")</f>
        <v>DONE BY WOW MOMO</v>
      </c>
      <c r="I1819" s="84" t="s">
        <v>602</v>
      </c>
      <c r="J1819" s="69"/>
    </row>
    <row r="1820" spans="1:10" x14ac:dyDescent="0.3">
      <c r="A1820" s="84">
        <v>1819</v>
      </c>
      <c r="B1820" s="84" t="s">
        <v>2849</v>
      </c>
      <c r="C1820" s="84" t="s">
        <v>147</v>
      </c>
      <c r="D1820" s="115" t="s">
        <v>2850</v>
      </c>
      <c r="E1820" s="85" t="s">
        <v>885</v>
      </c>
      <c r="F1820" s="85" t="s">
        <v>2851</v>
      </c>
      <c r="G1820" s="85" t="str">
        <f>TEXT(Table7[[#This Row],[EXPIRY DATE]],"MMM")</f>
        <v>DONE BY WOW MOMO</v>
      </c>
      <c r="H1820" s="85" t="str">
        <f>TEXT(Table7[[#This Row],[EXPIRY DATE]],"YYY")</f>
        <v>DONE BY WOW MOMO</v>
      </c>
      <c r="I1820" s="85" t="s">
        <v>791</v>
      </c>
      <c r="J1820" s="69"/>
    </row>
    <row r="1821" spans="1:10" x14ac:dyDescent="0.3">
      <c r="A1821" s="84">
        <v>1820</v>
      </c>
      <c r="B1821" s="84" t="s">
        <v>2852</v>
      </c>
      <c r="C1821" s="84" t="s">
        <v>147</v>
      </c>
      <c r="D1821" s="115" t="s">
        <v>2853</v>
      </c>
      <c r="E1821" s="85" t="s">
        <v>613</v>
      </c>
      <c r="F1821" s="85" t="s">
        <v>2851</v>
      </c>
      <c r="G1821" s="85" t="str">
        <f>TEXT(Table7[[#This Row],[EXPIRY DATE]],"MMM")</f>
        <v>DONE BY WOW MOMO</v>
      </c>
      <c r="H1821" s="85" t="str">
        <f>TEXT(Table7[[#This Row],[EXPIRY DATE]],"YYY")</f>
        <v>DONE BY WOW MOMO</v>
      </c>
      <c r="I1821" s="85" t="s">
        <v>791</v>
      </c>
      <c r="J1821" s="69"/>
    </row>
    <row r="1822" spans="1:10" x14ac:dyDescent="0.3">
      <c r="A1822" s="84">
        <v>1821</v>
      </c>
      <c r="B1822" s="84" t="s">
        <v>2854</v>
      </c>
      <c r="C1822" s="84" t="s">
        <v>147</v>
      </c>
      <c r="D1822" s="115" t="s">
        <v>2855</v>
      </c>
      <c r="E1822" s="85" t="s">
        <v>601</v>
      </c>
      <c r="F1822" s="85" t="s">
        <v>2851</v>
      </c>
      <c r="G1822" s="85" t="s">
        <v>619</v>
      </c>
      <c r="H1822" s="85" t="str">
        <f>TEXT(Table7[[#This Row],[EXPIRY DATE]],"YYY")</f>
        <v>DONE BY WOW MOMO</v>
      </c>
      <c r="I1822" s="84" t="s">
        <v>602</v>
      </c>
      <c r="J1822" s="69"/>
    </row>
    <row r="1823" spans="1:10" x14ac:dyDescent="0.3">
      <c r="A1823" s="84">
        <v>1822</v>
      </c>
      <c r="B1823" s="84" t="s">
        <v>2854</v>
      </c>
      <c r="C1823" s="84" t="s">
        <v>147</v>
      </c>
      <c r="D1823" s="115" t="s">
        <v>2855</v>
      </c>
      <c r="E1823" s="85" t="s">
        <v>601</v>
      </c>
      <c r="F1823" s="85" t="s">
        <v>2851</v>
      </c>
      <c r="G1823" s="85" t="s">
        <v>619</v>
      </c>
      <c r="H1823" s="85" t="str">
        <f>TEXT(Table7[[#This Row],[EXPIRY DATE]],"YYY")</f>
        <v>DONE BY WOW MOMO</v>
      </c>
      <c r="I1823" s="85" t="s">
        <v>791</v>
      </c>
      <c r="J1823" s="69"/>
    </row>
    <row r="1824" spans="1:10" x14ac:dyDescent="0.3">
      <c r="A1824" s="84">
        <v>1823</v>
      </c>
      <c r="B1824" s="84" t="s">
        <v>2854</v>
      </c>
      <c r="C1824" s="84" t="s">
        <v>147</v>
      </c>
      <c r="D1824" s="115" t="s">
        <v>2855</v>
      </c>
      <c r="E1824" s="85" t="s">
        <v>601</v>
      </c>
      <c r="F1824" s="85" t="s">
        <v>2851</v>
      </c>
      <c r="G1824" s="85" t="s">
        <v>619</v>
      </c>
      <c r="H1824" s="85" t="str">
        <f>TEXT(Table7[[#This Row],[EXPIRY DATE]],"YYY")</f>
        <v>DONE BY WOW MOMO</v>
      </c>
      <c r="I1824" s="84" t="s">
        <v>839</v>
      </c>
      <c r="J1824" s="69"/>
    </row>
    <row r="1825" spans="1:10" x14ac:dyDescent="0.3">
      <c r="A1825" s="84">
        <v>1824</v>
      </c>
      <c r="B1825" s="84" t="s">
        <v>2856</v>
      </c>
      <c r="C1825" s="113" t="s">
        <v>147</v>
      </c>
      <c r="D1825" s="126" t="s">
        <v>2857</v>
      </c>
      <c r="E1825" s="114" t="s">
        <v>601</v>
      </c>
      <c r="F1825" s="114" t="s">
        <v>817</v>
      </c>
      <c r="G1825" s="114" t="str">
        <f>TEXT(Table7[[#This Row],[EXPIRY DATE]],"MMM")</f>
        <v>DORMANT</v>
      </c>
      <c r="H1825" s="114" t="str">
        <f>TEXT(Table7[[#This Row],[EXPIRY DATE]],"YYY")</f>
        <v>DORMANT</v>
      </c>
      <c r="I1825" s="113" t="s">
        <v>602</v>
      </c>
      <c r="J1825" s="79"/>
    </row>
    <row r="1826" spans="1:10" x14ac:dyDescent="0.3">
      <c r="A1826" s="84">
        <v>1825</v>
      </c>
      <c r="B1826" s="84" t="s">
        <v>2856</v>
      </c>
      <c r="C1826" s="84" t="s">
        <v>147</v>
      </c>
      <c r="D1826" s="115" t="s">
        <v>2857</v>
      </c>
      <c r="E1826" s="85"/>
      <c r="F1826" s="85" t="s">
        <v>81</v>
      </c>
      <c r="G1826" s="85" t="str">
        <f>TEXT(Table7[[#This Row],[EXPIRY DATE]],"MMM")</f>
        <v>NA</v>
      </c>
      <c r="H1826" s="85" t="str">
        <f>TEXT(Table7[[#This Row],[EXPIRY DATE]],"YYY")</f>
        <v>NA</v>
      </c>
      <c r="I1826" s="85" t="s">
        <v>791</v>
      </c>
      <c r="J1826" s="69"/>
    </row>
    <row r="1827" spans="1:10" x14ac:dyDescent="0.3">
      <c r="A1827" s="84">
        <v>1826</v>
      </c>
      <c r="B1827" s="84" t="s">
        <v>2858</v>
      </c>
      <c r="C1827" s="84" t="s">
        <v>147</v>
      </c>
      <c r="D1827" s="115" t="s">
        <v>2859</v>
      </c>
      <c r="E1827" s="85" t="s">
        <v>616</v>
      </c>
      <c r="F1827" s="85" t="s">
        <v>2851</v>
      </c>
      <c r="G1827" s="85" t="s">
        <v>619</v>
      </c>
      <c r="H1827" s="85" t="str">
        <f>TEXT(Table7[[#This Row],[EXPIRY DATE]],"YYY")</f>
        <v>DONE BY WOW MOMO</v>
      </c>
      <c r="I1827" s="84" t="s">
        <v>602</v>
      </c>
      <c r="J1827" s="69"/>
    </row>
    <row r="1828" spans="1:10" x14ac:dyDescent="0.3">
      <c r="A1828" s="84">
        <v>1827</v>
      </c>
      <c r="B1828" s="84" t="s">
        <v>2784</v>
      </c>
      <c r="C1828" s="113" t="s">
        <v>147</v>
      </c>
      <c r="D1828" s="126" t="s">
        <v>2785</v>
      </c>
      <c r="E1828" s="114" t="s">
        <v>601</v>
      </c>
      <c r="F1828" s="114" t="s">
        <v>817</v>
      </c>
      <c r="G1828" s="114" t="str">
        <f>TEXT(Table7[[#This Row],[EXPIRY DATE]],"MMM")</f>
        <v>DORMANT</v>
      </c>
      <c r="H1828" s="114" t="str">
        <f>TEXT(Table7[[#This Row],[EXPIRY DATE]],"YYY")</f>
        <v>DORMANT</v>
      </c>
      <c r="I1828" s="113" t="s">
        <v>602</v>
      </c>
      <c r="J1828" s="79"/>
    </row>
    <row r="1829" spans="1:10" ht="20.399999999999999" x14ac:dyDescent="0.3">
      <c r="A1829" s="84">
        <v>1828</v>
      </c>
      <c r="B1829" s="84" t="s">
        <v>2782</v>
      </c>
      <c r="C1829" s="84" t="s">
        <v>147</v>
      </c>
      <c r="D1829" s="115" t="s">
        <v>2783</v>
      </c>
      <c r="E1829" s="85" t="s">
        <v>772</v>
      </c>
      <c r="F1829" s="85" t="s">
        <v>2851</v>
      </c>
      <c r="G1829" s="85" t="s">
        <v>619</v>
      </c>
      <c r="H1829" s="85" t="str">
        <f>TEXT(Table7[[#This Row],[EXPIRY DATE]],"YYY")</f>
        <v>DONE BY WOW MOMO</v>
      </c>
      <c r="I1829" s="84" t="s">
        <v>602</v>
      </c>
      <c r="J1829" s="69"/>
    </row>
    <row r="1830" spans="1:10" x14ac:dyDescent="0.3">
      <c r="A1830" s="84">
        <v>1829</v>
      </c>
      <c r="B1830" s="84" t="s">
        <v>2792</v>
      </c>
      <c r="C1830" s="84" t="s">
        <v>147</v>
      </c>
      <c r="D1830" s="115" t="s">
        <v>2793</v>
      </c>
      <c r="E1830" s="85" t="s">
        <v>601</v>
      </c>
      <c r="F1830" s="85" t="s">
        <v>2851</v>
      </c>
      <c r="G1830" s="85" t="s">
        <v>619</v>
      </c>
      <c r="H1830" s="85" t="str">
        <f>TEXT(Table7[[#This Row],[EXPIRY DATE]],"YYY")</f>
        <v>DONE BY WOW MOMO</v>
      </c>
      <c r="I1830" s="84" t="s">
        <v>602</v>
      </c>
      <c r="J1830" s="69"/>
    </row>
    <row r="1831" spans="1:10" x14ac:dyDescent="0.3">
      <c r="A1831" s="84">
        <v>1830</v>
      </c>
      <c r="B1831" s="84" t="s">
        <v>2843</v>
      </c>
      <c r="C1831" s="84" t="s">
        <v>147</v>
      </c>
      <c r="D1831" s="115" t="s">
        <v>2844</v>
      </c>
      <c r="E1831" s="85" t="s">
        <v>601</v>
      </c>
      <c r="F1831" s="85" t="s">
        <v>2851</v>
      </c>
      <c r="G1831" s="85" t="s">
        <v>619</v>
      </c>
      <c r="H1831" s="85" t="str">
        <f>TEXT(Table7[[#This Row],[EXPIRY DATE]],"YYY")</f>
        <v>DONE BY WOW MOMO</v>
      </c>
      <c r="I1831" s="84" t="s">
        <v>602</v>
      </c>
      <c r="J1831" s="69"/>
    </row>
    <row r="1832" spans="1:10" ht="20.399999999999999" x14ac:dyDescent="0.3">
      <c r="A1832" s="84">
        <v>1831</v>
      </c>
      <c r="B1832" s="84" t="s">
        <v>2833</v>
      </c>
      <c r="C1832" s="84" t="s">
        <v>147</v>
      </c>
      <c r="D1832" s="115" t="s">
        <v>2834</v>
      </c>
      <c r="E1832" s="85" t="s">
        <v>601</v>
      </c>
      <c r="F1832" s="85" t="s">
        <v>2851</v>
      </c>
      <c r="G1832" s="85" t="s">
        <v>619</v>
      </c>
      <c r="H1832" s="85" t="str">
        <f>TEXT(Table7[[#This Row],[EXPIRY DATE]],"YYY")</f>
        <v>DONE BY WOW MOMO</v>
      </c>
      <c r="I1832" s="84" t="s">
        <v>602</v>
      </c>
      <c r="J1832" s="69"/>
    </row>
    <row r="1833" spans="1:10" ht="40.799999999999997" x14ac:dyDescent="0.3">
      <c r="A1833" s="84">
        <v>1832</v>
      </c>
      <c r="B1833" s="84" t="s">
        <v>2860</v>
      </c>
      <c r="C1833" s="84" t="s">
        <v>147</v>
      </c>
      <c r="D1833" s="115" t="s">
        <v>2861</v>
      </c>
      <c r="E1833" s="85"/>
      <c r="F1833" s="85" t="s">
        <v>2851</v>
      </c>
      <c r="G1833" s="85" t="str">
        <f>TEXT(Table7[[#This Row],[EXPIRY DATE]],"MMM")</f>
        <v>DONE BY WOW MOMO</v>
      </c>
      <c r="H1833" s="85" t="str">
        <f>TEXT(Table7[[#This Row],[EXPIRY DATE]],"YYY")</f>
        <v>DONE BY WOW MOMO</v>
      </c>
      <c r="I1833" s="84" t="s">
        <v>602</v>
      </c>
      <c r="J1833" s="69"/>
    </row>
    <row r="1834" spans="1:10" x14ac:dyDescent="0.3">
      <c r="A1834" s="84">
        <v>1833</v>
      </c>
      <c r="B1834" s="84" t="s">
        <v>2860</v>
      </c>
      <c r="C1834" s="84" t="s">
        <v>147</v>
      </c>
      <c r="D1834" s="115" t="s">
        <v>2862</v>
      </c>
      <c r="E1834" s="85" t="s">
        <v>601</v>
      </c>
      <c r="F1834" s="85" t="s">
        <v>2851</v>
      </c>
      <c r="G1834" s="85" t="str">
        <f>TEXT(Table7[[#This Row],[EXPIRY DATE]],"MMM")</f>
        <v>DONE BY WOW MOMO</v>
      </c>
      <c r="H1834" s="85" t="str">
        <f>TEXT(Table7[[#This Row],[EXPIRY DATE]],"YYY")</f>
        <v>DONE BY WOW MOMO</v>
      </c>
      <c r="I1834" s="85" t="s">
        <v>791</v>
      </c>
      <c r="J1834" s="69"/>
    </row>
    <row r="1835" spans="1:10" x14ac:dyDescent="0.3">
      <c r="A1835" s="84">
        <v>1834</v>
      </c>
      <c r="B1835" s="84" t="s">
        <v>2863</v>
      </c>
      <c r="C1835" s="84" t="s">
        <v>147</v>
      </c>
      <c r="D1835" s="115" t="s">
        <v>2864</v>
      </c>
      <c r="E1835" s="85" t="s">
        <v>601</v>
      </c>
      <c r="F1835" s="85" t="s">
        <v>2851</v>
      </c>
      <c r="G1835" s="85" t="s">
        <v>619</v>
      </c>
      <c r="H1835" s="85" t="str">
        <f>TEXT(Table7[[#This Row],[EXPIRY DATE]],"YYY")</f>
        <v>DONE BY WOW MOMO</v>
      </c>
      <c r="I1835" s="84" t="s">
        <v>602</v>
      </c>
      <c r="J1835" s="69"/>
    </row>
    <row r="1836" spans="1:10" x14ac:dyDescent="0.3">
      <c r="A1836" s="84">
        <v>1835</v>
      </c>
      <c r="B1836" s="84" t="s">
        <v>2863</v>
      </c>
      <c r="C1836" s="84" t="s">
        <v>147</v>
      </c>
      <c r="D1836" s="115" t="s">
        <v>2865</v>
      </c>
      <c r="E1836" s="85" t="s">
        <v>601</v>
      </c>
      <c r="F1836" s="85" t="s">
        <v>2851</v>
      </c>
      <c r="G1836" s="85" t="str">
        <f>TEXT(Table7[[#This Row],[EXPIRY DATE]],"MMM")</f>
        <v>DONE BY WOW MOMO</v>
      </c>
      <c r="H1836" s="85" t="str">
        <f>TEXT(Table7[[#This Row],[EXPIRY DATE]],"YYY")</f>
        <v>DONE BY WOW MOMO</v>
      </c>
      <c r="I1836" s="85" t="s">
        <v>791</v>
      </c>
      <c r="J1836" s="69"/>
    </row>
    <row r="1837" spans="1:10" x14ac:dyDescent="0.3">
      <c r="A1837" s="84">
        <v>1836</v>
      </c>
      <c r="B1837" s="84" t="s">
        <v>2827</v>
      </c>
      <c r="C1837" s="84" t="s">
        <v>147</v>
      </c>
      <c r="D1837" s="115" t="s">
        <v>2828</v>
      </c>
      <c r="E1837" s="85" t="s">
        <v>601</v>
      </c>
      <c r="F1837" s="85" t="s">
        <v>2851</v>
      </c>
      <c r="G1837" s="85" t="s">
        <v>619</v>
      </c>
      <c r="H1837" s="85" t="str">
        <f>TEXT(Table7[[#This Row],[EXPIRY DATE]],"YYY")</f>
        <v>DONE BY WOW MOMO</v>
      </c>
      <c r="I1837" s="84" t="s">
        <v>602</v>
      </c>
      <c r="J1837" s="69"/>
    </row>
    <row r="1838" spans="1:10" x14ac:dyDescent="0.3">
      <c r="A1838" s="84">
        <v>1837</v>
      </c>
      <c r="B1838" s="84" t="s">
        <v>2827</v>
      </c>
      <c r="C1838" s="84" t="s">
        <v>147</v>
      </c>
      <c r="D1838" s="115" t="s">
        <v>2828</v>
      </c>
      <c r="E1838" s="85" t="s">
        <v>817</v>
      </c>
      <c r="F1838" s="85" t="str">
        <f ca="1">TEXT(Table7[[#This Row],[EXPIRY DATE]],"MMM")</f>
        <v>DONE BY WOW MOMO</v>
      </c>
      <c r="G1838" s="85" t="str">
        <f ca="1">TEXT(Table7[[#This Row],[EXPIRY DATE]],"MMM")</f>
        <v>DONE BY WOW MOMO</v>
      </c>
      <c r="H1838" s="85" t="str">
        <f ca="1">TEXT(Table7[[#This Row],[EXPIRY DATE]],"YYY")</f>
        <v>DONE BY WOW MOMO</v>
      </c>
      <c r="I1838" s="84" t="s">
        <v>916</v>
      </c>
      <c r="J1838" s="69"/>
    </row>
    <row r="1839" spans="1:10" x14ac:dyDescent="0.3">
      <c r="A1839" s="84">
        <v>1838</v>
      </c>
      <c r="B1839" s="84" t="s">
        <v>2738</v>
      </c>
      <c r="C1839" s="84" t="s">
        <v>147</v>
      </c>
      <c r="D1839" s="115" t="s">
        <v>2814</v>
      </c>
      <c r="E1839" s="85"/>
      <c r="F1839" s="85" t="s">
        <v>2851</v>
      </c>
      <c r="G1839" s="85" t="str">
        <f>TEXT(Table7[[#This Row],[EXPIRY DATE]],"MMM")</f>
        <v>DONE BY WOW MOMO</v>
      </c>
      <c r="H1839" s="85" t="str">
        <f>TEXT(Table7[[#This Row],[EXPIRY DATE]],"YYY")</f>
        <v>DONE BY WOW MOMO</v>
      </c>
      <c r="I1839" s="84" t="s">
        <v>602</v>
      </c>
      <c r="J1839" s="69"/>
    </row>
    <row r="1840" spans="1:10" x14ac:dyDescent="0.3">
      <c r="A1840" s="84">
        <v>1839</v>
      </c>
      <c r="B1840" s="84" t="s">
        <v>2772</v>
      </c>
      <c r="C1840" s="84" t="s">
        <v>147</v>
      </c>
      <c r="D1840" s="115" t="s">
        <v>2773</v>
      </c>
      <c r="E1840" s="85"/>
      <c r="F1840" s="85" t="s">
        <v>2851</v>
      </c>
      <c r="G1840" s="85" t="str">
        <f>TEXT(Table7[[#This Row],[EXPIRY DATE]],"MMM")</f>
        <v>DONE BY WOW MOMO</v>
      </c>
      <c r="H1840" s="85" t="str">
        <f>TEXT(Table7[[#This Row],[EXPIRY DATE]],"YYY")</f>
        <v>DONE BY WOW MOMO</v>
      </c>
      <c r="I1840" s="84" t="s">
        <v>602</v>
      </c>
      <c r="J1840" s="69"/>
    </row>
    <row r="1841" spans="1:10" x14ac:dyDescent="0.3">
      <c r="A1841" s="84">
        <v>1840</v>
      </c>
      <c r="B1841" s="84" t="s">
        <v>2772</v>
      </c>
      <c r="C1841" s="84" t="s">
        <v>147</v>
      </c>
      <c r="D1841" s="115" t="s">
        <v>2773</v>
      </c>
      <c r="E1841" s="85" t="s">
        <v>601</v>
      </c>
      <c r="F1841" s="85" t="s">
        <v>2851</v>
      </c>
      <c r="G1841" s="85" t="str">
        <f>TEXT(Table7[[#This Row],[EXPIRY DATE]],"MMM")</f>
        <v>DONE BY WOW MOMO</v>
      </c>
      <c r="H1841" s="85" t="str">
        <f>TEXT(Table7[[#This Row],[EXPIRY DATE]],"YYY")</f>
        <v>DONE BY WOW MOMO</v>
      </c>
      <c r="I1841" s="84" t="s">
        <v>607</v>
      </c>
      <c r="J1841" s="69"/>
    </row>
    <row r="1842" spans="1:10" x14ac:dyDescent="0.3">
      <c r="A1842" s="84">
        <v>1841</v>
      </c>
      <c r="B1842" s="84" t="s">
        <v>2770</v>
      </c>
      <c r="C1842" s="84" t="s">
        <v>147</v>
      </c>
      <c r="D1842" s="115" t="s">
        <v>2771</v>
      </c>
      <c r="E1842" s="85"/>
      <c r="F1842" s="85" t="s">
        <v>2851</v>
      </c>
      <c r="G1842" s="85" t="str">
        <f>TEXT(Table7[[#This Row],[EXPIRY DATE]],"MMM")</f>
        <v>DONE BY WOW MOMO</v>
      </c>
      <c r="H1842" s="85" t="str">
        <f>TEXT(Table7[[#This Row],[EXPIRY DATE]],"YYY")</f>
        <v>DONE BY WOW MOMO</v>
      </c>
      <c r="I1842" s="84" t="s">
        <v>602</v>
      </c>
      <c r="J1842" s="69"/>
    </row>
    <row r="1843" spans="1:10" x14ac:dyDescent="0.3">
      <c r="A1843" s="84">
        <v>1842</v>
      </c>
      <c r="B1843" s="84" t="s">
        <v>2866</v>
      </c>
      <c r="C1843" s="92" t="s">
        <v>147</v>
      </c>
      <c r="D1843" s="119" t="s">
        <v>2866</v>
      </c>
      <c r="E1843" s="93"/>
      <c r="F1843" s="93" t="s">
        <v>766</v>
      </c>
      <c r="G1843" s="93" t="str">
        <f>TEXT(Table7[[#This Row],[EXPIRY DATE]],"MMM")</f>
        <v>CLOSED</v>
      </c>
      <c r="H1843" s="93" t="str">
        <f>TEXT(Table7[[#This Row],[EXPIRY DATE]],"YYY")</f>
        <v>CLOSED</v>
      </c>
      <c r="I1843" s="92" t="s">
        <v>602</v>
      </c>
      <c r="J1843" s="75"/>
    </row>
    <row r="1844" spans="1:10" x14ac:dyDescent="0.3">
      <c r="A1844" s="84">
        <v>1843</v>
      </c>
      <c r="B1844" s="84" t="s">
        <v>2866</v>
      </c>
      <c r="C1844" s="92" t="s">
        <v>147</v>
      </c>
      <c r="D1844" s="119" t="s">
        <v>2866</v>
      </c>
      <c r="E1844" s="93"/>
      <c r="F1844" s="93" t="s">
        <v>766</v>
      </c>
      <c r="G1844" s="93" t="str">
        <f>TEXT(Table7[[#This Row],[EXPIRY DATE]],"MMM")</f>
        <v>CLOSED</v>
      </c>
      <c r="H1844" s="93" t="str">
        <f>TEXT(Table7[[#This Row],[EXPIRY DATE]],"YYY")</f>
        <v>CLOSED</v>
      </c>
      <c r="I1844" s="93" t="s">
        <v>791</v>
      </c>
      <c r="J1844" s="75"/>
    </row>
    <row r="1845" spans="1:10" x14ac:dyDescent="0.3">
      <c r="A1845" s="84">
        <v>1844</v>
      </c>
      <c r="B1845" s="84" t="s">
        <v>2867</v>
      </c>
      <c r="C1845" s="84" t="s">
        <v>147</v>
      </c>
      <c r="D1845" s="115" t="s">
        <v>2868</v>
      </c>
      <c r="E1845" s="85"/>
      <c r="F1845" s="85" t="s">
        <v>2851</v>
      </c>
      <c r="G1845" s="85" t="str">
        <f>TEXT(Table7[[#This Row],[EXPIRY DATE]],"MMM")</f>
        <v>DONE BY WOW MOMO</v>
      </c>
      <c r="H1845" s="85" t="str">
        <f>TEXT(Table7[[#This Row],[EXPIRY DATE]],"YYY")</f>
        <v>DONE BY WOW MOMO</v>
      </c>
      <c r="I1845" s="84" t="s">
        <v>602</v>
      </c>
      <c r="J1845" s="69"/>
    </row>
    <row r="1846" spans="1:10" x14ac:dyDescent="0.3">
      <c r="A1846" s="84">
        <v>1845</v>
      </c>
      <c r="B1846" s="84" t="s">
        <v>2867</v>
      </c>
      <c r="C1846" s="84" t="s">
        <v>147</v>
      </c>
      <c r="D1846" s="115" t="s">
        <v>2868</v>
      </c>
      <c r="E1846" s="85" t="s">
        <v>601</v>
      </c>
      <c r="F1846" s="85" t="s">
        <v>817</v>
      </c>
      <c r="G1846" s="85" t="str">
        <f>TEXT(Table7[[#This Row],[EXPIRY DATE]],"MMM")</f>
        <v>DORMANT</v>
      </c>
      <c r="H1846" s="85" t="str">
        <f>TEXT(Table7[[#This Row],[EXPIRY DATE]],"YYY")</f>
        <v>DORMANT</v>
      </c>
      <c r="I1846" s="85" t="s">
        <v>791</v>
      </c>
      <c r="J1846" s="69"/>
    </row>
    <row r="1847" spans="1:10" ht="30.6" x14ac:dyDescent="0.3">
      <c r="A1847" s="84">
        <v>1846</v>
      </c>
      <c r="B1847" s="84" t="s">
        <v>2869</v>
      </c>
      <c r="C1847" s="92" t="s">
        <v>147</v>
      </c>
      <c r="D1847" s="119" t="s">
        <v>2870</v>
      </c>
      <c r="E1847" s="93"/>
      <c r="F1847" s="93" t="s">
        <v>766</v>
      </c>
      <c r="G1847" s="93" t="str">
        <f>TEXT(Table7[[#This Row],[EXPIRY DATE]],"MMM")</f>
        <v>CLOSED</v>
      </c>
      <c r="H1847" s="93" t="str">
        <f>TEXT(Table7[[#This Row],[EXPIRY DATE]],"YYY")</f>
        <v>CLOSED</v>
      </c>
      <c r="I1847" s="92" t="s">
        <v>602</v>
      </c>
      <c r="J1847" s="75"/>
    </row>
    <row r="1848" spans="1:10" ht="30.6" x14ac:dyDescent="0.3">
      <c r="A1848" s="84">
        <v>1847</v>
      </c>
      <c r="B1848" s="84" t="s">
        <v>2869</v>
      </c>
      <c r="C1848" s="92" t="s">
        <v>147</v>
      </c>
      <c r="D1848" s="119" t="s">
        <v>2870</v>
      </c>
      <c r="E1848" s="93"/>
      <c r="F1848" s="93" t="s">
        <v>766</v>
      </c>
      <c r="G1848" s="93" t="str">
        <f>TEXT(Table7[[#This Row],[EXPIRY DATE]],"MMM")</f>
        <v>CLOSED</v>
      </c>
      <c r="H1848" s="93" t="str">
        <f>TEXT(Table7[[#This Row],[EXPIRY DATE]],"YYY")</f>
        <v>CLOSED</v>
      </c>
      <c r="I1848" s="93" t="s">
        <v>791</v>
      </c>
      <c r="J1848" s="75"/>
    </row>
    <row r="1849" spans="1:10" x14ac:dyDescent="0.3">
      <c r="A1849" s="84">
        <v>1848</v>
      </c>
      <c r="B1849" s="84" t="s">
        <v>2871</v>
      </c>
      <c r="C1849" s="84" t="s">
        <v>147</v>
      </c>
      <c r="D1849" s="115" t="s">
        <v>2872</v>
      </c>
      <c r="E1849" s="85" t="s">
        <v>616</v>
      </c>
      <c r="F1849" s="85" t="s">
        <v>2851</v>
      </c>
      <c r="G1849" s="85" t="str">
        <f>TEXT(Table7[[#This Row],[EXPIRY DATE]],"MMM")</f>
        <v>DONE BY WOW MOMO</v>
      </c>
      <c r="H1849" s="85" t="str">
        <f>TEXT(Table7[[#This Row],[EXPIRY DATE]],"YYY")</f>
        <v>DONE BY WOW MOMO</v>
      </c>
      <c r="I1849" s="84" t="s">
        <v>602</v>
      </c>
      <c r="J1849" s="69"/>
    </row>
    <row r="1850" spans="1:10" x14ac:dyDescent="0.3">
      <c r="A1850" s="84">
        <v>1849</v>
      </c>
      <c r="B1850" s="84" t="s">
        <v>2871</v>
      </c>
      <c r="C1850" s="84" t="s">
        <v>147</v>
      </c>
      <c r="D1850" s="115" t="s">
        <v>2873</v>
      </c>
      <c r="E1850" s="85" t="s">
        <v>601</v>
      </c>
      <c r="F1850" s="85" t="s">
        <v>817</v>
      </c>
      <c r="G1850" s="85" t="str">
        <f>TEXT(Table7[[#This Row],[EXPIRY DATE]],"MMM")</f>
        <v>DORMANT</v>
      </c>
      <c r="H1850" s="85" t="str">
        <f>TEXT(Table7[[#This Row],[EXPIRY DATE]],"YYY")</f>
        <v>DORMANT</v>
      </c>
      <c r="I1850" s="85" t="s">
        <v>791</v>
      </c>
      <c r="J1850" s="69"/>
    </row>
    <row r="1851" spans="1:10" x14ac:dyDescent="0.3">
      <c r="A1851" s="84">
        <v>1850</v>
      </c>
      <c r="B1851" s="84" t="s">
        <v>2736</v>
      </c>
      <c r="C1851" s="84" t="s">
        <v>147</v>
      </c>
      <c r="D1851" s="115" t="s">
        <v>2737</v>
      </c>
      <c r="E1851" s="85" t="s">
        <v>601</v>
      </c>
      <c r="F1851" s="85" t="s">
        <v>2851</v>
      </c>
      <c r="G1851" s="85" t="str">
        <f>TEXT(Table7[[#This Row],[EXPIRY DATE]],"MMM")</f>
        <v>DONE BY WOW MOMO</v>
      </c>
      <c r="H1851" s="85" t="str">
        <f>TEXT(Table7[[#This Row],[EXPIRY DATE]],"YYY")</f>
        <v>DONE BY WOW MOMO</v>
      </c>
      <c r="I1851" s="84" t="s">
        <v>602</v>
      </c>
      <c r="J1851" s="69"/>
    </row>
    <row r="1852" spans="1:10" ht="30.6" x14ac:dyDescent="0.3">
      <c r="A1852" s="84">
        <v>1851</v>
      </c>
      <c r="B1852" s="84" t="s">
        <v>2874</v>
      </c>
      <c r="C1852" s="84" t="s">
        <v>147</v>
      </c>
      <c r="D1852" s="115" t="s">
        <v>2875</v>
      </c>
      <c r="E1852" s="85"/>
      <c r="F1852" s="85" t="s">
        <v>766</v>
      </c>
      <c r="G1852" s="85" t="str">
        <f>TEXT(Table7[[#This Row],[EXPIRY DATE]],"MMM")</f>
        <v>CLOSED</v>
      </c>
      <c r="H1852" s="85" t="str">
        <f>TEXT(Table7[[#This Row],[EXPIRY DATE]],"YYY")</f>
        <v>CLOSED</v>
      </c>
      <c r="I1852" s="84" t="s">
        <v>602</v>
      </c>
      <c r="J1852" s="69"/>
    </row>
    <row r="1853" spans="1:10" x14ac:dyDescent="0.3">
      <c r="A1853" s="84">
        <v>1852</v>
      </c>
      <c r="B1853" s="84" t="s">
        <v>2874</v>
      </c>
      <c r="C1853" s="84" t="s">
        <v>147</v>
      </c>
      <c r="D1853" s="115" t="s">
        <v>2876</v>
      </c>
      <c r="E1853" s="85" t="s">
        <v>601</v>
      </c>
      <c r="F1853" s="85" t="s">
        <v>817</v>
      </c>
      <c r="G1853" s="85" t="str">
        <f>TEXT(Table7[[#This Row],[EXPIRY DATE]],"MMM")</f>
        <v>DORMANT</v>
      </c>
      <c r="H1853" s="85" t="str">
        <f>TEXT(Table7[[#This Row],[EXPIRY DATE]],"YYY")</f>
        <v>DORMANT</v>
      </c>
      <c r="I1853" s="85" t="s">
        <v>791</v>
      </c>
      <c r="J1853" s="69"/>
    </row>
    <row r="1854" spans="1:10" x14ac:dyDescent="0.3">
      <c r="A1854" s="84">
        <v>1853</v>
      </c>
      <c r="B1854" s="84" t="s">
        <v>2774</v>
      </c>
      <c r="C1854" s="84" t="s">
        <v>147</v>
      </c>
      <c r="D1854" s="115" t="s">
        <v>2775</v>
      </c>
      <c r="E1854" s="85" t="s">
        <v>601</v>
      </c>
      <c r="F1854" s="85" t="s">
        <v>2851</v>
      </c>
      <c r="G1854" s="85" t="s">
        <v>619</v>
      </c>
      <c r="H1854" s="85" t="str">
        <f>TEXT(Table7[[#This Row],[EXPIRY DATE]],"YYY")</f>
        <v>DONE BY WOW MOMO</v>
      </c>
      <c r="I1854" s="84" t="s">
        <v>602</v>
      </c>
      <c r="J1854" s="69"/>
    </row>
    <row r="1855" spans="1:10" x14ac:dyDescent="0.3">
      <c r="A1855" s="84">
        <v>1854</v>
      </c>
      <c r="B1855" s="84" t="s">
        <v>2774</v>
      </c>
      <c r="C1855" s="84" t="s">
        <v>147</v>
      </c>
      <c r="D1855" s="115" t="s">
        <v>2775</v>
      </c>
      <c r="E1855" s="85" t="s">
        <v>601</v>
      </c>
      <c r="F1855" s="85" t="s">
        <v>2851</v>
      </c>
      <c r="G1855" s="85" t="str">
        <f>TEXT(Table7[[#This Row],[EXPIRY DATE]],"MMM")</f>
        <v>DONE BY WOW MOMO</v>
      </c>
      <c r="H1855" s="85" t="str">
        <f>TEXT(Table7[[#This Row],[EXPIRY DATE]],"YYY")</f>
        <v>DONE BY WOW MOMO</v>
      </c>
      <c r="I1855" s="84" t="s">
        <v>839</v>
      </c>
      <c r="J1855" s="69"/>
    </row>
    <row r="1856" spans="1:10" x14ac:dyDescent="0.3">
      <c r="A1856" s="84">
        <v>1855</v>
      </c>
      <c r="B1856" s="84" t="s">
        <v>2789</v>
      </c>
      <c r="C1856" s="84" t="s">
        <v>147</v>
      </c>
      <c r="D1856" s="115" t="s">
        <v>2789</v>
      </c>
      <c r="E1856" s="85" t="s">
        <v>772</v>
      </c>
      <c r="F1856" s="85" t="s">
        <v>81</v>
      </c>
      <c r="G1856" s="85" t="str">
        <f>TEXT(Table7[[#This Row],[EXPIRY DATE]],"MMM")</f>
        <v>NA</v>
      </c>
      <c r="H1856" s="85" t="str">
        <f>TEXT(Table7[[#This Row],[EXPIRY DATE]],"YYY")</f>
        <v>NA</v>
      </c>
      <c r="I1856" s="84" t="s">
        <v>602</v>
      </c>
      <c r="J1856" s="69"/>
    </row>
    <row r="1857" spans="1:10" ht="30.6" x14ac:dyDescent="0.3">
      <c r="A1857" s="84">
        <v>1856</v>
      </c>
      <c r="B1857" s="84" t="s">
        <v>2877</v>
      </c>
      <c r="C1857" s="92" t="s">
        <v>147</v>
      </c>
      <c r="D1857" s="119" t="s">
        <v>2878</v>
      </c>
      <c r="E1857" s="93"/>
      <c r="F1857" s="93" t="s">
        <v>766</v>
      </c>
      <c r="G1857" s="93" t="str">
        <f>TEXT(Table7[[#This Row],[EXPIRY DATE]],"MMM")</f>
        <v>CLOSED</v>
      </c>
      <c r="H1857" s="93" t="str">
        <f>TEXT(Table7[[#This Row],[EXPIRY DATE]],"YYY")</f>
        <v>CLOSED</v>
      </c>
      <c r="I1857" s="92" t="s">
        <v>602</v>
      </c>
      <c r="J1857" s="75"/>
    </row>
    <row r="1858" spans="1:10" ht="30.6" x14ac:dyDescent="0.3">
      <c r="A1858" s="84">
        <v>1857</v>
      </c>
      <c r="B1858" s="84" t="s">
        <v>2877</v>
      </c>
      <c r="C1858" s="92" t="s">
        <v>147</v>
      </c>
      <c r="D1858" s="119" t="s">
        <v>2878</v>
      </c>
      <c r="E1858" s="93"/>
      <c r="F1858" s="93" t="s">
        <v>766</v>
      </c>
      <c r="G1858" s="93" t="str">
        <f>TEXT(Table7[[#This Row],[EXPIRY DATE]],"MMM")</f>
        <v>CLOSED</v>
      </c>
      <c r="H1858" s="93" t="str">
        <f>TEXT(Table7[[#This Row],[EXPIRY DATE]],"YYY")</f>
        <v>CLOSED</v>
      </c>
      <c r="I1858" s="93" t="s">
        <v>791</v>
      </c>
      <c r="J1858" s="75"/>
    </row>
    <row r="1859" spans="1:10" x14ac:dyDescent="0.3">
      <c r="A1859" s="84">
        <v>1858</v>
      </c>
      <c r="B1859" s="84" t="s">
        <v>2790</v>
      </c>
      <c r="C1859" s="84" t="s">
        <v>147</v>
      </c>
      <c r="D1859" s="115" t="s">
        <v>2791</v>
      </c>
      <c r="E1859" s="85" t="s">
        <v>1172</v>
      </c>
      <c r="F1859" s="84" t="s">
        <v>629</v>
      </c>
      <c r="G1859" s="85" t="s">
        <v>629</v>
      </c>
      <c r="H1859" s="85" t="str">
        <f>TEXT(Table7[[#This Row],[EXPIRY DATE]],"YYY")</f>
        <v>LIFETIME</v>
      </c>
      <c r="I1859" s="84" t="s">
        <v>602</v>
      </c>
      <c r="J1859" s="69"/>
    </row>
    <row r="1860" spans="1:10" ht="51" x14ac:dyDescent="0.3">
      <c r="A1860" s="84">
        <v>1859</v>
      </c>
      <c r="B1860" s="84" t="s">
        <v>2879</v>
      </c>
      <c r="C1860" s="84" t="s">
        <v>147</v>
      </c>
      <c r="D1860" s="115" t="s">
        <v>2880</v>
      </c>
      <c r="E1860" s="85"/>
      <c r="F1860" s="85" t="s">
        <v>2851</v>
      </c>
      <c r="G1860" s="85" t="str">
        <f>TEXT(Table7[[#This Row],[EXPIRY DATE]],"MMM")</f>
        <v>DONE BY WOW MOMO</v>
      </c>
      <c r="H1860" s="85" t="str">
        <f>TEXT(Table7[[#This Row],[EXPIRY DATE]],"YYY")</f>
        <v>DONE BY WOW MOMO</v>
      </c>
      <c r="I1860" s="84" t="s">
        <v>602</v>
      </c>
      <c r="J1860" s="69"/>
    </row>
    <row r="1861" spans="1:10" x14ac:dyDescent="0.3">
      <c r="A1861" s="84">
        <v>1860</v>
      </c>
      <c r="B1861" s="84" t="s">
        <v>2879</v>
      </c>
      <c r="C1861" s="84" t="s">
        <v>147</v>
      </c>
      <c r="D1861" s="115" t="s">
        <v>2881</v>
      </c>
      <c r="E1861" s="85" t="s">
        <v>616</v>
      </c>
      <c r="F1861" s="85" t="s">
        <v>2851</v>
      </c>
      <c r="G1861" s="85" t="str">
        <f>TEXT(Table7[[#This Row],[EXPIRY DATE]],"MMM")</f>
        <v>DONE BY WOW MOMO</v>
      </c>
      <c r="H1861" s="85" t="str">
        <f>TEXT(Table7[[#This Row],[EXPIRY DATE]],"YYY")</f>
        <v>DONE BY WOW MOMO</v>
      </c>
      <c r="I1861" s="85" t="s">
        <v>791</v>
      </c>
      <c r="J1861" s="69"/>
    </row>
    <row r="1862" spans="1:10" x14ac:dyDescent="0.3">
      <c r="A1862" s="84">
        <v>1861</v>
      </c>
      <c r="B1862" s="84" t="s">
        <v>2882</v>
      </c>
      <c r="C1862" s="84" t="s">
        <v>147</v>
      </c>
      <c r="D1862" s="115" t="s">
        <v>2883</v>
      </c>
      <c r="E1862" s="85"/>
      <c r="F1862" s="85" t="s">
        <v>2851</v>
      </c>
      <c r="G1862" s="85" t="str">
        <f>TEXT(Table7[[#This Row],[EXPIRY DATE]],"MMM")</f>
        <v>DONE BY WOW MOMO</v>
      </c>
      <c r="H1862" s="85" t="str">
        <f>TEXT(Table7[[#This Row],[EXPIRY DATE]],"YYY")</f>
        <v>DONE BY WOW MOMO</v>
      </c>
      <c r="I1862" s="84" t="s">
        <v>602</v>
      </c>
      <c r="J1862" s="69"/>
    </row>
    <row r="1863" spans="1:10" x14ac:dyDescent="0.3">
      <c r="A1863" s="84">
        <v>1862</v>
      </c>
      <c r="B1863" s="84" t="s">
        <v>2882</v>
      </c>
      <c r="C1863" s="84" t="s">
        <v>147</v>
      </c>
      <c r="D1863" s="115" t="s">
        <v>2883</v>
      </c>
      <c r="E1863" s="85" t="s">
        <v>2884</v>
      </c>
      <c r="F1863" s="85" t="s">
        <v>817</v>
      </c>
      <c r="G1863" s="85" t="str">
        <f>TEXT(Table7[[#This Row],[EXPIRY DATE]],"MMM")</f>
        <v>DORMANT</v>
      </c>
      <c r="H1863" s="85" t="str">
        <f>TEXT(Table7[[#This Row],[EXPIRY DATE]],"YYY")</f>
        <v>DORMANT</v>
      </c>
      <c r="I1863" s="85" t="s">
        <v>791</v>
      </c>
      <c r="J1863" s="69"/>
    </row>
    <row r="1864" spans="1:10" x14ac:dyDescent="0.3">
      <c r="A1864" s="84">
        <v>1863</v>
      </c>
      <c r="B1864" s="84" t="s">
        <v>2882</v>
      </c>
      <c r="C1864" s="84" t="s">
        <v>147</v>
      </c>
      <c r="D1864" s="115" t="s">
        <v>2885</v>
      </c>
      <c r="E1864" s="85" t="s">
        <v>2884</v>
      </c>
      <c r="F1864" s="85" t="s">
        <v>2851</v>
      </c>
      <c r="G1864" s="85" t="str">
        <f>TEXT(Table7[[#This Row],[EXPIRY DATE]],"MMM")</f>
        <v>DONE BY WOW MOMO</v>
      </c>
      <c r="H1864" s="85" t="str">
        <f>TEXT(Table7[[#This Row],[EXPIRY DATE]],"YYY")</f>
        <v>DONE BY WOW MOMO</v>
      </c>
      <c r="I1864" s="84" t="s">
        <v>607</v>
      </c>
      <c r="J1864" s="69"/>
    </row>
    <row r="1865" spans="1:10" x14ac:dyDescent="0.3">
      <c r="A1865" s="84">
        <v>1864</v>
      </c>
      <c r="B1865" s="84" t="s">
        <v>2726</v>
      </c>
      <c r="C1865" s="84" t="s">
        <v>147</v>
      </c>
      <c r="D1865" s="115" t="s">
        <v>2727</v>
      </c>
      <c r="E1865" s="85"/>
      <c r="F1865" s="85" t="s">
        <v>2851</v>
      </c>
      <c r="G1865" s="85" t="str">
        <f>TEXT(Table7[[#This Row],[EXPIRY DATE]],"MMM")</f>
        <v>DONE BY WOW MOMO</v>
      </c>
      <c r="H1865" s="85" t="str">
        <f>TEXT(Table7[[#This Row],[EXPIRY DATE]],"YYY")</f>
        <v>DONE BY WOW MOMO</v>
      </c>
      <c r="I1865" s="84" t="s">
        <v>602</v>
      </c>
      <c r="J1865" s="69"/>
    </row>
    <row r="1866" spans="1:10" x14ac:dyDescent="0.3">
      <c r="A1866" s="84">
        <v>1865</v>
      </c>
      <c r="B1866" s="84" t="s">
        <v>2886</v>
      </c>
      <c r="C1866" s="84" t="s">
        <v>147</v>
      </c>
      <c r="D1866" s="115" t="s">
        <v>2887</v>
      </c>
      <c r="E1866" s="85" t="s">
        <v>616</v>
      </c>
      <c r="F1866" s="85" t="s">
        <v>2851</v>
      </c>
      <c r="G1866" s="85" t="s">
        <v>619</v>
      </c>
      <c r="H1866" s="85" t="str">
        <f>TEXT(Table7[[#This Row],[EXPIRY DATE]],"YYY")</f>
        <v>DONE BY WOW MOMO</v>
      </c>
      <c r="I1866" s="84" t="s">
        <v>602</v>
      </c>
      <c r="J1866" s="69"/>
    </row>
    <row r="1867" spans="1:10" x14ac:dyDescent="0.3">
      <c r="A1867" s="84">
        <v>1866</v>
      </c>
      <c r="B1867" s="84" t="s">
        <v>2886</v>
      </c>
      <c r="C1867" s="84" t="s">
        <v>147</v>
      </c>
      <c r="D1867" s="115" t="s">
        <v>2887</v>
      </c>
      <c r="E1867" s="85" t="s">
        <v>616</v>
      </c>
      <c r="F1867" s="85" t="s">
        <v>2851</v>
      </c>
      <c r="G1867" s="85" t="s">
        <v>619</v>
      </c>
      <c r="H1867" s="85" t="str">
        <f>TEXT(Table7[[#This Row],[EXPIRY DATE]],"YYY")</f>
        <v>DONE BY WOW MOMO</v>
      </c>
      <c r="I1867" s="85" t="s">
        <v>791</v>
      </c>
      <c r="J1867" s="69"/>
    </row>
    <row r="1868" spans="1:10" x14ac:dyDescent="0.3">
      <c r="A1868" s="84">
        <v>1867</v>
      </c>
      <c r="B1868" s="84" t="s">
        <v>2886</v>
      </c>
      <c r="C1868" s="84" t="s">
        <v>147</v>
      </c>
      <c r="D1868" s="115" t="s">
        <v>2887</v>
      </c>
      <c r="E1868" s="85" t="s">
        <v>616</v>
      </c>
      <c r="F1868" s="85" t="s">
        <v>81</v>
      </c>
      <c r="G1868" s="85" t="str">
        <f>TEXT(Table7[[#This Row],[EXPIRY DATE]],"MMM")</f>
        <v>NA</v>
      </c>
      <c r="H1868" s="85" t="str">
        <f>TEXT(Table7[[#This Row],[EXPIRY DATE]],"YYY")</f>
        <v>NA</v>
      </c>
      <c r="I1868" s="84" t="s">
        <v>621</v>
      </c>
      <c r="J1868" s="69"/>
    </row>
    <row r="1869" spans="1:10" x14ac:dyDescent="0.3">
      <c r="A1869" s="84">
        <v>1868</v>
      </c>
      <c r="B1869" s="84" t="s">
        <v>2886</v>
      </c>
      <c r="C1869" s="84" t="s">
        <v>147</v>
      </c>
      <c r="D1869" s="115" t="s">
        <v>2887</v>
      </c>
      <c r="E1869" s="85" t="s">
        <v>616</v>
      </c>
      <c r="F1869" s="85" t="s">
        <v>817</v>
      </c>
      <c r="G1869" s="85" t="str">
        <f>TEXT(Table7[[#This Row],[EXPIRY DATE]],"MMM")</f>
        <v>DORMANT</v>
      </c>
      <c r="H1869" s="85" t="str">
        <f>TEXT(Table7[[#This Row],[EXPIRY DATE]],"YYY")</f>
        <v>DORMANT</v>
      </c>
      <c r="I1869" s="84" t="s">
        <v>839</v>
      </c>
      <c r="J1869" s="69"/>
    </row>
    <row r="1870" spans="1:10" x14ac:dyDescent="0.3">
      <c r="A1870" s="84">
        <v>1869</v>
      </c>
      <c r="B1870" s="84" t="s">
        <v>2886</v>
      </c>
      <c r="C1870" s="84" t="s">
        <v>147</v>
      </c>
      <c r="D1870" s="115" t="s">
        <v>2887</v>
      </c>
      <c r="E1870" s="85" t="s">
        <v>616</v>
      </c>
      <c r="F1870" s="85" t="s">
        <v>81</v>
      </c>
      <c r="G1870" s="85" t="str">
        <f>TEXT(Table7[[#This Row],[EXPIRY DATE]],"MMM")</f>
        <v>NA</v>
      </c>
      <c r="H1870" s="85" t="str">
        <f>TEXT(Table7[[#This Row],[EXPIRY DATE]],"YYY")</f>
        <v>NA</v>
      </c>
      <c r="I1870" s="84" t="s">
        <v>592</v>
      </c>
      <c r="J1870" s="69"/>
    </row>
    <row r="1871" spans="1:10" x14ac:dyDescent="0.3">
      <c r="A1871" s="84">
        <v>1870</v>
      </c>
      <c r="B1871" s="84" t="s">
        <v>2886</v>
      </c>
      <c r="C1871" s="84" t="s">
        <v>147</v>
      </c>
      <c r="D1871" s="115" t="s">
        <v>2887</v>
      </c>
      <c r="E1871" s="85" t="s">
        <v>616</v>
      </c>
      <c r="F1871" s="85" t="s">
        <v>629</v>
      </c>
      <c r="G1871" s="85" t="str">
        <f>TEXT(Table7[[#This Row],[EXPIRY DATE]],"MMM")</f>
        <v>LIFETIME</v>
      </c>
      <c r="H1871" s="85" t="str">
        <f>TEXT(Table7[[#This Row],[EXPIRY DATE]],"YYY")</f>
        <v>LIFETIME</v>
      </c>
      <c r="I1871" s="84" t="s">
        <v>916</v>
      </c>
      <c r="J1871" s="69"/>
    </row>
    <row r="1872" spans="1:10" x14ac:dyDescent="0.3">
      <c r="A1872" s="84">
        <v>1871</v>
      </c>
      <c r="B1872" s="84" t="s">
        <v>2845</v>
      </c>
      <c r="C1872" s="92" t="s">
        <v>147</v>
      </c>
      <c r="D1872" s="119" t="s">
        <v>2846</v>
      </c>
      <c r="E1872" s="93"/>
      <c r="F1872" s="93" t="s">
        <v>766</v>
      </c>
      <c r="G1872" s="93" t="str">
        <f>TEXT(Table7[[#This Row],[EXPIRY DATE]],"MMM")</f>
        <v>CLOSED</v>
      </c>
      <c r="H1872" s="93" t="str">
        <f>TEXT(Table7[[#This Row],[EXPIRY DATE]],"YYY")</f>
        <v>CLOSED</v>
      </c>
      <c r="I1872" s="92" t="s">
        <v>602</v>
      </c>
      <c r="J1872" s="75"/>
    </row>
    <row r="1873" spans="1:10" x14ac:dyDescent="0.3">
      <c r="A1873" s="84">
        <v>1872</v>
      </c>
      <c r="B1873" s="84" t="s">
        <v>2845</v>
      </c>
      <c r="C1873" s="92" t="s">
        <v>147</v>
      </c>
      <c r="D1873" s="119" t="s">
        <v>2846</v>
      </c>
      <c r="E1873" s="93"/>
      <c r="F1873" s="93" t="s">
        <v>766</v>
      </c>
      <c r="G1873" s="93" t="str">
        <f>TEXT(Table7[[#This Row],[EXPIRY DATE]],"MMM")</f>
        <v>CLOSED</v>
      </c>
      <c r="H1873" s="93" t="str">
        <f>TEXT(Table7[[#This Row],[EXPIRY DATE]],"YYY")</f>
        <v>CLOSED</v>
      </c>
      <c r="I1873" s="92" t="s">
        <v>607</v>
      </c>
      <c r="J1873" s="75"/>
    </row>
    <row r="1874" spans="1:10" x14ac:dyDescent="0.3">
      <c r="A1874" s="84">
        <v>1873</v>
      </c>
      <c r="B1874" s="84" t="s">
        <v>2845</v>
      </c>
      <c r="C1874" s="92" t="s">
        <v>147</v>
      </c>
      <c r="D1874" s="119" t="s">
        <v>2846</v>
      </c>
      <c r="E1874" s="93"/>
      <c r="F1874" s="93" t="s">
        <v>766</v>
      </c>
      <c r="G1874" s="93" t="str">
        <f>TEXT(Table7[[#This Row],[EXPIRY DATE]],"MMM")</f>
        <v>CLOSED</v>
      </c>
      <c r="H1874" s="93" t="str">
        <f>TEXT(Table7[[#This Row],[EXPIRY DATE]],"YYY")</f>
        <v>CLOSED</v>
      </c>
      <c r="I1874" s="92" t="s">
        <v>916</v>
      </c>
      <c r="J1874" s="75"/>
    </row>
    <row r="1875" spans="1:10" x14ac:dyDescent="0.3">
      <c r="A1875" s="84">
        <v>1874</v>
      </c>
      <c r="B1875" s="84" t="s">
        <v>2847</v>
      </c>
      <c r="C1875" s="84" t="s">
        <v>147</v>
      </c>
      <c r="D1875" s="115" t="s">
        <v>2848</v>
      </c>
      <c r="E1875" s="85"/>
      <c r="F1875" s="85" t="s">
        <v>2851</v>
      </c>
      <c r="G1875" s="85" t="str">
        <f>TEXT(Table7[[#This Row],[EXPIRY DATE]],"MMM")</f>
        <v>DONE BY WOW MOMO</v>
      </c>
      <c r="H1875" s="85" t="str">
        <f>TEXT(Table7[[#This Row],[EXPIRY DATE]],"YYY")</f>
        <v>DONE BY WOW MOMO</v>
      </c>
      <c r="I1875" s="84" t="s">
        <v>602</v>
      </c>
      <c r="J1875" s="69"/>
    </row>
    <row r="1876" spans="1:10" x14ac:dyDescent="0.3">
      <c r="A1876" s="84">
        <v>1875</v>
      </c>
      <c r="B1876" s="84" t="s">
        <v>2847</v>
      </c>
      <c r="C1876" s="84" t="s">
        <v>147</v>
      </c>
      <c r="D1876" s="115" t="s">
        <v>2848</v>
      </c>
      <c r="E1876" s="85"/>
      <c r="F1876" s="85" t="s">
        <v>2851</v>
      </c>
      <c r="G1876" s="85" t="str">
        <f>TEXT(Table7[[#This Row],[EXPIRY DATE]],"MMM")</f>
        <v>DONE BY WOW MOMO</v>
      </c>
      <c r="H1876" s="85" t="str">
        <f>TEXT(Table7[[#This Row],[EXPIRY DATE]],"YYY")</f>
        <v>DONE BY WOW MOMO</v>
      </c>
      <c r="I1876" s="84" t="s">
        <v>607</v>
      </c>
      <c r="J1876" s="69"/>
    </row>
    <row r="1877" spans="1:10" x14ac:dyDescent="0.3">
      <c r="A1877" s="84">
        <v>1876</v>
      </c>
      <c r="B1877" s="84" t="s">
        <v>2714</v>
      </c>
      <c r="C1877" s="84" t="s">
        <v>147</v>
      </c>
      <c r="D1877" s="115" t="s">
        <v>2715</v>
      </c>
      <c r="E1877" s="85" t="s">
        <v>1014</v>
      </c>
      <c r="F1877" s="85" t="s">
        <v>2851</v>
      </c>
      <c r="G1877" s="85" t="str">
        <f>TEXT(Table7[[#This Row],[EXPIRY DATE]],"MMM")</f>
        <v>DONE BY WOW MOMO</v>
      </c>
      <c r="H1877" s="85" t="str">
        <f>TEXT(Table7[[#This Row],[EXPIRY DATE]],"YYY")</f>
        <v>DONE BY WOW MOMO</v>
      </c>
      <c r="I1877" s="84" t="s">
        <v>602</v>
      </c>
      <c r="J1877" s="69"/>
    </row>
    <row r="1878" spans="1:10" x14ac:dyDescent="0.3">
      <c r="A1878" s="84">
        <v>1877</v>
      </c>
      <c r="B1878" s="84" t="s">
        <v>2837</v>
      </c>
      <c r="C1878" s="84" t="s">
        <v>147</v>
      </c>
      <c r="D1878" s="115" t="s">
        <v>2838</v>
      </c>
      <c r="E1878" s="85" t="s">
        <v>616</v>
      </c>
      <c r="F1878" s="85" t="s">
        <v>2851</v>
      </c>
      <c r="G1878" s="85" t="s">
        <v>619</v>
      </c>
      <c r="H1878" s="85" t="str">
        <f>TEXT(Table7[[#This Row],[EXPIRY DATE]],"YYY")</f>
        <v>DONE BY WOW MOMO</v>
      </c>
      <c r="I1878" s="84" t="s">
        <v>602</v>
      </c>
      <c r="J1878" s="69"/>
    </row>
    <row r="1879" spans="1:10" x14ac:dyDescent="0.3">
      <c r="A1879" s="84">
        <v>1878</v>
      </c>
      <c r="B1879" s="84" t="s">
        <v>2841</v>
      </c>
      <c r="C1879" s="84" t="s">
        <v>147</v>
      </c>
      <c r="D1879" s="115" t="s">
        <v>2842</v>
      </c>
      <c r="E1879" s="85"/>
      <c r="F1879" s="85" t="s">
        <v>2851</v>
      </c>
      <c r="G1879" s="85" t="str">
        <f>TEXT(Table7[[#This Row],[EXPIRY DATE]],"MMM")</f>
        <v>DONE BY WOW MOMO</v>
      </c>
      <c r="H1879" s="85" t="str">
        <f>TEXT(Table7[[#This Row],[EXPIRY DATE]],"YYY")</f>
        <v>DONE BY WOW MOMO</v>
      </c>
      <c r="I1879" s="84" t="s">
        <v>602</v>
      </c>
      <c r="J1879" s="69"/>
    </row>
    <row r="1880" spans="1:10" x14ac:dyDescent="0.3">
      <c r="A1880" s="84">
        <v>1879</v>
      </c>
      <c r="B1880" s="84" t="s">
        <v>2888</v>
      </c>
      <c r="C1880" s="92" t="s">
        <v>147</v>
      </c>
      <c r="D1880" s="119" t="s">
        <v>2889</v>
      </c>
      <c r="E1880" s="93"/>
      <c r="F1880" s="93" t="s">
        <v>766</v>
      </c>
      <c r="G1880" s="93" t="str">
        <f>TEXT(Table7[[#This Row],[EXPIRY DATE]],"MMM")</f>
        <v>CLOSED</v>
      </c>
      <c r="H1880" s="93" t="str">
        <f>TEXT(Table7[[#This Row],[EXPIRY DATE]],"YYY")</f>
        <v>CLOSED</v>
      </c>
      <c r="I1880" s="93" t="s">
        <v>791</v>
      </c>
      <c r="J1880" s="75"/>
    </row>
    <row r="1881" spans="1:10" x14ac:dyDescent="0.3">
      <c r="A1881" s="84">
        <v>1880</v>
      </c>
      <c r="B1881" s="84" t="s">
        <v>2890</v>
      </c>
      <c r="C1881" s="92" t="s">
        <v>147</v>
      </c>
      <c r="D1881" s="119" t="s">
        <v>2891</v>
      </c>
      <c r="E1881" s="93"/>
      <c r="F1881" s="93" t="s">
        <v>766</v>
      </c>
      <c r="G1881" s="93" t="str">
        <f>TEXT(Table7[[#This Row],[EXPIRY DATE]],"MMM")</f>
        <v>CLOSED</v>
      </c>
      <c r="H1881" s="93" t="str">
        <f>TEXT(Table7[[#This Row],[EXPIRY DATE]],"YYY")</f>
        <v>CLOSED</v>
      </c>
      <c r="I1881" s="92" t="s">
        <v>602</v>
      </c>
      <c r="J1881" s="75"/>
    </row>
    <row r="1882" spans="1:10" x14ac:dyDescent="0.3">
      <c r="A1882" s="84">
        <v>1881</v>
      </c>
      <c r="B1882" s="84" t="s">
        <v>2890</v>
      </c>
      <c r="C1882" s="92" t="s">
        <v>147</v>
      </c>
      <c r="D1882" s="119" t="s">
        <v>2891</v>
      </c>
      <c r="E1882" s="93"/>
      <c r="F1882" s="93" t="s">
        <v>766</v>
      </c>
      <c r="G1882" s="93" t="str">
        <f>TEXT(Table7[[#This Row],[EXPIRY DATE]],"MMM")</f>
        <v>CLOSED</v>
      </c>
      <c r="H1882" s="93" t="str">
        <f>TEXT(Table7[[#This Row],[EXPIRY DATE]],"YYY")</f>
        <v>CLOSED</v>
      </c>
      <c r="I1882" s="93" t="s">
        <v>791</v>
      </c>
      <c r="J1882" s="75"/>
    </row>
    <row r="1883" spans="1:10" x14ac:dyDescent="0.3">
      <c r="A1883" s="84">
        <v>1882</v>
      </c>
      <c r="B1883" s="84" t="s">
        <v>2825</v>
      </c>
      <c r="C1883" s="84" t="s">
        <v>147</v>
      </c>
      <c r="D1883" s="115" t="s">
        <v>2826</v>
      </c>
      <c r="E1883" s="85" t="s">
        <v>616</v>
      </c>
      <c r="F1883" s="85" t="s">
        <v>2851</v>
      </c>
      <c r="G1883" s="85" t="s">
        <v>619</v>
      </c>
      <c r="H1883" s="85" t="str">
        <f>TEXT(Table7[[#This Row],[EXPIRY DATE]],"YYY")</f>
        <v>DONE BY WOW MOMO</v>
      </c>
      <c r="I1883" s="84" t="s">
        <v>602</v>
      </c>
      <c r="J1883" s="69"/>
    </row>
    <row r="1884" spans="1:10" x14ac:dyDescent="0.3">
      <c r="A1884" s="84">
        <v>1883</v>
      </c>
      <c r="B1884" s="84" t="s">
        <v>2825</v>
      </c>
      <c r="C1884" s="84" t="s">
        <v>147</v>
      </c>
      <c r="D1884" s="115" t="s">
        <v>2826</v>
      </c>
      <c r="E1884" s="85" t="s">
        <v>616</v>
      </c>
      <c r="F1884" s="85" t="s">
        <v>2851</v>
      </c>
      <c r="G1884" s="85" t="str">
        <f>TEXT(Table7[[#This Row],[EXPIRY DATE]],"MMM")</f>
        <v>DONE BY WOW MOMO</v>
      </c>
      <c r="H1884" s="85" t="str">
        <f>TEXT(Table7[[#This Row],[EXPIRY DATE]],"YYY")</f>
        <v>DONE BY WOW MOMO</v>
      </c>
      <c r="I1884" s="84" t="s">
        <v>839</v>
      </c>
      <c r="J1884" s="69"/>
    </row>
    <row r="1885" spans="1:10" x14ac:dyDescent="0.3">
      <c r="A1885" s="84">
        <v>1884</v>
      </c>
      <c r="B1885" s="84" t="s">
        <v>2825</v>
      </c>
      <c r="C1885" s="84" t="s">
        <v>147</v>
      </c>
      <c r="D1885" s="115" t="s">
        <v>2826</v>
      </c>
      <c r="E1885" s="85" t="s">
        <v>616</v>
      </c>
      <c r="F1885" s="85" t="s">
        <v>629</v>
      </c>
      <c r="G1885" s="85" t="str">
        <f>TEXT(Table7[[#This Row],[EXPIRY DATE]],"MMM")</f>
        <v>LIFETIME</v>
      </c>
      <c r="H1885" s="85" t="str">
        <f>TEXT(Table7[[#This Row],[EXPIRY DATE]],"YYY")</f>
        <v>LIFETIME</v>
      </c>
      <c r="I1885" s="84" t="s">
        <v>916</v>
      </c>
      <c r="J1885" s="69"/>
    </row>
    <row r="1886" spans="1:10" x14ac:dyDescent="0.3">
      <c r="A1886" s="84">
        <v>1885</v>
      </c>
      <c r="B1886" s="84" t="s">
        <v>2829</v>
      </c>
      <c r="C1886" s="84" t="s">
        <v>147</v>
      </c>
      <c r="D1886" s="115" t="s">
        <v>2830</v>
      </c>
      <c r="E1886" s="85"/>
      <c r="F1886" s="85" t="s">
        <v>2851</v>
      </c>
      <c r="G1886" s="85" t="str">
        <f>TEXT(Table7[[#This Row],[EXPIRY DATE]],"MMM")</f>
        <v>DONE BY WOW MOMO</v>
      </c>
      <c r="H1886" s="85" t="str">
        <f>TEXT(Table7[[#This Row],[EXPIRY DATE]],"YYY")</f>
        <v>DONE BY WOW MOMO</v>
      </c>
      <c r="I1886" s="84" t="s">
        <v>602</v>
      </c>
      <c r="J1886" s="69"/>
    </row>
    <row r="1887" spans="1:10" x14ac:dyDescent="0.3">
      <c r="A1887" s="84">
        <v>1886</v>
      </c>
      <c r="B1887" s="84" t="s">
        <v>2892</v>
      </c>
      <c r="C1887" s="92" t="s">
        <v>147</v>
      </c>
      <c r="D1887" s="119" t="s">
        <v>2893</v>
      </c>
      <c r="E1887" s="93"/>
      <c r="F1887" s="93" t="s">
        <v>766</v>
      </c>
      <c r="G1887" s="93" t="str">
        <f>TEXT(Table7[[#This Row],[EXPIRY DATE]],"MMM")</f>
        <v>CLOSED</v>
      </c>
      <c r="H1887" s="93" t="str">
        <f>TEXT(Table7[[#This Row],[EXPIRY DATE]],"YYY")</f>
        <v>CLOSED</v>
      </c>
      <c r="I1887" s="92" t="s">
        <v>602</v>
      </c>
      <c r="J1887" s="75"/>
    </row>
    <row r="1888" spans="1:10" x14ac:dyDescent="0.3">
      <c r="A1888" s="84">
        <v>1887</v>
      </c>
      <c r="B1888" s="84" t="s">
        <v>2892</v>
      </c>
      <c r="C1888" s="92" t="s">
        <v>147</v>
      </c>
      <c r="D1888" s="119" t="s">
        <v>2893</v>
      </c>
      <c r="E1888" s="93"/>
      <c r="F1888" s="93" t="s">
        <v>766</v>
      </c>
      <c r="G1888" s="93" t="str">
        <f>TEXT(Table7[[#This Row],[EXPIRY DATE]],"MMM")</f>
        <v>CLOSED</v>
      </c>
      <c r="H1888" s="93" t="str">
        <f>TEXT(Table7[[#This Row],[EXPIRY DATE]],"YYY")</f>
        <v>CLOSED</v>
      </c>
      <c r="I1888" s="93" t="s">
        <v>791</v>
      </c>
      <c r="J1888" s="75"/>
    </row>
    <row r="1889" spans="1:10" x14ac:dyDescent="0.3">
      <c r="A1889" s="84">
        <v>1888</v>
      </c>
      <c r="B1889" s="84" t="s">
        <v>2892</v>
      </c>
      <c r="C1889" s="92" t="s">
        <v>147</v>
      </c>
      <c r="D1889" s="119" t="s">
        <v>2893</v>
      </c>
      <c r="E1889" s="93"/>
      <c r="F1889" s="93" t="s">
        <v>766</v>
      </c>
      <c r="G1889" s="93" t="str">
        <f>TEXT(Table7[[#This Row],[EXPIRY DATE]],"MMM")</f>
        <v>CLOSED</v>
      </c>
      <c r="H1889" s="93" t="str">
        <f>TEXT(Table7[[#This Row],[EXPIRY DATE]],"YYY")</f>
        <v>CLOSED</v>
      </c>
      <c r="I1889" s="92" t="s">
        <v>607</v>
      </c>
      <c r="J1889" s="75"/>
    </row>
    <row r="1890" spans="1:10" x14ac:dyDescent="0.3">
      <c r="A1890" s="84">
        <v>1889</v>
      </c>
      <c r="B1890" s="84" t="s">
        <v>2892</v>
      </c>
      <c r="C1890" s="92" t="s">
        <v>147</v>
      </c>
      <c r="D1890" s="119" t="s">
        <v>2893</v>
      </c>
      <c r="E1890" s="93"/>
      <c r="F1890" s="93" t="s">
        <v>766</v>
      </c>
      <c r="G1890" s="93" t="str">
        <f>TEXT(Table7[[#This Row],[EXPIRY DATE]],"MMM")</f>
        <v>CLOSED</v>
      </c>
      <c r="H1890" s="93" t="str">
        <f>TEXT(Table7[[#This Row],[EXPIRY DATE]],"YYY")</f>
        <v>CLOSED</v>
      </c>
      <c r="I1890" s="92" t="s">
        <v>916</v>
      </c>
      <c r="J1890" s="75"/>
    </row>
    <row r="1891" spans="1:10" x14ac:dyDescent="0.3">
      <c r="A1891" s="84">
        <v>1890</v>
      </c>
      <c r="B1891" s="84" t="s">
        <v>2831</v>
      </c>
      <c r="C1891" s="84" t="s">
        <v>147</v>
      </c>
      <c r="D1891" s="115" t="s">
        <v>2832</v>
      </c>
      <c r="E1891" s="85" t="s">
        <v>616</v>
      </c>
      <c r="F1891" s="85" t="s">
        <v>2851</v>
      </c>
      <c r="G1891" s="85" t="s">
        <v>619</v>
      </c>
      <c r="H1891" s="85" t="str">
        <f>TEXT(Table7[[#This Row],[EXPIRY DATE]],"YYY")</f>
        <v>DONE BY WOW MOMO</v>
      </c>
      <c r="I1891" s="84" t="s">
        <v>602</v>
      </c>
      <c r="J1891" s="69"/>
    </row>
    <row r="1892" spans="1:10" ht="20.399999999999999" x14ac:dyDescent="0.3">
      <c r="A1892" s="84">
        <v>1891</v>
      </c>
      <c r="B1892" s="84" t="s">
        <v>2835</v>
      </c>
      <c r="C1892" s="84" t="s">
        <v>147</v>
      </c>
      <c r="D1892" s="115" t="s">
        <v>2836</v>
      </c>
      <c r="E1892" s="85"/>
      <c r="F1892" s="85" t="s">
        <v>2851</v>
      </c>
      <c r="G1892" s="85" t="str">
        <f>TEXT(Table7[[#This Row],[EXPIRY DATE]],"MMM")</f>
        <v>DONE BY WOW MOMO</v>
      </c>
      <c r="H1892" s="85" t="str">
        <f>TEXT(Table7[[#This Row],[EXPIRY DATE]],"YYY")</f>
        <v>DONE BY WOW MOMO</v>
      </c>
      <c r="I1892" s="84" t="s">
        <v>602</v>
      </c>
      <c r="J1892" s="69"/>
    </row>
    <row r="1893" spans="1:10" x14ac:dyDescent="0.3">
      <c r="A1893" s="84">
        <v>1892</v>
      </c>
      <c r="B1893" s="84" t="s">
        <v>2823</v>
      </c>
      <c r="C1893" s="84" t="s">
        <v>147</v>
      </c>
      <c r="D1893" s="115" t="s">
        <v>2824</v>
      </c>
      <c r="E1893" s="85" t="s">
        <v>885</v>
      </c>
      <c r="F1893" s="85" t="s">
        <v>2851</v>
      </c>
      <c r="G1893" s="85" t="s">
        <v>619</v>
      </c>
      <c r="H1893" s="85" t="str">
        <f>TEXT(Table7[[#This Row],[EXPIRY DATE]],"YYY")</f>
        <v>DONE BY WOW MOMO</v>
      </c>
      <c r="I1893" s="84" t="s">
        <v>602</v>
      </c>
      <c r="J1893" s="69"/>
    </row>
    <row r="1894" spans="1:10" ht="20.399999999999999" x14ac:dyDescent="0.3">
      <c r="A1894" s="84">
        <v>1893</v>
      </c>
      <c r="B1894" s="84" t="s">
        <v>2894</v>
      </c>
      <c r="C1894" s="92" t="s">
        <v>147</v>
      </c>
      <c r="D1894" s="119" t="s">
        <v>2895</v>
      </c>
      <c r="E1894" s="93"/>
      <c r="F1894" s="93" t="s">
        <v>766</v>
      </c>
      <c r="G1894" s="93" t="str">
        <f>TEXT(Table7[[#This Row],[EXPIRY DATE]],"MMM")</f>
        <v>CLOSED</v>
      </c>
      <c r="H1894" s="93" t="str">
        <f>TEXT(Table7[[#This Row],[EXPIRY DATE]],"YYY")</f>
        <v>CLOSED</v>
      </c>
      <c r="I1894" s="92" t="s">
        <v>602</v>
      </c>
      <c r="J1894" s="75"/>
    </row>
    <row r="1895" spans="1:10" ht="20.399999999999999" x14ac:dyDescent="0.3">
      <c r="A1895" s="84">
        <v>1894</v>
      </c>
      <c r="B1895" s="84" t="s">
        <v>2894</v>
      </c>
      <c r="C1895" s="92" t="s">
        <v>147</v>
      </c>
      <c r="D1895" s="119" t="s">
        <v>2895</v>
      </c>
      <c r="E1895" s="93"/>
      <c r="F1895" s="93" t="s">
        <v>766</v>
      </c>
      <c r="G1895" s="93" t="str">
        <f>TEXT(Table7[[#This Row],[EXPIRY DATE]],"MMM")</f>
        <v>CLOSED</v>
      </c>
      <c r="H1895" s="93" t="str">
        <f>TEXT(Table7[[#This Row],[EXPIRY DATE]],"YYY")</f>
        <v>CLOSED</v>
      </c>
      <c r="I1895" s="93" t="s">
        <v>791</v>
      </c>
      <c r="J1895" s="75"/>
    </row>
    <row r="1896" spans="1:10" ht="20.399999999999999" x14ac:dyDescent="0.3">
      <c r="A1896" s="84">
        <v>1895</v>
      </c>
      <c r="B1896" s="84" t="s">
        <v>2894</v>
      </c>
      <c r="C1896" s="92" t="s">
        <v>147</v>
      </c>
      <c r="D1896" s="119" t="s">
        <v>2895</v>
      </c>
      <c r="E1896" s="93"/>
      <c r="F1896" s="93" t="s">
        <v>766</v>
      </c>
      <c r="G1896" s="93" t="str">
        <f>TEXT(Table7[[#This Row],[EXPIRY DATE]],"MMM")</f>
        <v>CLOSED</v>
      </c>
      <c r="H1896" s="93" t="str">
        <f>TEXT(Table7[[#This Row],[EXPIRY DATE]],"YYY")</f>
        <v>CLOSED</v>
      </c>
      <c r="I1896" s="92" t="s">
        <v>607</v>
      </c>
      <c r="J1896" s="75"/>
    </row>
    <row r="1897" spans="1:10" ht="20.399999999999999" x14ac:dyDescent="0.3">
      <c r="A1897" s="84">
        <v>1896</v>
      </c>
      <c r="B1897" s="84" t="s">
        <v>2894</v>
      </c>
      <c r="C1897" s="92" t="s">
        <v>147</v>
      </c>
      <c r="D1897" s="119" t="s">
        <v>2895</v>
      </c>
      <c r="E1897" s="93"/>
      <c r="F1897" s="93" t="s">
        <v>766</v>
      </c>
      <c r="G1897" s="93" t="str">
        <f>TEXT(Table7[[#This Row],[EXPIRY DATE]],"MMM")</f>
        <v>CLOSED</v>
      </c>
      <c r="H1897" s="93" t="str">
        <f>TEXT(Table7[[#This Row],[EXPIRY DATE]],"YYY")</f>
        <v>CLOSED</v>
      </c>
      <c r="I1897" s="92" t="s">
        <v>916</v>
      </c>
      <c r="J1897" s="75"/>
    </row>
    <row r="1898" spans="1:10" x14ac:dyDescent="0.3">
      <c r="A1898" s="84">
        <v>1897</v>
      </c>
      <c r="B1898" s="84" t="s">
        <v>2708</v>
      </c>
      <c r="C1898" s="84" t="s">
        <v>147</v>
      </c>
      <c r="D1898" s="115" t="s">
        <v>2709</v>
      </c>
      <c r="E1898" s="85" t="s">
        <v>616</v>
      </c>
      <c r="F1898" s="85" t="s">
        <v>2851</v>
      </c>
      <c r="G1898" s="85" t="s">
        <v>619</v>
      </c>
      <c r="H1898" s="85" t="str">
        <f>TEXT(Table7[[#This Row],[EXPIRY DATE]],"YYY")</f>
        <v>DONE BY WOW MOMO</v>
      </c>
      <c r="I1898" s="84" t="s">
        <v>602</v>
      </c>
      <c r="J1898" s="69"/>
    </row>
    <row r="1899" spans="1:10" x14ac:dyDescent="0.3">
      <c r="A1899" s="84">
        <v>1898</v>
      </c>
      <c r="B1899" s="84" t="s">
        <v>2753</v>
      </c>
      <c r="C1899" s="92" t="s">
        <v>147</v>
      </c>
      <c r="D1899" s="119" t="s">
        <v>2754</v>
      </c>
      <c r="E1899" s="93"/>
      <c r="F1899" s="93" t="s">
        <v>766</v>
      </c>
      <c r="G1899" s="93" t="str">
        <f>TEXT(Table7[[#This Row],[EXPIRY DATE]],"MMM")</f>
        <v>CLOSED</v>
      </c>
      <c r="H1899" s="93" t="str">
        <f>TEXT(Table7[[#This Row],[EXPIRY DATE]],"YYY")</f>
        <v>CLOSED</v>
      </c>
      <c r="I1899" s="92" t="s">
        <v>602</v>
      </c>
      <c r="J1899" s="75"/>
    </row>
    <row r="1900" spans="1:10" x14ac:dyDescent="0.3">
      <c r="A1900" s="84">
        <v>1899</v>
      </c>
      <c r="B1900" s="84" t="s">
        <v>2753</v>
      </c>
      <c r="C1900" s="92" t="s">
        <v>147</v>
      </c>
      <c r="D1900" s="119" t="s">
        <v>2754</v>
      </c>
      <c r="E1900" s="93"/>
      <c r="F1900" s="93" t="s">
        <v>766</v>
      </c>
      <c r="G1900" s="93" t="str">
        <f>TEXT(Table7[[#This Row],[EXPIRY DATE]],"MMM")</f>
        <v>CLOSED</v>
      </c>
      <c r="H1900" s="93" t="str">
        <f>TEXT(Table7[[#This Row],[EXPIRY DATE]],"YYY")</f>
        <v>CLOSED</v>
      </c>
      <c r="I1900" s="92" t="s">
        <v>916</v>
      </c>
      <c r="J1900" s="75"/>
    </row>
    <row r="1901" spans="1:10" x14ac:dyDescent="0.3">
      <c r="A1901" s="84">
        <v>1900</v>
      </c>
      <c r="B1901" s="84" t="s">
        <v>2839</v>
      </c>
      <c r="C1901" s="84" t="s">
        <v>147</v>
      </c>
      <c r="D1901" s="115" t="s">
        <v>2840</v>
      </c>
      <c r="E1901" s="85" t="s">
        <v>1175</v>
      </c>
      <c r="F1901" s="85" t="s">
        <v>2851</v>
      </c>
      <c r="G1901" s="85" t="str">
        <f>TEXT(Table7[[#This Row],[EXPIRY DATE]],"MMM")</f>
        <v>DONE BY WOW MOMO</v>
      </c>
      <c r="H1901" s="85" t="str">
        <f>TEXT(Table7[[#This Row],[EXPIRY DATE]],"YYY")</f>
        <v>DONE BY WOW MOMO</v>
      </c>
      <c r="I1901" s="84" t="s">
        <v>602</v>
      </c>
      <c r="J1901" s="69"/>
    </row>
    <row r="1902" spans="1:10" x14ac:dyDescent="0.3">
      <c r="A1902" s="84">
        <v>1901</v>
      </c>
      <c r="B1902" s="84" t="s">
        <v>2821</v>
      </c>
      <c r="C1902" s="84" t="s">
        <v>147</v>
      </c>
      <c r="D1902" s="115" t="s">
        <v>2822</v>
      </c>
      <c r="E1902" s="85" t="s">
        <v>1175</v>
      </c>
      <c r="F1902" s="85" t="s">
        <v>2851</v>
      </c>
      <c r="G1902" s="85" t="str">
        <f>TEXT(Table7[[#This Row],[EXPIRY DATE]],"MMM")</f>
        <v>DONE BY WOW MOMO</v>
      </c>
      <c r="H1902" s="85" t="str">
        <f>TEXT(Table7[[#This Row],[EXPIRY DATE]],"YYY")</f>
        <v>DONE BY WOW MOMO</v>
      </c>
      <c r="I1902" s="84" t="s">
        <v>602</v>
      </c>
      <c r="J1902" s="69"/>
    </row>
    <row r="1903" spans="1:10" x14ac:dyDescent="0.3">
      <c r="A1903" s="84">
        <v>1902</v>
      </c>
      <c r="B1903" s="84" t="s">
        <v>2716</v>
      </c>
      <c r="C1903" s="84" t="s">
        <v>147</v>
      </c>
      <c r="D1903" s="115" t="s">
        <v>2717</v>
      </c>
      <c r="E1903" s="85" t="s">
        <v>1014</v>
      </c>
      <c r="F1903" s="85" t="s">
        <v>2851</v>
      </c>
      <c r="G1903" s="85" t="str">
        <f>TEXT(Table7[[#This Row],[EXPIRY DATE]],"MMM")</f>
        <v>DONE BY WOW MOMO</v>
      </c>
      <c r="H1903" s="85" t="str">
        <f>TEXT(Table7[[#This Row],[EXPIRY DATE]],"YYY")</f>
        <v>DONE BY WOW MOMO</v>
      </c>
      <c r="I1903" s="84" t="s">
        <v>602</v>
      </c>
      <c r="J1903" s="69"/>
    </row>
    <row r="1904" spans="1:10" x14ac:dyDescent="0.3">
      <c r="A1904" s="84">
        <v>1903</v>
      </c>
      <c r="B1904" s="84" t="s">
        <v>2815</v>
      </c>
      <c r="C1904" s="84" t="s">
        <v>147</v>
      </c>
      <c r="D1904" s="115" t="s">
        <v>2816</v>
      </c>
      <c r="E1904" s="85" t="s">
        <v>885</v>
      </c>
      <c r="F1904" s="85" t="s">
        <v>2851</v>
      </c>
      <c r="G1904" s="85" t="s">
        <v>619</v>
      </c>
      <c r="H1904" s="85" t="str">
        <f>TEXT(Table7[[#This Row],[EXPIRY DATE]],"YYY")</f>
        <v>DONE BY WOW MOMO</v>
      </c>
      <c r="I1904" s="84" t="s">
        <v>602</v>
      </c>
      <c r="J1904" s="69"/>
    </row>
    <row r="1905" spans="1:10" ht="20.399999999999999" x14ac:dyDescent="0.3">
      <c r="A1905" s="84">
        <v>1904</v>
      </c>
      <c r="B1905" s="84" t="s">
        <v>2758</v>
      </c>
      <c r="C1905" s="84" t="s">
        <v>147</v>
      </c>
      <c r="D1905" s="115" t="s">
        <v>2759</v>
      </c>
      <c r="E1905" s="85" t="s">
        <v>2760</v>
      </c>
      <c r="F1905" s="85" t="s">
        <v>2851</v>
      </c>
      <c r="G1905" s="85" t="str">
        <f>TEXT(Table7[[#This Row],[EXPIRY DATE]],"MMM")</f>
        <v>DONE BY WOW MOMO</v>
      </c>
      <c r="H1905" s="85" t="str">
        <f>TEXT(Table7[[#This Row],[EXPIRY DATE]],"YYY")</f>
        <v>DONE BY WOW MOMO</v>
      </c>
      <c r="I1905" s="84" t="s">
        <v>602</v>
      </c>
      <c r="J1905" s="69"/>
    </row>
    <row r="1906" spans="1:10" ht="20.399999999999999" x14ac:dyDescent="0.3">
      <c r="A1906" s="84">
        <v>1905</v>
      </c>
      <c r="B1906" s="84" t="s">
        <v>2718</v>
      </c>
      <c r="C1906" s="84" t="s">
        <v>147</v>
      </c>
      <c r="D1906" s="115" t="s">
        <v>2719</v>
      </c>
      <c r="E1906" s="85" t="s">
        <v>1210</v>
      </c>
      <c r="F1906" s="85" t="s">
        <v>2851</v>
      </c>
      <c r="G1906" s="85" t="s">
        <v>619</v>
      </c>
      <c r="H1906" s="85" t="str">
        <f>TEXT(Table7[[#This Row],[EXPIRY DATE]],"YYY")</f>
        <v>DONE BY WOW MOMO</v>
      </c>
      <c r="I1906" s="84" t="s">
        <v>602</v>
      </c>
      <c r="J1906" s="69"/>
    </row>
    <row r="1907" spans="1:10" ht="20.399999999999999" x14ac:dyDescent="0.3">
      <c r="A1907" s="84">
        <v>1906</v>
      </c>
      <c r="B1907" s="84" t="s">
        <v>2718</v>
      </c>
      <c r="C1907" s="84" t="s">
        <v>147</v>
      </c>
      <c r="D1907" s="115" t="s">
        <v>2719</v>
      </c>
      <c r="E1907" s="85" t="s">
        <v>1210</v>
      </c>
      <c r="F1907" s="85" t="s">
        <v>817</v>
      </c>
      <c r="G1907" s="85" t="str">
        <f>TEXT(Table7[[#This Row],[EXPIRY DATE]],"MMM")</f>
        <v>DORMANT</v>
      </c>
      <c r="H1907" s="85" t="str">
        <f>TEXT(Table7[[#This Row],[EXPIRY DATE]],"YYY")</f>
        <v>DORMANT</v>
      </c>
      <c r="I1907" s="84" t="s">
        <v>607</v>
      </c>
      <c r="J1907" s="69"/>
    </row>
    <row r="1908" spans="1:10" x14ac:dyDescent="0.3">
      <c r="A1908" s="84">
        <v>1907</v>
      </c>
      <c r="B1908" s="84" t="s">
        <v>2812</v>
      </c>
      <c r="C1908" s="84" t="s">
        <v>147</v>
      </c>
      <c r="D1908" s="115" t="s">
        <v>2813</v>
      </c>
      <c r="E1908" s="85" t="s">
        <v>885</v>
      </c>
      <c r="F1908" s="85" t="s">
        <v>2851</v>
      </c>
      <c r="G1908" s="85" t="s">
        <v>619</v>
      </c>
      <c r="H1908" s="85" t="str">
        <f>TEXT(Table7[[#This Row],[EXPIRY DATE]],"YYY")</f>
        <v>DONE BY WOW MOMO</v>
      </c>
      <c r="I1908" s="84" t="s">
        <v>602</v>
      </c>
      <c r="J1908" s="69"/>
    </row>
    <row r="1909" spans="1:10" x14ac:dyDescent="0.3">
      <c r="A1909" s="84">
        <v>1908</v>
      </c>
      <c r="B1909" s="84" t="s">
        <v>2896</v>
      </c>
      <c r="C1909" s="92" t="s">
        <v>147</v>
      </c>
      <c r="D1909" s="119" t="s">
        <v>2818</v>
      </c>
      <c r="E1909" s="93" t="s">
        <v>885</v>
      </c>
      <c r="F1909" s="93" t="s">
        <v>766</v>
      </c>
      <c r="G1909" s="93" t="str">
        <f>TEXT(Table7[[#This Row],[EXPIRY DATE]],"MMM")</f>
        <v>CLOSED</v>
      </c>
      <c r="H1909" s="93" t="str">
        <f>TEXT(Table7[[#This Row],[EXPIRY DATE]],"YYY")</f>
        <v>CLOSED</v>
      </c>
      <c r="I1909" s="92" t="s">
        <v>602</v>
      </c>
      <c r="J1909" s="75"/>
    </row>
    <row r="1910" spans="1:10" x14ac:dyDescent="0.3">
      <c r="A1910" s="84">
        <v>1909</v>
      </c>
      <c r="B1910" s="84" t="s">
        <v>2896</v>
      </c>
      <c r="C1910" s="92" t="s">
        <v>147</v>
      </c>
      <c r="D1910" s="119" t="s">
        <v>2818</v>
      </c>
      <c r="E1910" s="93" t="s">
        <v>885</v>
      </c>
      <c r="F1910" s="93" t="s">
        <v>766</v>
      </c>
      <c r="G1910" s="93" t="str">
        <f>TEXT(Table7[[#This Row],[EXPIRY DATE]],"MMM")</f>
        <v>CLOSED</v>
      </c>
      <c r="H1910" s="93" t="str">
        <f>TEXT(Table7[[#This Row],[EXPIRY DATE]],"YYY")</f>
        <v>CLOSED</v>
      </c>
      <c r="I1910" s="92" t="s">
        <v>607</v>
      </c>
      <c r="J1910" s="75"/>
    </row>
    <row r="1911" spans="1:10" x14ac:dyDescent="0.3">
      <c r="A1911" s="84">
        <v>1910</v>
      </c>
      <c r="B1911" s="84" t="s">
        <v>2704</v>
      </c>
      <c r="C1911" s="84" t="s">
        <v>147</v>
      </c>
      <c r="D1911" s="115" t="s">
        <v>2705</v>
      </c>
      <c r="E1911" s="85" t="s">
        <v>616</v>
      </c>
      <c r="F1911" s="85" t="s">
        <v>2851</v>
      </c>
      <c r="G1911" s="85" t="s">
        <v>619</v>
      </c>
      <c r="H1911" s="85" t="str">
        <f>TEXT(Table7[[#This Row],[EXPIRY DATE]],"YYY")</f>
        <v>DONE BY WOW MOMO</v>
      </c>
      <c r="I1911" s="84" t="s">
        <v>602</v>
      </c>
      <c r="J1911" s="69"/>
    </row>
    <row r="1912" spans="1:10" x14ac:dyDescent="0.3">
      <c r="A1912" s="84">
        <v>1911</v>
      </c>
      <c r="B1912" s="84" t="s">
        <v>2704</v>
      </c>
      <c r="C1912" s="84" t="s">
        <v>147</v>
      </c>
      <c r="D1912" s="115" t="s">
        <v>2705</v>
      </c>
      <c r="E1912" s="85" t="s">
        <v>616</v>
      </c>
      <c r="F1912" s="85" t="s">
        <v>81</v>
      </c>
      <c r="G1912" s="85" t="str">
        <f>TEXT(Table7[[#This Row],[EXPIRY DATE]],"MMM")</f>
        <v>NA</v>
      </c>
      <c r="H1912" s="85" t="str">
        <f>TEXT(Table7[[#This Row],[EXPIRY DATE]],"YYY")</f>
        <v>NA</v>
      </c>
      <c r="I1912" s="84" t="s">
        <v>839</v>
      </c>
      <c r="J1912" s="69"/>
    </row>
    <row r="1913" spans="1:10" ht="20.399999999999999" x14ac:dyDescent="0.3">
      <c r="A1913" s="84">
        <v>1912</v>
      </c>
      <c r="B1913" s="84" t="s">
        <v>2712</v>
      </c>
      <c r="C1913" s="84" t="s">
        <v>147</v>
      </c>
      <c r="D1913" s="115" t="s">
        <v>2713</v>
      </c>
      <c r="E1913" s="85" t="s">
        <v>616</v>
      </c>
      <c r="F1913" s="85" t="s">
        <v>2851</v>
      </c>
      <c r="G1913" s="85" t="s">
        <v>619</v>
      </c>
      <c r="H1913" s="85" t="str">
        <f>TEXT(Table7[[#This Row],[EXPIRY DATE]],"YYY")</f>
        <v>DONE BY WOW MOMO</v>
      </c>
      <c r="I1913" s="84" t="s">
        <v>602</v>
      </c>
      <c r="J1913" s="69"/>
    </row>
    <row r="1914" spans="1:10" ht="20.399999999999999" x14ac:dyDescent="0.3">
      <c r="A1914" s="84">
        <v>1913</v>
      </c>
      <c r="B1914" s="84" t="s">
        <v>2712</v>
      </c>
      <c r="C1914" s="84" t="s">
        <v>147</v>
      </c>
      <c r="D1914" s="115" t="s">
        <v>2713</v>
      </c>
      <c r="E1914" s="85" t="s">
        <v>616</v>
      </c>
      <c r="F1914" s="85" t="s">
        <v>629</v>
      </c>
      <c r="G1914" s="85" t="str">
        <f>TEXT(Table7[[#This Row],[EXPIRY DATE]],"MMM")</f>
        <v>LIFETIME</v>
      </c>
      <c r="H1914" s="85" t="str">
        <f>TEXT(Table7[[#This Row],[EXPIRY DATE]],"YYY")</f>
        <v>LIFETIME</v>
      </c>
      <c r="I1914" s="84" t="s">
        <v>916</v>
      </c>
      <c r="J1914" s="69"/>
    </row>
    <row r="1915" spans="1:10" ht="30.6" x14ac:dyDescent="0.3">
      <c r="A1915" s="84">
        <v>1914</v>
      </c>
      <c r="B1915" s="84" t="s">
        <v>2819</v>
      </c>
      <c r="C1915" s="84" t="s">
        <v>147</v>
      </c>
      <c r="D1915" s="115" t="s">
        <v>2820</v>
      </c>
      <c r="E1915" s="85" t="s">
        <v>616</v>
      </c>
      <c r="F1915" s="85" t="s">
        <v>2851</v>
      </c>
      <c r="G1915" s="85" t="s">
        <v>619</v>
      </c>
      <c r="H1915" s="85" t="str">
        <f>TEXT(Table7[[#This Row],[EXPIRY DATE]],"YYY")</f>
        <v>DONE BY WOW MOMO</v>
      </c>
      <c r="I1915" s="84" t="s">
        <v>602</v>
      </c>
      <c r="J1915" s="69"/>
    </row>
    <row r="1916" spans="1:10" x14ac:dyDescent="0.3">
      <c r="A1916" s="84">
        <v>1915</v>
      </c>
      <c r="B1916" s="84" t="s">
        <v>2740</v>
      </c>
      <c r="C1916" s="84" t="s">
        <v>147</v>
      </c>
      <c r="D1916" s="115" t="s">
        <v>2741</v>
      </c>
      <c r="E1916" s="85" t="s">
        <v>717</v>
      </c>
      <c r="F1916" s="85" t="s">
        <v>629</v>
      </c>
      <c r="G1916" s="85" t="str">
        <f>TEXT(Table7[[#This Row],[EXPIRY DATE]],"MMM")</f>
        <v>LIFETIME</v>
      </c>
      <c r="H1916" s="85" t="str">
        <f>TEXT(Table7[[#This Row],[EXPIRY DATE]],"YYY")</f>
        <v>LIFETIME</v>
      </c>
      <c r="I1916" s="84" t="s">
        <v>916</v>
      </c>
      <c r="J1916" s="69"/>
    </row>
    <row r="1917" spans="1:10" x14ac:dyDescent="0.3">
      <c r="A1917" s="84">
        <v>1916</v>
      </c>
      <c r="B1917" s="84" t="s">
        <v>2804</v>
      </c>
      <c r="C1917" s="84" t="s">
        <v>147</v>
      </c>
      <c r="D1917" s="115" t="s">
        <v>2805</v>
      </c>
      <c r="E1917" s="85" t="s">
        <v>616</v>
      </c>
      <c r="F1917" s="85" t="s">
        <v>2851</v>
      </c>
      <c r="G1917" s="85" t="s">
        <v>619</v>
      </c>
      <c r="H1917" s="85" t="str">
        <f>TEXT(Table7[[#This Row],[EXPIRY DATE]],"YYY")</f>
        <v>DONE BY WOW MOMO</v>
      </c>
      <c r="I1917" s="84" t="s">
        <v>602</v>
      </c>
      <c r="J1917" s="69"/>
    </row>
    <row r="1918" spans="1:10" x14ac:dyDescent="0.3">
      <c r="A1918" s="84">
        <v>1917</v>
      </c>
      <c r="B1918" s="84" t="s">
        <v>2804</v>
      </c>
      <c r="C1918" s="84" t="s">
        <v>147</v>
      </c>
      <c r="D1918" s="115" t="s">
        <v>2805</v>
      </c>
      <c r="E1918" s="85" t="s">
        <v>616</v>
      </c>
      <c r="F1918" s="85" t="s">
        <v>817</v>
      </c>
      <c r="G1918" s="85" t="str">
        <f>TEXT(Table7[[#This Row],[EXPIRY DATE]],"MMM")</f>
        <v>DORMANT</v>
      </c>
      <c r="H1918" s="85" t="str">
        <f>TEXT(Table7[[#This Row],[EXPIRY DATE]],"YYY")</f>
        <v>DORMANT</v>
      </c>
      <c r="I1918" s="84" t="s">
        <v>839</v>
      </c>
      <c r="J1918" s="69"/>
    </row>
    <row r="1919" spans="1:10" x14ac:dyDescent="0.3">
      <c r="A1919" s="84">
        <v>1918</v>
      </c>
      <c r="B1919" s="84" t="s">
        <v>2804</v>
      </c>
      <c r="C1919" s="84" t="s">
        <v>147</v>
      </c>
      <c r="D1919" s="115" t="s">
        <v>2805</v>
      </c>
      <c r="E1919" s="85" t="s">
        <v>616</v>
      </c>
      <c r="F1919" s="85" t="s">
        <v>629</v>
      </c>
      <c r="G1919" s="85" t="str">
        <f>TEXT(Table7[[#This Row],[EXPIRY DATE]],"MMM")</f>
        <v>LIFETIME</v>
      </c>
      <c r="H1919" s="85" t="str">
        <f>TEXT(Table7[[#This Row],[EXPIRY DATE]],"YYY")</f>
        <v>LIFETIME</v>
      </c>
      <c r="I1919" s="84" t="s">
        <v>916</v>
      </c>
      <c r="J1919" s="69"/>
    </row>
    <row r="1920" spans="1:10" x14ac:dyDescent="0.3">
      <c r="A1920" s="84">
        <v>1919</v>
      </c>
      <c r="B1920" s="84" t="s">
        <v>2806</v>
      </c>
      <c r="C1920" s="92" t="s">
        <v>147</v>
      </c>
      <c r="D1920" s="119" t="s">
        <v>2807</v>
      </c>
      <c r="E1920" s="93"/>
      <c r="F1920" s="93" t="s">
        <v>766</v>
      </c>
      <c r="G1920" s="93" t="str">
        <f>TEXT(Table7[[#This Row],[EXPIRY DATE]],"MMM")</f>
        <v>CLOSED</v>
      </c>
      <c r="H1920" s="93" t="str">
        <f>TEXT(Table7[[#This Row],[EXPIRY DATE]],"YYY")</f>
        <v>CLOSED</v>
      </c>
      <c r="I1920" s="92" t="s">
        <v>602</v>
      </c>
      <c r="J1920" s="75"/>
    </row>
    <row r="1921" spans="1:10" x14ac:dyDescent="0.3">
      <c r="A1921" s="84">
        <v>1920</v>
      </c>
      <c r="B1921" s="84" t="s">
        <v>2802</v>
      </c>
      <c r="C1921" s="92" t="s">
        <v>147</v>
      </c>
      <c r="D1921" s="119" t="s">
        <v>2803</v>
      </c>
      <c r="E1921" s="93" t="s">
        <v>885</v>
      </c>
      <c r="F1921" s="93" t="s">
        <v>766</v>
      </c>
      <c r="G1921" s="93" t="str">
        <f>TEXT(Table7[[#This Row],[EXPIRY DATE]],"MMM")</f>
        <v>CLOSED</v>
      </c>
      <c r="H1921" s="93" t="str">
        <f>TEXT(Table7[[#This Row],[EXPIRY DATE]],"YYY")</f>
        <v>CLOSED</v>
      </c>
      <c r="I1921" s="92" t="s">
        <v>602</v>
      </c>
      <c r="J1921" s="75"/>
    </row>
    <row r="1922" spans="1:10" ht="20.399999999999999" x14ac:dyDescent="0.3">
      <c r="A1922" s="84">
        <v>1921</v>
      </c>
      <c r="B1922" s="84" t="s">
        <v>2796</v>
      </c>
      <c r="C1922" s="84" t="s">
        <v>147</v>
      </c>
      <c r="D1922" s="115" t="s">
        <v>2797</v>
      </c>
      <c r="E1922" s="85" t="s">
        <v>616</v>
      </c>
      <c r="F1922" s="85" t="s">
        <v>2851</v>
      </c>
      <c r="G1922" s="85" t="s">
        <v>619</v>
      </c>
      <c r="H1922" s="85" t="str">
        <f>TEXT(Table7[[#This Row],[EXPIRY DATE]],"YYY")</f>
        <v>DONE BY WOW MOMO</v>
      </c>
      <c r="I1922" s="84" t="s">
        <v>602</v>
      </c>
      <c r="J1922" s="69"/>
    </row>
    <row r="1923" spans="1:10" ht="20.399999999999999" x14ac:dyDescent="0.3">
      <c r="A1923" s="84">
        <v>1922</v>
      </c>
      <c r="B1923" s="84" t="s">
        <v>2796</v>
      </c>
      <c r="C1923" s="84" t="s">
        <v>147</v>
      </c>
      <c r="D1923" s="115" t="s">
        <v>2797</v>
      </c>
      <c r="E1923" s="85" t="s">
        <v>616</v>
      </c>
      <c r="F1923" s="85" t="s">
        <v>817</v>
      </c>
      <c r="G1923" s="85" t="str">
        <f>TEXT(Table7[[#This Row],[EXPIRY DATE]],"MMM")</f>
        <v>DORMANT</v>
      </c>
      <c r="H1923" s="85" t="str">
        <f>TEXT(Table7[[#This Row],[EXPIRY DATE]],"YYY")</f>
        <v>DORMANT</v>
      </c>
      <c r="I1923" s="84" t="s">
        <v>839</v>
      </c>
      <c r="J1923" s="69"/>
    </row>
    <row r="1924" spans="1:10" ht="20.399999999999999" x14ac:dyDescent="0.3">
      <c r="A1924" s="84">
        <v>1923</v>
      </c>
      <c r="B1924" s="84" t="s">
        <v>2796</v>
      </c>
      <c r="C1924" s="84" t="s">
        <v>147</v>
      </c>
      <c r="D1924" s="115" t="s">
        <v>2797</v>
      </c>
      <c r="E1924" s="85" t="s">
        <v>616</v>
      </c>
      <c r="F1924" s="85" t="s">
        <v>629</v>
      </c>
      <c r="G1924" s="85" t="str">
        <f>TEXT(Table7[[#This Row],[EXPIRY DATE]],"MMM")</f>
        <v>LIFETIME</v>
      </c>
      <c r="H1924" s="85" t="str">
        <f>TEXT(Table7[[#This Row],[EXPIRY DATE]],"YYY")</f>
        <v>LIFETIME</v>
      </c>
      <c r="I1924" s="84" t="s">
        <v>916</v>
      </c>
      <c r="J1924" s="69"/>
    </row>
    <row r="1925" spans="1:10" x14ac:dyDescent="0.3">
      <c r="A1925" s="84">
        <v>1924</v>
      </c>
      <c r="B1925" s="84" t="s">
        <v>2747</v>
      </c>
      <c r="C1925" s="84" t="s">
        <v>147</v>
      </c>
      <c r="D1925" s="115" t="s">
        <v>2748</v>
      </c>
      <c r="E1925" s="85" t="s">
        <v>1194</v>
      </c>
      <c r="F1925" s="85" t="s">
        <v>2851</v>
      </c>
      <c r="G1925" s="85" t="str">
        <f>TEXT(Table7[[#This Row],[EXPIRY DATE]],"MMM")</f>
        <v>DONE BY WOW MOMO</v>
      </c>
      <c r="H1925" s="85" t="str">
        <f>TEXT(Table7[[#This Row],[EXPIRY DATE]],"YYY")</f>
        <v>DONE BY WOW MOMO</v>
      </c>
      <c r="I1925" s="84" t="s">
        <v>602</v>
      </c>
      <c r="J1925" s="69"/>
    </row>
    <row r="1926" spans="1:10" x14ac:dyDescent="0.3">
      <c r="A1926" s="84">
        <v>1925</v>
      </c>
      <c r="B1926" s="84" t="s">
        <v>2749</v>
      </c>
      <c r="C1926" s="84" t="s">
        <v>147</v>
      </c>
      <c r="D1926" s="115" t="s">
        <v>2750</v>
      </c>
      <c r="E1926" s="85" t="s">
        <v>1194</v>
      </c>
      <c r="F1926" s="85" t="s">
        <v>2851</v>
      </c>
      <c r="G1926" s="85" t="str">
        <f>TEXT(Table7[[#This Row],[EXPIRY DATE]],"MMM")</f>
        <v>DONE BY WOW MOMO</v>
      </c>
      <c r="H1926" s="85" t="str">
        <f>TEXT(Table7[[#This Row],[EXPIRY DATE]],"YYY")</f>
        <v>DONE BY WOW MOMO</v>
      </c>
      <c r="I1926" s="84" t="s">
        <v>602</v>
      </c>
      <c r="J1926" s="69"/>
    </row>
    <row r="1927" spans="1:10" x14ac:dyDescent="0.3">
      <c r="A1927" s="84">
        <v>1926</v>
      </c>
      <c r="B1927" s="84" t="s">
        <v>2800</v>
      </c>
      <c r="C1927" s="84" t="s">
        <v>147</v>
      </c>
      <c r="D1927" s="115" t="s">
        <v>2801</v>
      </c>
      <c r="E1927" s="85" t="s">
        <v>616</v>
      </c>
      <c r="F1927" s="85" t="s">
        <v>2851</v>
      </c>
      <c r="G1927" s="85" t="s">
        <v>619</v>
      </c>
      <c r="H1927" s="85" t="str">
        <f>TEXT(Table7[[#This Row],[EXPIRY DATE]],"YYY")</f>
        <v>DONE BY WOW MOMO</v>
      </c>
      <c r="I1927" s="84" t="s">
        <v>602</v>
      </c>
      <c r="J1927" s="69"/>
    </row>
    <row r="1928" spans="1:10" x14ac:dyDescent="0.3">
      <c r="A1928" s="84">
        <v>1927</v>
      </c>
      <c r="B1928" s="84" t="s">
        <v>2706</v>
      </c>
      <c r="C1928" s="84" t="s">
        <v>147</v>
      </c>
      <c r="D1928" s="115" t="s">
        <v>2707</v>
      </c>
      <c r="E1928" s="85" t="s">
        <v>616</v>
      </c>
      <c r="F1928" s="85" t="s">
        <v>2851</v>
      </c>
      <c r="G1928" s="85" t="s">
        <v>619</v>
      </c>
      <c r="H1928" s="85" t="str">
        <f>TEXT(Table7[[#This Row],[EXPIRY DATE]],"YYY")</f>
        <v>DONE BY WOW MOMO</v>
      </c>
      <c r="I1928" s="84" t="s">
        <v>602</v>
      </c>
      <c r="J1928" s="69"/>
    </row>
    <row r="1929" spans="1:10" x14ac:dyDescent="0.3">
      <c r="A1929" s="84">
        <v>1928</v>
      </c>
      <c r="B1929" s="84" t="s">
        <v>2761</v>
      </c>
      <c r="C1929" s="84" t="s">
        <v>147</v>
      </c>
      <c r="D1929" s="115" t="s">
        <v>2762</v>
      </c>
      <c r="E1929" s="85" t="s">
        <v>616</v>
      </c>
      <c r="F1929" s="85" t="s">
        <v>2851</v>
      </c>
      <c r="G1929" s="85" t="s">
        <v>619</v>
      </c>
      <c r="H1929" s="85" t="str">
        <f>TEXT(Table7[[#This Row],[EXPIRY DATE]],"YYY")</f>
        <v>DONE BY WOW MOMO</v>
      </c>
      <c r="I1929" s="84" t="s">
        <v>602</v>
      </c>
      <c r="J1929" s="69"/>
    </row>
    <row r="1930" spans="1:10" x14ac:dyDescent="0.3">
      <c r="A1930" s="84">
        <v>1929</v>
      </c>
      <c r="B1930" s="85" t="s">
        <v>2897</v>
      </c>
      <c r="C1930" s="92" t="s">
        <v>147</v>
      </c>
      <c r="D1930" s="119" t="s">
        <v>2898</v>
      </c>
      <c r="E1930" s="93" t="s">
        <v>616</v>
      </c>
      <c r="F1930" s="93" t="s">
        <v>766</v>
      </c>
      <c r="G1930" s="93" t="str">
        <f>TEXT(Table7[[#This Row],[EXPIRY DATE]],"MMM")</f>
        <v>CLOSED</v>
      </c>
      <c r="H1930" s="93" t="str">
        <f>TEXT(Table7[[#This Row],[EXPIRY DATE]],"YYY")</f>
        <v>CLOSED</v>
      </c>
      <c r="I1930" s="92" t="s">
        <v>602</v>
      </c>
      <c r="J1930" s="75"/>
    </row>
    <row r="1931" spans="1:10" x14ac:dyDescent="0.3">
      <c r="A1931" s="84">
        <v>1930</v>
      </c>
      <c r="B1931" s="85" t="s">
        <v>2897</v>
      </c>
      <c r="C1931" s="92" t="s">
        <v>147</v>
      </c>
      <c r="D1931" s="119" t="s">
        <v>2898</v>
      </c>
      <c r="E1931" s="93" t="s">
        <v>616</v>
      </c>
      <c r="F1931" s="93" t="s">
        <v>766</v>
      </c>
      <c r="G1931" s="93" t="str">
        <f>TEXT(Table7[[#This Row],[EXPIRY DATE]],"MMM")</f>
        <v>CLOSED</v>
      </c>
      <c r="H1931" s="93" t="str">
        <f>TEXT(Table7[[#This Row],[EXPIRY DATE]],"YYY")</f>
        <v>CLOSED</v>
      </c>
      <c r="I1931" s="93" t="s">
        <v>791</v>
      </c>
      <c r="J1931" s="75"/>
    </row>
    <row r="1932" spans="1:10" x14ac:dyDescent="0.3">
      <c r="A1932" s="84">
        <v>1931</v>
      </c>
      <c r="B1932" s="84" t="s">
        <v>2899</v>
      </c>
      <c r="C1932" s="92" t="s">
        <v>147</v>
      </c>
      <c r="D1932" s="119" t="s">
        <v>2900</v>
      </c>
      <c r="E1932" s="93" t="s">
        <v>616</v>
      </c>
      <c r="F1932" s="93" t="s">
        <v>766</v>
      </c>
      <c r="G1932" s="93" t="str">
        <f>TEXT(Table7[[#This Row],[EXPIRY DATE]],"MMM")</f>
        <v>CLOSED</v>
      </c>
      <c r="H1932" s="93" t="str">
        <f>TEXT(Table7[[#This Row],[EXPIRY DATE]],"YYY")</f>
        <v>CLOSED</v>
      </c>
      <c r="I1932" s="92" t="s">
        <v>602</v>
      </c>
      <c r="J1932" s="75"/>
    </row>
    <row r="1933" spans="1:10" x14ac:dyDescent="0.3">
      <c r="A1933" s="84">
        <v>1932</v>
      </c>
      <c r="B1933" s="84" t="s">
        <v>2899</v>
      </c>
      <c r="C1933" s="92" t="s">
        <v>147</v>
      </c>
      <c r="D1933" s="119" t="s">
        <v>2900</v>
      </c>
      <c r="E1933" s="93" t="s">
        <v>616</v>
      </c>
      <c r="F1933" s="93" t="s">
        <v>766</v>
      </c>
      <c r="G1933" s="93" t="str">
        <f>TEXT(Table7[[#This Row],[EXPIRY DATE]],"MMM")</f>
        <v>CLOSED</v>
      </c>
      <c r="H1933" s="93" t="str">
        <f>TEXT(Table7[[#This Row],[EXPIRY DATE]],"YYY")</f>
        <v>CLOSED</v>
      </c>
      <c r="I1933" s="93" t="s">
        <v>791</v>
      </c>
      <c r="J1933" s="75"/>
    </row>
    <row r="1934" spans="1:10" x14ac:dyDescent="0.3">
      <c r="A1934" s="84">
        <v>1933</v>
      </c>
      <c r="B1934" s="84" t="s">
        <v>2901</v>
      </c>
      <c r="C1934" s="84" t="s">
        <v>147</v>
      </c>
      <c r="D1934" s="115" t="s">
        <v>2902</v>
      </c>
      <c r="E1934" s="85" t="s">
        <v>616</v>
      </c>
      <c r="F1934" s="85" t="s">
        <v>2851</v>
      </c>
      <c r="G1934" s="85" t="s">
        <v>619</v>
      </c>
      <c r="H1934" s="85" t="str">
        <f>TEXT(Table7[[#This Row],[EXPIRY DATE]],"YYY")</f>
        <v>DONE BY WOW MOMO</v>
      </c>
      <c r="I1934" s="84" t="s">
        <v>602</v>
      </c>
      <c r="J1934" s="69"/>
    </row>
    <row r="1935" spans="1:10" x14ac:dyDescent="0.3">
      <c r="A1935" s="84">
        <v>1934</v>
      </c>
      <c r="B1935" s="84" t="s">
        <v>2901</v>
      </c>
      <c r="C1935" s="84" t="s">
        <v>147</v>
      </c>
      <c r="D1935" s="115" t="s">
        <v>2902</v>
      </c>
      <c r="E1935" s="85" t="s">
        <v>616</v>
      </c>
      <c r="F1935" s="85" t="s">
        <v>817</v>
      </c>
      <c r="G1935" s="85" t="str">
        <f>TEXT(Table7[[#This Row],[EXPIRY DATE]],"MMM")</f>
        <v>DORMANT</v>
      </c>
      <c r="H1935" s="85" t="str">
        <f>TEXT(Table7[[#This Row],[EXPIRY DATE]],"YYY")</f>
        <v>DORMANT</v>
      </c>
      <c r="I1935" s="85" t="s">
        <v>791</v>
      </c>
      <c r="J1935" s="69"/>
    </row>
    <row r="1936" spans="1:10" x14ac:dyDescent="0.3">
      <c r="A1936" s="84">
        <v>1935</v>
      </c>
      <c r="B1936" s="84" t="s">
        <v>2903</v>
      </c>
      <c r="C1936" s="92" t="s">
        <v>147</v>
      </c>
      <c r="D1936" s="119" t="s">
        <v>2904</v>
      </c>
      <c r="E1936" s="93"/>
      <c r="F1936" s="93" t="s">
        <v>766</v>
      </c>
      <c r="G1936" s="93" t="str">
        <f>TEXT(Table7[[#This Row],[EXPIRY DATE]],"MMM")</f>
        <v>CLOSED</v>
      </c>
      <c r="H1936" s="93" t="str">
        <f>TEXT(Table7[[#This Row],[EXPIRY DATE]],"YYY")</f>
        <v>CLOSED</v>
      </c>
      <c r="I1936" s="92" t="s">
        <v>602</v>
      </c>
      <c r="J1936" s="75"/>
    </row>
    <row r="1937" spans="1:10" x14ac:dyDescent="0.3">
      <c r="A1937" s="84">
        <v>1936</v>
      </c>
      <c r="B1937" s="84" t="s">
        <v>2903</v>
      </c>
      <c r="C1937" s="92" t="s">
        <v>147</v>
      </c>
      <c r="D1937" s="119" t="s">
        <v>2904</v>
      </c>
      <c r="E1937" s="93"/>
      <c r="F1937" s="93" t="s">
        <v>766</v>
      </c>
      <c r="G1937" s="93" t="str">
        <f>TEXT(Table7[[#This Row],[EXPIRY DATE]],"MMM")</f>
        <v>CLOSED</v>
      </c>
      <c r="H1937" s="93" t="str">
        <f>TEXT(Table7[[#This Row],[EXPIRY DATE]],"YYY")</f>
        <v>CLOSED</v>
      </c>
      <c r="I1937" s="93" t="s">
        <v>791</v>
      </c>
      <c r="J1937" s="75"/>
    </row>
    <row r="1938" spans="1:10" x14ac:dyDescent="0.3">
      <c r="A1938" s="84">
        <v>1937</v>
      </c>
      <c r="B1938" s="84" t="s">
        <v>2734</v>
      </c>
      <c r="C1938" s="84" t="s">
        <v>147</v>
      </c>
      <c r="D1938" s="115" t="s">
        <v>2735</v>
      </c>
      <c r="E1938" s="85" t="s">
        <v>717</v>
      </c>
      <c r="F1938" s="85" t="s">
        <v>2851</v>
      </c>
      <c r="G1938" s="85" t="s">
        <v>619</v>
      </c>
      <c r="H1938" s="85" t="str">
        <f>TEXT(Table7[[#This Row],[EXPIRY DATE]],"YYY")</f>
        <v>DONE BY WOW MOMO</v>
      </c>
      <c r="I1938" s="84" t="s">
        <v>602</v>
      </c>
      <c r="J1938" s="69"/>
    </row>
    <row r="1939" spans="1:10" x14ac:dyDescent="0.3">
      <c r="A1939" s="84">
        <v>1938</v>
      </c>
      <c r="B1939" s="84" t="s">
        <v>2734</v>
      </c>
      <c r="C1939" s="84" t="s">
        <v>147</v>
      </c>
      <c r="D1939" s="115" t="s">
        <v>2735</v>
      </c>
      <c r="E1939" s="85" t="s">
        <v>717</v>
      </c>
      <c r="F1939" s="85" t="s">
        <v>817</v>
      </c>
      <c r="G1939" s="85" t="str">
        <f>TEXT(Table7[[#This Row],[EXPIRY DATE]],"MMM")</f>
        <v>DORMANT</v>
      </c>
      <c r="H1939" s="85" t="str">
        <f>TEXT(Table7[[#This Row],[EXPIRY DATE]],"YYY")</f>
        <v>DORMANT</v>
      </c>
      <c r="I1939" s="85" t="s">
        <v>791</v>
      </c>
      <c r="J1939" s="69"/>
    </row>
    <row r="1940" spans="1:10" x14ac:dyDescent="0.3">
      <c r="A1940" s="84">
        <v>1939</v>
      </c>
      <c r="B1940" s="84" t="s">
        <v>2794</v>
      </c>
      <c r="C1940" s="84" t="s">
        <v>147</v>
      </c>
      <c r="D1940" s="115" t="s">
        <v>2795</v>
      </c>
      <c r="E1940" s="85" t="s">
        <v>616</v>
      </c>
      <c r="F1940" s="85" t="s">
        <v>766</v>
      </c>
      <c r="G1940" s="85" t="str">
        <f>TEXT(Table7[[#This Row],[EXPIRY DATE]],"MMM")</f>
        <v>CLOSED</v>
      </c>
      <c r="H1940" s="85" t="str">
        <f>TEXT(Table7[[#This Row],[EXPIRY DATE]],"YYY")</f>
        <v>CLOSED</v>
      </c>
      <c r="I1940" s="84" t="s">
        <v>602</v>
      </c>
      <c r="J1940" s="69"/>
    </row>
    <row r="1941" spans="1:10" x14ac:dyDescent="0.3">
      <c r="A1941" s="84">
        <v>1940</v>
      </c>
      <c r="B1941" s="84" t="s">
        <v>2905</v>
      </c>
      <c r="C1941" s="84" t="s">
        <v>147</v>
      </c>
      <c r="D1941" s="115" t="s">
        <v>2906</v>
      </c>
      <c r="E1941" s="85" t="s">
        <v>616</v>
      </c>
      <c r="F1941" s="85" t="s">
        <v>2851</v>
      </c>
      <c r="G1941" s="85" t="s">
        <v>619</v>
      </c>
      <c r="H1941" s="85" t="str">
        <f>TEXT(Table7[[#This Row],[EXPIRY DATE]],"YYY")</f>
        <v>DONE BY WOW MOMO</v>
      </c>
      <c r="I1941" s="84" t="s">
        <v>602</v>
      </c>
      <c r="J1941" s="69"/>
    </row>
    <row r="1942" spans="1:10" x14ac:dyDescent="0.3">
      <c r="A1942" s="84">
        <v>1941</v>
      </c>
      <c r="B1942" s="84" t="s">
        <v>2905</v>
      </c>
      <c r="C1942" s="113" t="s">
        <v>147</v>
      </c>
      <c r="D1942" s="126" t="s">
        <v>2907</v>
      </c>
      <c r="E1942" s="114" t="s">
        <v>616</v>
      </c>
      <c r="F1942" s="114" t="s">
        <v>817</v>
      </c>
      <c r="G1942" s="114" t="str">
        <f>TEXT(Table7[[#This Row],[EXPIRY DATE]],"MMM")</f>
        <v>DORMANT</v>
      </c>
      <c r="H1942" s="114" t="str">
        <f>TEXT(Table7[[#This Row],[EXPIRY DATE]],"YYY")</f>
        <v>DORMANT</v>
      </c>
      <c r="I1942" s="114" t="s">
        <v>791</v>
      </c>
      <c r="J1942" s="79"/>
    </row>
    <row r="1943" spans="1:10" x14ac:dyDescent="0.3">
      <c r="A1943" s="84">
        <v>1942</v>
      </c>
      <c r="B1943" s="84" t="s">
        <v>2905</v>
      </c>
      <c r="C1943" s="84" t="s">
        <v>147</v>
      </c>
      <c r="D1943" s="115" t="s">
        <v>2907</v>
      </c>
      <c r="E1943" s="85" t="s">
        <v>616</v>
      </c>
      <c r="F1943" s="85" t="s">
        <v>2851</v>
      </c>
      <c r="G1943" s="85" t="s">
        <v>619</v>
      </c>
      <c r="H1943" s="85" t="str">
        <f>TEXT(Table7[[#This Row],[EXPIRY DATE]],"YYY")</f>
        <v>DONE BY WOW MOMO</v>
      </c>
      <c r="I1943" s="84" t="s">
        <v>839</v>
      </c>
      <c r="J1943" s="69"/>
    </row>
    <row r="1944" spans="1:10" x14ac:dyDescent="0.3">
      <c r="A1944" s="84">
        <v>1943</v>
      </c>
      <c r="B1944" s="84" t="s">
        <v>2905</v>
      </c>
      <c r="C1944" s="84" t="s">
        <v>147</v>
      </c>
      <c r="D1944" s="115" t="s">
        <v>2907</v>
      </c>
      <c r="E1944" s="85" t="s">
        <v>616</v>
      </c>
      <c r="F1944" s="85" t="s">
        <v>629</v>
      </c>
      <c r="G1944" s="85" t="str">
        <f>TEXT(Table7[[#This Row],[EXPIRY DATE]],"MMM")</f>
        <v>LIFETIME</v>
      </c>
      <c r="H1944" s="85" t="str">
        <f>TEXT(Table7[[#This Row],[EXPIRY DATE]],"YYY")</f>
        <v>LIFETIME</v>
      </c>
      <c r="I1944" s="84" t="s">
        <v>916</v>
      </c>
      <c r="J1944" s="69"/>
    </row>
    <row r="1945" spans="1:10" x14ac:dyDescent="0.3">
      <c r="A1945" s="84">
        <v>1944</v>
      </c>
      <c r="B1945" s="84" t="s">
        <v>2798</v>
      </c>
      <c r="C1945" s="84" t="s">
        <v>147</v>
      </c>
      <c r="D1945" s="115" t="s">
        <v>2799</v>
      </c>
      <c r="E1945" s="85" t="s">
        <v>616</v>
      </c>
      <c r="F1945" s="85" t="s">
        <v>2851</v>
      </c>
      <c r="G1945" s="85" t="s">
        <v>619</v>
      </c>
      <c r="H1945" s="85" t="str">
        <f>TEXT(Table7[[#This Row],[EXPIRY DATE]],"YYY")</f>
        <v>DONE BY WOW MOMO</v>
      </c>
      <c r="I1945" s="84" t="s">
        <v>602</v>
      </c>
      <c r="J1945" s="69"/>
    </row>
    <row r="1946" spans="1:10" x14ac:dyDescent="0.3">
      <c r="A1946" s="84">
        <v>1945</v>
      </c>
      <c r="B1946" s="84" t="s">
        <v>2798</v>
      </c>
      <c r="C1946" s="113" t="s">
        <v>147</v>
      </c>
      <c r="D1946" s="126" t="s">
        <v>2799</v>
      </c>
      <c r="E1946" s="114" t="s">
        <v>616</v>
      </c>
      <c r="F1946" s="114" t="s">
        <v>817</v>
      </c>
      <c r="G1946" s="114" t="str">
        <f>TEXT(Table7[[#This Row],[EXPIRY DATE]],"MMM")</f>
        <v>DORMANT</v>
      </c>
      <c r="H1946" s="114" t="str">
        <f>TEXT(Table7[[#This Row],[EXPIRY DATE]],"YYY")</f>
        <v>DORMANT</v>
      </c>
      <c r="I1946" s="114" t="s">
        <v>791</v>
      </c>
      <c r="J1946" s="79"/>
    </row>
    <row r="1947" spans="1:10" x14ac:dyDescent="0.3">
      <c r="A1947" s="84">
        <v>1946</v>
      </c>
      <c r="B1947" s="84" t="s">
        <v>2798</v>
      </c>
      <c r="C1947" s="84" t="s">
        <v>147</v>
      </c>
      <c r="D1947" s="115" t="s">
        <v>2799</v>
      </c>
      <c r="E1947" s="85" t="s">
        <v>616</v>
      </c>
      <c r="F1947" s="85" t="s">
        <v>629</v>
      </c>
      <c r="G1947" s="85" t="str">
        <f>TEXT(Table7[[#This Row],[EXPIRY DATE]],"MMM")</f>
        <v>LIFETIME</v>
      </c>
      <c r="H1947" s="85" t="str">
        <f>TEXT(Table7[[#This Row],[EXPIRY DATE]],"YYY")</f>
        <v>LIFETIME</v>
      </c>
      <c r="I1947" s="84" t="s">
        <v>916</v>
      </c>
      <c r="J1947" s="69"/>
    </row>
    <row r="1948" spans="1:10" x14ac:dyDescent="0.3">
      <c r="A1948" s="84">
        <v>1947</v>
      </c>
      <c r="B1948" s="84" t="s">
        <v>2702</v>
      </c>
      <c r="C1948" s="84" t="s">
        <v>147</v>
      </c>
      <c r="D1948" s="115" t="s">
        <v>2703</v>
      </c>
      <c r="E1948" s="85" t="s">
        <v>885</v>
      </c>
      <c r="F1948" s="85" t="s">
        <v>2851</v>
      </c>
      <c r="G1948" s="85" t="s">
        <v>619</v>
      </c>
      <c r="H1948" s="85" t="str">
        <f>TEXT(Table7[[#This Row],[EXPIRY DATE]],"YYY")</f>
        <v>DONE BY WOW MOMO</v>
      </c>
      <c r="I1948" s="84" t="s">
        <v>602</v>
      </c>
      <c r="J1948" s="69"/>
    </row>
    <row r="1949" spans="1:10" x14ac:dyDescent="0.3">
      <c r="A1949" s="84">
        <v>1948</v>
      </c>
      <c r="B1949" s="84" t="s">
        <v>2908</v>
      </c>
      <c r="C1949" s="92" t="s">
        <v>147</v>
      </c>
      <c r="D1949" s="119" t="s">
        <v>2909</v>
      </c>
      <c r="E1949" s="93" t="s">
        <v>616</v>
      </c>
      <c r="F1949" s="93" t="s">
        <v>766</v>
      </c>
      <c r="G1949" s="93" t="str">
        <f>TEXT(Table7[[#This Row],[EXPIRY DATE]],"MMM")</f>
        <v>CLOSED</v>
      </c>
      <c r="H1949" s="93" t="str">
        <f>TEXT(Table7[[#This Row],[EXPIRY DATE]],"YYY")</f>
        <v>CLOSED</v>
      </c>
      <c r="I1949" s="92" t="s">
        <v>602</v>
      </c>
      <c r="J1949" s="75"/>
    </row>
    <row r="1950" spans="1:10" x14ac:dyDescent="0.3">
      <c r="A1950" s="84">
        <v>1949</v>
      </c>
      <c r="B1950" s="84" t="s">
        <v>2908</v>
      </c>
      <c r="C1950" s="92" t="s">
        <v>147</v>
      </c>
      <c r="D1950" s="119" t="s">
        <v>2909</v>
      </c>
      <c r="E1950" s="93" t="s">
        <v>616</v>
      </c>
      <c r="F1950" s="93" t="s">
        <v>766</v>
      </c>
      <c r="G1950" s="93" t="str">
        <f>TEXT(Table7[[#This Row],[EXPIRY DATE]],"MMM")</f>
        <v>CLOSED</v>
      </c>
      <c r="H1950" s="93" t="str">
        <f>TEXT(Table7[[#This Row],[EXPIRY DATE]],"YYY")</f>
        <v>CLOSED</v>
      </c>
      <c r="I1950" s="93" t="s">
        <v>791</v>
      </c>
      <c r="J1950" s="75"/>
    </row>
    <row r="1951" spans="1:10" x14ac:dyDescent="0.3">
      <c r="A1951" s="84">
        <v>1950</v>
      </c>
      <c r="B1951" s="84" t="s">
        <v>2777</v>
      </c>
      <c r="C1951" s="84" t="s">
        <v>147</v>
      </c>
      <c r="D1951" s="115" t="s">
        <v>2778</v>
      </c>
      <c r="E1951" s="85" t="s">
        <v>616</v>
      </c>
      <c r="F1951" s="85" t="s">
        <v>2851</v>
      </c>
      <c r="G1951" s="85" t="s">
        <v>619</v>
      </c>
      <c r="H1951" s="85" t="str">
        <f>TEXT(Table7[[#This Row],[EXPIRY DATE]],"YYY")</f>
        <v>DONE BY WOW MOMO</v>
      </c>
      <c r="I1951" s="84" t="s">
        <v>602</v>
      </c>
      <c r="J1951" s="69"/>
    </row>
    <row r="1952" spans="1:10" x14ac:dyDescent="0.3">
      <c r="A1952" s="84">
        <v>1951</v>
      </c>
      <c r="B1952" s="84" t="s">
        <v>2777</v>
      </c>
      <c r="C1952" s="84" t="s">
        <v>147</v>
      </c>
      <c r="D1952" s="115" t="s">
        <v>2778</v>
      </c>
      <c r="E1952" s="85" t="s">
        <v>616</v>
      </c>
      <c r="F1952" s="85" t="s">
        <v>629</v>
      </c>
      <c r="G1952" s="85" t="str">
        <f>TEXT(Table7[[#This Row],[EXPIRY DATE]],"MMM")</f>
        <v>LIFETIME</v>
      </c>
      <c r="H1952" s="85" t="str">
        <f>TEXT(Table7[[#This Row],[EXPIRY DATE]],"YYY")</f>
        <v>LIFETIME</v>
      </c>
      <c r="I1952" s="84" t="s">
        <v>916</v>
      </c>
      <c r="J1952" s="69"/>
    </row>
    <row r="1953" spans="1:10" x14ac:dyDescent="0.3">
      <c r="A1953" s="84">
        <v>1952</v>
      </c>
      <c r="B1953" s="84" t="s">
        <v>2742</v>
      </c>
      <c r="C1953" s="84" t="s">
        <v>147</v>
      </c>
      <c r="D1953" s="115" t="s">
        <v>2743</v>
      </c>
      <c r="E1953" s="85" t="s">
        <v>616</v>
      </c>
      <c r="F1953" s="85" t="s">
        <v>2851</v>
      </c>
      <c r="G1953" s="85" t="s">
        <v>619</v>
      </c>
      <c r="H1953" s="85" t="str">
        <f>TEXT(Table7[[#This Row],[EXPIRY DATE]],"YYY")</f>
        <v>DONE BY WOW MOMO</v>
      </c>
      <c r="I1953" s="84" t="s">
        <v>602</v>
      </c>
      <c r="J1953" s="69"/>
    </row>
    <row r="1954" spans="1:10" x14ac:dyDescent="0.3">
      <c r="A1954" s="84">
        <v>1953</v>
      </c>
      <c r="B1954" s="84" t="s">
        <v>2742</v>
      </c>
      <c r="C1954" s="84" t="s">
        <v>147</v>
      </c>
      <c r="D1954" s="115" t="s">
        <v>2743</v>
      </c>
      <c r="E1954" s="85" t="s">
        <v>616</v>
      </c>
      <c r="F1954" s="85" t="s">
        <v>2851</v>
      </c>
      <c r="G1954" s="85" t="str">
        <f>TEXT(Table7[[#This Row],[EXPIRY DATE]],"MMM")</f>
        <v>DONE BY WOW MOMO</v>
      </c>
      <c r="H1954" s="85" t="str">
        <f>TEXT(Table7[[#This Row],[EXPIRY DATE]],"YYY")</f>
        <v>DONE BY WOW MOMO</v>
      </c>
      <c r="I1954" s="84" t="s">
        <v>839</v>
      </c>
      <c r="J1954" s="69"/>
    </row>
    <row r="1955" spans="1:10" x14ac:dyDescent="0.3">
      <c r="A1955" s="84">
        <v>1954</v>
      </c>
      <c r="B1955" s="84" t="s">
        <v>2742</v>
      </c>
      <c r="C1955" s="84" t="s">
        <v>147</v>
      </c>
      <c r="D1955" s="115" t="s">
        <v>2743</v>
      </c>
      <c r="E1955" s="85" t="s">
        <v>616</v>
      </c>
      <c r="F1955" s="85" t="s">
        <v>629</v>
      </c>
      <c r="G1955" s="85" t="str">
        <f>TEXT(Table7[[#This Row],[EXPIRY DATE]],"MMM")</f>
        <v>LIFETIME</v>
      </c>
      <c r="H1955" s="85" t="str">
        <f>TEXT(Table7[[#This Row],[EXPIRY DATE]],"YYY")</f>
        <v>LIFETIME</v>
      </c>
      <c r="I1955" s="84" t="s">
        <v>916</v>
      </c>
      <c r="J1955" s="69"/>
    </row>
    <row r="1956" spans="1:10" x14ac:dyDescent="0.3">
      <c r="A1956" s="84">
        <v>1955</v>
      </c>
      <c r="B1956" s="84" t="s">
        <v>2720</v>
      </c>
      <c r="C1956" s="84" t="s">
        <v>147</v>
      </c>
      <c r="D1956" s="115" t="s">
        <v>2721</v>
      </c>
      <c r="E1956" s="85" t="s">
        <v>1014</v>
      </c>
      <c r="F1956" s="85" t="s">
        <v>2851</v>
      </c>
      <c r="G1956" s="85" t="str">
        <f>TEXT(Table7[[#This Row],[EXPIRY DATE]],"MMM")</f>
        <v>DONE BY WOW MOMO</v>
      </c>
      <c r="H1956" s="85" t="str">
        <f>TEXT(Table7[[#This Row],[EXPIRY DATE]],"YYY")</f>
        <v>DONE BY WOW MOMO</v>
      </c>
      <c r="I1956" s="84" t="s">
        <v>602</v>
      </c>
      <c r="J1956" s="69"/>
    </row>
    <row r="1957" spans="1:10" x14ac:dyDescent="0.3">
      <c r="A1957" s="84">
        <v>1956</v>
      </c>
      <c r="B1957" s="84" t="s">
        <v>2910</v>
      </c>
      <c r="C1957" s="84" t="s">
        <v>147</v>
      </c>
      <c r="D1957" s="115" t="s">
        <v>2911</v>
      </c>
      <c r="E1957" s="85" t="s">
        <v>616</v>
      </c>
      <c r="F1957" s="85" t="s">
        <v>2851</v>
      </c>
      <c r="G1957" s="85" t="s">
        <v>619</v>
      </c>
      <c r="H1957" s="85" t="str">
        <f>TEXT(Table7[[#This Row],[EXPIRY DATE]],"YYY")</f>
        <v>DONE BY WOW MOMO</v>
      </c>
      <c r="I1957" s="84" t="s">
        <v>602</v>
      </c>
      <c r="J1957" s="69"/>
    </row>
    <row r="1958" spans="1:10" x14ac:dyDescent="0.3">
      <c r="A1958" s="84">
        <v>1957</v>
      </c>
      <c r="B1958" s="84" t="s">
        <v>2910</v>
      </c>
      <c r="C1958" s="84" t="s">
        <v>147</v>
      </c>
      <c r="D1958" s="115" t="s">
        <v>2911</v>
      </c>
      <c r="E1958" s="85" t="s">
        <v>616</v>
      </c>
      <c r="F1958" s="85" t="s">
        <v>817</v>
      </c>
      <c r="G1958" s="85" t="str">
        <f>TEXT(Table7[[#This Row],[EXPIRY DATE]],"MMM")</f>
        <v>DORMANT</v>
      </c>
      <c r="H1958" s="85" t="str">
        <f>TEXT(Table7[[#This Row],[EXPIRY DATE]],"YYY")</f>
        <v>DORMANT</v>
      </c>
      <c r="I1958" s="85" t="s">
        <v>791</v>
      </c>
      <c r="J1958" s="69"/>
    </row>
    <row r="1959" spans="1:10" x14ac:dyDescent="0.3">
      <c r="A1959" s="84">
        <v>1958</v>
      </c>
      <c r="B1959" s="84" t="s">
        <v>2910</v>
      </c>
      <c r="C1959" s="84" t="s">
        <v>147</v>
      </c>
      <c r="D1959" s="115" t="s">
        <v>2911</v>
      </c>
      <c r="E1959" s="85" t="s">
        <v>616</v>
      </c>
      <c r="F1959" s="85" t="s">
        <v>817</v>
      </c>
      <c r="G1959" s="85" t="str">
        <f>TEXT(Table7[[#This Row],[EXPIRY DATE]],"MMM")</f>
        <v>DORMANT</v>
      </c>
      <c r="H1959" s="85" t="str">
        <f>TEXT(Table7[[#This Row],[EXPIRY DATE]],"YYY")</f>
        <v>DORMANT</v>
      </c>
      <c r="I1959" s="84" t="s">
        <v>839</v>
      </c>
      <c r="J1959" s="69"/>
    </row>
    <row r="1960" spans="1:10" x14ac:dyDescent="0.3">
      <c r="A1960" s="84">
        <v>1959</v>
      </c>
      <c r="B1960" s="84" t="s">
        <v>2910</v>
      </c>
      <c r="C1960" s="84" t="s">
        <v>147</v>
      </c>
      <c r="D1960" s="115" t="s">
        <v>2911</v>
      </c>
      <c r="E1960" s="85" t="s">
        <v>616</v>
      </c>
      <c r="F1960" s="85" t="s">
        <v>629</v>
      </c>
      <c r="G1960" s="85" t="str">
        <f>TEXT(Table7[[#This Row],[EXPIRY DATE]],"MMM")</f>
        <v>LIFETIME</v>
      </c>
      <c r="H1960" s="85" t="str">
        <f>TEXT(Table7[[#This Row],[EXPIRY DATE]],"YYY")</f>
        <v>LIFETIME</v>
      </c>
      <c r="I1960" s="84" t="s">
        <v>916</v>
      </c>
      <c r="J1960" s="69"/>
    </row>
    <row r="1961" spans="1:10" x14ac:dyDescent="0.3">
      <c r="A1961" s="84">
        <v>1960</v>
      </c>
      <c r="B1961" s="84" t="s">
        <v>2912</v>
      </c>
      <c r="C1961" s="84" t="s">
        <v>147</v>
      </c>
      <c r="D1961" s="115" t="s">
        <v>2913</v>
      </c>
      <c r="E1961" s="85" t="s">
        <v>616</v>
      </c>
      <c r="F1961" s="85" t="s">
        <v>2851</v>
      </c>
      <c r="G1961" s="85" t="s">
        <v>619</v>
      </c>
      <c r="H1961" s="85" t="str">
        <f>TEXT(Table7[[#This Row],[EXPIRY DATE]],"YYY")</f>
        <v>DONE BY WOW MOMO</v>
      </c>
      <c r="I1961" s="84" t="s">
        <v>602</v>
      </c>
      <c r="J1961" s="69"/>
    </row>
    <row r="1962" spans="1:10" x14ac:dyDescent="0.3">
      <c r="A1962" s="84">
        <v>1961</v>
      </c>
      <c r="B1962" s="84" t="s">
        <v>2912</v>
      </c>
      <c r="C1962" s="84" t="s">
        <v>147</v>
      </c>
      <c r="D1962" s="115" t="s">
        <v>2913</v>
      </c>
      <c r="E1962" s="85" t="s">
        <v>616</v>
      </c>
      <c r="F1962" s="85" t="s">
        <v>817</v>
      </c>
      <c r="G1962" s="85" t="str">
        <f>TEXT(Table7[[#This Row],[EXPIRY DATE]],"MMM")</f>
        <v>DORMANT</v>
      </c>
      <c r="H1962" s="85" t="str">
        <f>TEXT(Table7[[#This Row],[EXPIRY DATE]],"YYY")</f>
        <v>DORMANT</v>
      </c>
      <c r="I1962" s="85" t="s">
        <v>791</v>
      </c>
      <c r="J1962" s="69"/>
    </row>
    <row r="1963" spans="1:10" x14ac:dyDescent="0.3">
      <c r="A1963" s="84">
        <v>1962</v>
      </c>
      <c r="B1963" s="84" t="s">
        <v>2912</v>
      </c>
      <c r="C1963" s="84" t="s">
        <v>147</v>
      </c>
      <c r="D1963" s="115" t="s">
        <v>2913</v>
      </c>
      <c r="E1963" s="85" t="s">
        <v>616</v>
      </c>
      <c r="F1963" s="85" t="s">
        <v>817</v>
      </c>
      <c r="G1963" s="85" t="str">
        <f>TEXT(Table7[[#This Row],[EXPIRY DATE]],"MMM")</f>
        <v>DORMANT</v>
      </c>
      <c r="H1963" s="85" t="str">
        <f>TEXT(Table7[[#This Row],[EXPIRY DATE]],"YYY")</f>
        <v>DORMANT</v>
      </c>
      <c r="I1963" s="84" t="s">
        <v>839</v>
      </c>
      <c r="J1963" s="69"/>
    </row>
    <row r="1964" spans="1:10" x14ac:dyDescent="0.3">
      <c r="A1964" s="84">
        <v>1963</v>
      </c>
      <c r="B1964" s="84" t="s">
        <v>2912</v>
      </c>
      <c r="C1964" s="84" t="s">
        <v>147</v>
      </c>
      <c r="D1964" s="115" t="s">
        <v>2913</v>
      </c>
      <c r="E1964" s="85"/>
      <c r="F1964" s="85" t="s">
        <v>629</v>
      </c>
      <c r="G1964" s="85" t="str">
        <f>TEXT(Table7[[#This Row],[EXPIRY DATE]],"MMM")</f>
        <v>LIFETIME</v>
      </c>
      <c r="H1964" s="85" t="str">
        <f>TEXT(Table7[[#This Row],[EXPIRY DATE]],"YYY")</f>
        <v>LIFETIME</v>
      </c>
      <c r="I1964" s="84" t="s">
        <v>916</v>
      </c>
      <c r="J1964" s="69"/>
    </row>
    <row r="1965" spans="1:10" x14ac:dyDescent="0.3">
      <c r="A1965" s="84">
        <v>1964</v>
      </c>
      <c r="B1965" s="84" t="s">
        <v>2722</v>
      </c>
      <c r="C1965" s="84" t="s">
        <v>147</v>
      </c>
      <c r="D1965" s="115" t="s">
        <v>2723</v>
      </c>
      <c r="E1965" s="85" t="s">
        <v>885</v>
      </c>
      <c r="F1965" s="85" t="s">
        <v>2851</v>
      </c>
      <c r="G1965" s="85" t="s">
        <v>619</v>
      </c>
      <c r="H1965" s="85" t="str">
        <f>TEXT(Table7[[#This Row],[EXPIRY DATE]],"YYY")</f>
        <v>DONE BY WOW MOMO</v>
      </c>
      <c r="I1965" s="84" t="s">
        <v>602</v>
      </c>
      <c r="J1965" s="69"/>
    </row>
    <row r="1966" spans="1:10" x14ac:dyDescent="0.3">
      <c r="A1966" s="84">
        <v>1965</v>
      </c>
      <c r="B1966" s="84" t="s">
        <v>2722</v>
      </c>
      <c r="C1966" s="84" t="s">
        <v>147</v>
      </c>
      <c r="D1966" s="115" t="s">
        <v>2723</v>
      </c>
      <c r="E1966" s="85" t="s">
        <v>885</v>
      </c>
      <c r="F1966" s="85" t="s">
        <v>817</v>
      </c>
      <c r="G1966" s="85" t="str">
        <f>TEXT(Table7[[#This Row],[EXPIRY DATE]],"MMM")</f>
        <v>DORMANT</v>
      </c>
      <c r="H1966" s="85" t="str">
        <f>TEXT(Table7[[#This Row],[EXPIRY DATE]],"YYY")</f>
        <v>DORMANT</v>
      </c>
      <c r="I1966" s="85" t="s">
        <v>791</v>
      </c>
      <c r="J1966" s="69"/>
    </row>
    <row r="1967" spans="1:10" x14ac:dyDescent="0.3">
      <c r="A1967" s="84">
        <v>1966</v>
      </c>
      <c r="B1967" s="84" t="s">
        <v>2724</v>
      </c>
      <c r="C1967" s="84" t="s">
        <v>147</v>
      </c>
      <c r="D1967" s="115" t="s">
        <v>2725</v>
      </c>
      <c r="E1967" s="85" t="s">
        <v>1014</v>
      </c>
      <c r="F1967" s="85" t="s">
        <v>2851</v>
      </c>
      <c r="G1967" s="85" t="str">
        <f>TEXT(Table7[[#This Row],[EXPIRY DATE]],"MMM")</f>
        <v>DONE BY WOW MOMO</v>
      </c>
      <c r="H1967" s="85" t="str">
        <f>TEXT(Table7[[#This Row],[EXPIRY DATE]],"YYY")</f>
        <v>DONE BY WOW MOMO</v>
      </c>
      <c r="I1967" s="84" t="s">
        <v>602</v>
      </c>
      <c r="J1967" s="69"/>
    </row>
    <row r="1968" spans="1:10" x14ac:dyDescent="0.3">
      <c r="A1968" s="84">
        <v>1967</v>
      </c>
      <c r="B1968" s="84" t="s">
        <v>2914</v>
      </c>
      <c r="C1968" s="92" t="s">
        <v>147</v>
      </c>
      <c r="D1968" s="119" t="s">
        <v>2915</v>
      </c>
      <c r="E1968" s="93"/>
      <c r="F1968" s="93" t="s">
        <v>766</v>
      </c>
      <c r="G1968" s="93" t="str">
        <f>TEXT(Table7[[#This Row],[EXPIRY DATE]],"MMM")</f>
        <v>CLOSED</v>
      </c>
      <c r="H1968" s="93" t="str">
        <f>TEXT(Table7[[#This Row],[EXPIRY DATE]],"YYY")</f>
        <v>CLOSED</v>
      </c>
      <c r="I1968" s="92" t="s">
        <v>602</v>
      </c>
      <c r="J1968" s="75"/>
    </row>
    <row r="1969" spans="1:10" x14ac:dyDescent="0.3">
      <c r="A1969" s="84">
        <v>1968</v>
      </c>
      <c r="B1969" s="84" t="s">
        <v>2914</v>
      </c>
      <c r="C1969" s="92" t="s">
        <v>147</v>
      </c>
      <c r="D1969" s="119" t="s">
        <v>2915</v>
      </c>
      <c r="E1969" s="93"/>
      <c r="F1969" s="93" t="s">
        <v>766</v>
      </c>
      <c r="G1969" s="93" t="str">
        <f>TEXT(Table7[[#This Row],[EXPIRY DATE]],"MMM")</f>
        <v>CLOSED</v>
      </c>
      <c r="H1969" s="93" t="str">
        <f>TEXT(Table7[[#This Row],[EXPIRY DATE]],"YYY")</f>
        <v>CLOSED</v>
      </c>
      <c r="I1969" s="93" t="s">
        <v>791</v>
      </c>
      <c r="J1969" s="75"/>
    </row>
    <row r="1970" spans="1:10" x14ac:dyDescent="0.3">
      <c r="A1970" s="84">
        <v>1969</v>
      </c>
      <c r="B1970" s="84" t="s">
        <v>2916</v>
      </c>
      <c r="C1970" s="92" t="s">
        <v>147</v>
      </c>
      <c r="D1970" s="119" t="s">
        <v>2917</v>
      </c>
      <c r="E1970" s="93" t="s">
        <v>616</v>
      </c>
      <c r="F1970" s="93" t="s">
        <v>766</v>
      </c>
      <c r="G1970" s="93" t="str">
        <f>TEXT(Table7[[#This Row],[EXPIRY DATE]],"MMM")</f>
        <v>CLOSED</v>
      </c>
      <c r="H1970" s="93" t="str">
        <f>TEXT(Table7[[#This Row],[EXPIRY DATE]],"YYY")</f>
        <v>CLOSED</v>
      </c>
      <c r="I1970" s="92" t="s">
        <v>602</v>
      </c>
      <c r="J1970" s="75"/>
    </row>
    <row r="1971" spans="1:10" x14ac:dyDescent="0.3">
      <c r="A1971" s="84">
        <v>1970</v>
      </c>
      <c r="B1971" s="94" t="s">
        <v>1647</v>
      </c>
      <c r="C1971" s="84" t="s">
        <v>147</v>
      </c>
      <c r="D1971" s="127" t="s">
        <v>2918</v>
      </c>
      <c r="E1971" s="88" t="s">
        <v>772</v>
      </c>
      <c r="F1971" s="85" t="s">
        <v>817</v>
      </c>
      <c r="G1971" s="85" t="str">
        <f>TEXT(Table7[[#This Row],[EXPIRY DATE]],"MMM")</f>
        <v>DORMANT</v>
      </c>
      <c r="H1971" s="85" t="str">
        <f>TEXT(Table7[[#This Row],[EXPIRY DATE]],"YYY")</f>
        <v>DORMANT</v>
      </c>
      <c r="I1971" s="88" t="s">
        <v>791</v>
      </c>
      <c r="J1971" s="69"/>
    </row>
    <row r="1972" spans="1:10" x14ac:dyDescent="0.3">
      <c r="A1972" s="84">
        <v>1971</v>
      </c>
      <c r="B1972" s="84" t="s">
        <v>2919</v>
      </c>
      <c r="C1972" s="84" t="s">
        <v>147</v>
      </c>
      <c r="D1972" s="115" t="s">
        <v>2920</v>
      </c>
      <c r="E1972" s="85" t="s">
        <v>1172</v>
      </c>
      <c r="F1972" s="85" t="s">
        <v>2851</v>
      </c>
      <c r="G1972" s="85" t="str">
        <f>TEXT(Table7[[#This Row],[EXPIRY DATE]],"MMM")</f>
        <v>DONE BY WOW MOMO</v>
      </c>
      <c r="H1972" s="85" t="str">
        <f>TEXT(Table7[[#This Row],[EXPIRY DATE]],"YYY")</f>
        <v>DONE BY WOW MOMO</v>
      </c>
      <c r="I1972" s="85" t="s">
        <v>791</v>
      </c>
      <c r="J1972" s="69"/>
    </row>
    <row r="1973" spans="1:10" x14ac:dyDescent="0.3">
      <c r="A1973" s="84">
        <v>1972</v>
      </c>
      <c r="B1973" s="84" t="s">
        <v>2921</v>
      </c>
      <c r="C1973" s="84" t="s">
        <v>147</v>
      </c>
      <c r="D1973" s="115" t="s">
        <v>2922</v>
      </c>
      <c r="E1973" s="85"/>
      <c r="F1973" s="85" t="s">
        <v>629</v>
      </c>
      <c r="G1973" s="85" t="str">
        <f>TEXT(Table7[[#This Row],[EXPIRY DATE]],"MMM")</f>
        <v>LIFETIME</v>
      </c>
      <c r="H1973" s="85" t="str">
        <f>TEXT(Table7[[#This Row],[EXPIRY DATE]],"YYY")</f>
        <v>LIFETIME</v>
      </c>
      <c r="I1973" s="84" t="s">
        <v>602</v>
      </c>
      <c r="J1973" s="69"/>
    </row>
    <row r="1974" spans="1:10" x14ac:dyDescent="0.3">
      <c r="A1974" s="84">
        <v>1973</v>
      </c>
      <c r="B1974" s="84" t="s">
        <v>2921</v>
      </c>
      <c r="C1974" s="84" t="s">
        <v>147</v>
      </c>
      <c r="D1974" s="115" t="s">
        <v>2922</v>
      </c>
      <c r="E1974" s="85" t="s">
        <v>613</v>
      </c>
      <c r="F1974" s="85" t="s">
        <v>2851</v>
      </c>
      <c r="G1974" s="85" t="str">
        <f>TEXT(Table7[[#This Row],[EXPIRY DATE]],"MMM")</f>
        <v>DONE BY WOW MOMO</v>
      </c>
      <c r="H1974" s="85" t="str">
        <f>TEXT(Table7[[#This Row],[EXPIRY DATE]],"YYY")</f>
        <v>DONE BY WOW MOMO</v>
      </c>
      <c r="I1974" s="85" t="s">
        <v>791</v>
      </c>
      <c r="J1974" s="69"/>
    </row>
    <row r="1975" spans="1:10" x14ac:dyDescent="0.3">
      <c r="A1975" s="84">
        <v>1974</v>
      </c>
      <c r="B1975" s="84" t="s">
        <v>2923</v>
      </c>
      <c r="C1975" s="84" t="s">
        <v>147</v>
      </c>
      <c r="D1975" s="115" t="s">
        <v>2924</v>
      </c>
      <c r="E1975" s="85" t="s">
        <v>613</v>
      </c>
      <c r="F1975" s="85" t="s">
        <v>2851</v>
      </c>
      <c r="G1975" s="85" t="str">
        <f>TEXT(Table7[[#This Row],[EXPIRY DATE]],"MMM")</f>
        <v>DONE BY WOW MOMO</v>
      </c>
      <c r="H1975" s="85" t="str">
        <f>TEXT(Table7[[#This Row],[EXPIRY DATE]],"YYY")</f>
        <v>DONE BY WOW MOMO</v>
      </c>
      <c r="I1975" s="85" t="s">
        <v>791</v>
      </c>
      <c r="J1975" s="69"/>
    </row>
    <row r="1976" spans="1:10" ht="30.6" x14ac:dyDescent="0.3">
      <c r="A1976" s="84">
        <v>1975</v>
      </c>
      <c r="B1976" s="84" t="s">
        <v>2925</v>
      </c>
      <c r="C1976" s="84" t="s">
        <v>147</v>
      </c>
      <c r="D1976" s="115" t="s">
        <v>2926</v>
      </c>
      <c r="E1976" s="85"/>
      <c r="F1976" s="85" t="s">
        <v>629</v>
      </c>
      <c r="G1976" s="85" t="str">
        <f>TEXT(Table7[[#This Row],[EXPIRY DATE]],"MMM")</f>
        <v>LIFETIME</v>
      </c>
      <c r="H1976" s="85" t="str">
        <f>TEXT(Table7[[#This Row],[EXPIRY DATE]],"YYY")</f>
        <v>LIFETIME</v>
      </c>
      <c r="I1976" s="84" t="s">
        <v>602</v>
      </c>
      <c r="J1976" s="69"/>
    </row>
    <row r="1977" spans="1:10" x14ac:dyDescent="0.3">
      <c r="A1977" s="84">
        <v>1976</v>
      </c>
      <c r="B1977" s="84" t="s">
        <v>2925</v>
      </c>
      <c r="C1977" s="84" t="s">
        <v>147</v>
      </c>
      <c r="D1977" s="115" t="s">
        <v>2927</v>
      </c>
      <c r="E1977" s="85" t="s">
        <v>613</v>
      </c>
      <c r="F1977" s="85" t="s">
        <v>817</v>
      </c>
      <c r="G1977" s="85" t="str">
        <f>TEXT(Table7[[#This Row],[EXPIRY DATE]],"MMM")</f>
        <v>DORMANT</v>
      </c>
      <c r="H1977" s="85" t="str">
        <f>TEXT(Table7[[#This Row],[EXPIRY DATE]],"YYY")</f>
        <v>DORMANT</v>
      </c>
      <c r="I1977" s="85" t="s">
        <v>791</v>
      </c>
      <c r="J1977" s="69"/>
    </row>
    <row r="1978" spans="1:10" ht="20.399999999999999" x14ac:dyDescent="0.3">
      <c r="A1978" s="84">
        <v>1977</v>
      </c>
      <c r="B1978" s="84" t="s">
        <v>2751</v>
      </c>
      <c r="C1978" s="84" t="s">
        <v>147</v>
      </c>
      <c r="D1978" s="115" t="s">
        <v>2752</v>
      </c>
      <c r="E1978" s="85"/>
      <c r="F1978" s="85" t="s">
        <v>629</v>
      </c>
      <c r="G1978" s="85" t="str">
        <f>TEXT(Table7[[#This Row],[EXPIRY DATE]],"MMM")</f>
        <v>LIFETIME</v>
      </c>
      <c r="H1978" s="85" t="str">
        <f>TEXT(Table7[[#This Row],[EXPIRY DATE]],"YYY")</f>
        <v>LIFETIME</v>
      </c>
      <c r="I1978" s="84" t="s">
        <v>602</v>
      </c>
      <c r="J1978" s="69"/>
    </row>
    <row r="1979" spans="1:10" ht="30.6" x14ac:dyDescent="0.3">
      <c r="A1979" s="84">
        <v>1978</v>
      </c>
      <c r="B1979" s="84" t="s">
        <v>2710</v>
      </c>
      <c r="C1979" s="84" t="s">
        <v>147</v>
      </c>
      <c r="D1979" s="115" t="s">
        <v>2711</v>
      </c>
      <c r="E1979" s="85"/>
      <c r="F1979" s="85" t="s">
        <v>629</v>
      </c>
      <c r="G1979" s="85" t="str">
        <f>TEXT(Table7[[#This Row],[EXPIRY DATE]],"MMM")</f>
        <v>LIFETIME</v>
      </c>
      <c r="H1979" s="85" t="str">
        <f>TEXT(Table7[[#This Row],[EXPIRY DATE]],"YYY")</f>
        <v>LIFETIME</v>
      </c>
      <c r="I1979" s="84" t="s">
        <v>602</v>
      </c>
      <c r="J1979" s="69"/>
    </row>
    <row r="1980" spans="1:10" ht="40.799999999999997" x14ac:dyDescent="0.3">
      <c r="A1980" s="84">
        <v>1979</v>
      </c>
      <c r="B1980" s="84" t="s">
        <v>2928</v>
      </c>
      <c r="C1980" s="113" t="s">
        <v>147</v>
      </c>
      <c r="D1980" s="126" t="s">
        <v>2929</v>
      </c>
      <c r="E1980" s="114" t="s">
        <v>613</v>
      </c>
      <c r="F1980" s="114" t="s">
        <v>817</v>
      </c>
      <c r="G1980" s="114" t="str">
        <f>TEXT(Table7[[#This Row],[EXPIRY DATE]],"MMM")</f>
        <v>DORMANT</v>
      </c>
      <c r="H1980" s="114" t="str">
        <f>TEXT(Table7[[#This Row],[EXPIRY DATE]],"YYY")</f>
        <v>DORMANT</v>
      </c>
      <c r="I1980" s="114" t="s">
        <v>791</v>
      </c>
      <c r="J1980" s="79"/>
    </row>
    <row r="1981" spans="1:10" x14ac:dyDescent="0.3">
      <c r="A1981" s="84">
        <v>1980</v>
      </c>
      <c r="B1981" s="84" t="s">
        <v>2928</v>
      </c>
      <c r="C1981" s="84" t="s">
        <v>147</v>
      </c>
      <c r="D1981" s="115" t="s">
        <v>2930</v>
      </c>
      <c r="E1981" s="85" t="s">
        <v>613</v>
      </c>
      <c r="F1981" s="85" t="s">
        <v>817</v>
      </c>
      <c r="G1981" s="85" t="str">
        <f>TEXT(Table7[[#This Row],[EXPIRY DATE]],"MMM")</f>
        <v>DORMANT</v>
      </c>
      <c r="H1981" s="85" t="str">
        <f>TEXT(Table7[[#This Row],[EXPIRY DATE]],"YYY")</f>
        <v>DORMANT</v>
      </c>
      <c r="I1981" s="84" t="s">
        <v>607</v>
      </c>
      <c r="J1981" s="69"/>
    </row>
    <row r="1982" spans="1:10" x14ac:dyDescent="0.3">
      <c r="A1982" s="84">
        <v>1981</v>
      </c>
      <c r="B1982" s="84" t="s">
        <v>2787</v>
      </c>
      <c r="C1982" s="84" t="s">
        <v>147</v>
      </c>
      <c r="D1982" s="115" t="s">
        <v>2788</v>
      </c>
      <c r="E1982" s="85"/>
      <c r="F1982" s="85" t="s">
        <v>629</v>
      </c>
      <c r="G1982" s="85" t="str">
        <f>TEXT(Table7[[#This Row],[EXPIRY DATE]],"MMM")</f>
        <v>LIFETIME</v>
      </c>
      <c r="H1982" s="85" t="str">
        <f>TEXT(Table7[[#This Row],[EXPIRY DATE]],"YYY")</f>
        <v>LIFETIME</v>
      </c>
      <c r="I1982" s="84" t="s">
        <v>602</v>
      </c>
      <c r="J1982" s="69"/>
    </row>
    <row r="1983" spans="1:10" ht="20.399999999999999" x14ac:dyDescent="0.3">
      <c r="A1983" s="84">
        <v>1982</v>
      </c>
      <c r="B1983" s="84" t="s">
        <v>2808</v>
      </c>
      <c r="C1983" s="84" t="s">
        <v>147</v>
      </c>
      <c r="D1983" s="115" t="s">
        <v>2931</v>
      </c>
      <c r="E1983" s="85"/>
      <c r="F1983" s="85" t="s">
        <v>629</v>
      </c>
      <c r="G1983" s="85" t="str">
        <f>TEXT(Table7[[#This Row],[EXPIRY DATE]],"MMM")</f>
        <v>LIFETIME</v>
      </c>
      <c r="H1983" s="85" t="str">
        <f>TEXT(Table7[[#This Row],[EXPIRY DATE]],"YYY")</f>
        <v>LIFETIME</v>
      </c>
      <c r="I1983" s="84" t="s">
        <v>602</v>
      </c>
      <c r="J1983" s="69"/>
    </row>
    <row r="1984" spans="1:10" x14ac:dyDescent="0.3">
      <c r="A1984" s="84">
        <v>1983</v>
      </c>
      <c r="B1984" s="84" t="s">
        <v>2808</v>
      </c>
      <c r="C1984" s="84" t="s">
        <v>147</v>
      </c>
      <c r="D1984" s="115" t="s">
        <v>2809</v>
      </c>
      <c r="E1984" s="85" t="s">
        <v>613</v>
      </c>
      <c r="F1984" s="85" t="s">
        <v>817</v>
      </c>
      <c r="G1984" s="85" t="str">
        <f>TEXT(Table7[[#This Row],[EXPIRY DATE]],"MMM")</f>
        <v>DORMANT</v>
      </c>
      <c r="H1984" s="85" t="str">
        <f>TEXT(Table7[[#This Row],[EXPIRY DATE]],"YYY")</f>
        <v>DORMANT</v>
      </c>
      <c r="I1984" s="85" t="s">
        <v>791</v>
      </c>
      <c r="J1984" s="69"/>
    </row>
    <row r="1985" spans="1:10" x14ac:dyDescent="0.3">
      <c r="A1985" s="84">
        <v>1984</v>
      </c>
      <c r="B1985" s="84" t="s">
        <v>2810</v>
      </c>
      <c r="C1985" s="84" t="s">
        <v>147</v>
      </c>
      <c r="D1985" s="115" t="s">
        <v>2811</v>
      </c>
      <c r="E1985" s="85"/>
      <c r="F1985" s="85" t="s">
        <v>629</v>
      </c>
      <c r="G1985" s="85" t="str">
        <f>TEXT(Table7[[#This Row],[EXPIRY DATE]],"MMM")</f>
        <v>LIFETIME</v>
      </c>
      <c r="H1985" s="85" t="str">
        <f>TEXT(Table7[[#This Row],[EXPIRY DATE]],"YYY")</f>
        <v>LIFETIME</v>
      </c>
      <c r="I1985" s="84" t="s">
        <v>602</v>
      </c>
      <c r="J1985" s="69"/>
    </row>
    <row r="1986" spans="1:10" x14ac:dyDescent="0.3">
      <c r="A1986" s="84">
        <v>1985</v>
      </c>
      <c r="B1986" s="84" t="s">
        <v>2810</v>
      </c>
      <c r="C1986" s="84" t="s">
        <v>147</v>
      </c>
      <c r="D1986" s="115" t="s">
        <v>2811</v>
      </c>
      <c r="E1986" s="85" t="s">
        <v>613</v>
      </c>
      <c r="F1986" s="85" t="s">
        <v>817</v>
      </c>
      <c r="G1986" s="85" t="s">
        <v>2932</v>
      </c>
      <c r="H1986" s="85" t="str">
        <f>TEXT(Table7[[#This Row],[EXPIRY DATE]],"YYY")</f>
        <v>DORMANT</v>
      </c>
      <c r="I1986" s="85" t="s">
        <v>791</v>
      </c>
      <c r="J1986" s="69"/>
    </row>
    <row r="1987" spans="1:10" x14ac:dyDescent="0.3">
      <c r="A1987" s="84">
        <v>1986</v>
      </c>
      <c r="B1987" s="84" t="s">
        <v>2933</v>
      </c>
      <c r="C1987" s="84" t="s">
        <v>147</v>
      </c>
      <c r="D1987" s="115" t="s">
        <v>2934</v>
      </c>
      <c r="E1987" s="85" t="s">
        <v>616</v>
      </c>
      <c r="F1987" s="85" t="s">
        <v>2851</v>
      </c>
      <c r="G1987" s="85" t="s">
        <v>619</v>
      </c>
      <c r="H1987" s="85" t="str">
        <f>TEXT(Table7[[#This Row],[EXPIRY DATE]],"YYY")</f>
        <v>DONE BY WOW MOMO</v>
      </c>
      <c r="I1987" s="85" t="s">
        <v>791</v>
      </c>
      <c r="J1987" s="69"/>
    </row>
    <row r="1988" spans="1:10" x14ac:dyDescent="0.3">
      <c r="A1988" s="84">
        <v>1987</v>
      </c>
      <c r="B1988" s="84" t="s">
        <v>2728</v>
      </c>
      <c r="C1988" s="84" t="s">
        <v>147</v>
      </c>
      <c r="D1988" s="115" t="s">
        <v>2729</v>
      </c>
      <c r="E1988" s="85" t="s">
        <v>2730</v>
      </c>
      <c r="F1988" s="85" t="s">
        <v>2851</v>
      </c>
      <c r="G1988" s="85" t="str">
        <f>TEXT(Table7[[#This Row],[EXPIRY DATE]],"MMM")</f>
        <v>DONE BY WOW MOMO</v>
      </c>
      <c r="H1988" s="85" t="str">
        <f>TEXT(Table7[[#This Row],[EXPIRY DATE]],"YYY")</f>
        <v>DONE BY WOW MOMO</v>
      </c>
      <c r="I1988" s="84" t="s">
        <v>602</v>
      </c>
      <c r="J1988" s="69"/>
    </row>
    <row r="1989" spans="1:10" x14ac:dyDescent="0.3">
      <c r="A1989" s="84">
        <v>1988</v>
      </c>
      <c r="B1989" s="84" t="s">
        <v>2935</v>
      </c>
      <c r="C1989" s="92" t="s">
        <v>147</v>
      </c>
      <c r="D1989" s="119" t="s">
        <v>2936</v>
      </c>
      <c r="E1989" s="93"/>
      <c r="F1989" s="93" t="s">
        <v>766</v>
      </c>
      <c r="G1989" s="93" t="str">
        <f>TEXT(Table7[[#This Row],[EXPIRY DATE]],"MMM")</f>
        <v>CLOSED</v>
      </c>
      <c r="H1989" s="93" t="str">
        <f>TEXT(Table7[[#This Row],[EXPIRY DATE]],"YYY")</f>
        <v>CLOSED</v>
      </c>
      <c r="I1989" s="92" t="s">
        <v>602</v>
      </c>
      <c r="J1989" s="75"/>
    </row>
    <row r="1990" spans="1:10" x14ac:dyDescent="0.3">
      <c r="A1990" s="84">
        <v>1989</v>
      </c>
      <c r="B1990" s="84" t="s">
        <v>2935</v>
      </c>
      <c r="C1990" s="92" t="s">
        <v>147</v>
      </c>
      <c r="D1990" s="119" t="s">
        <v>2936</v>
      </c>
      <c r="E1990" s="93"/>
      <c r="F1990" s="93" t="s">
        <v>766</v>
      </c>
      <c r="G1990" s="93" t="str">
        <f>TEXT(Table7[[#This Row],[EXPIRY DATE]],"MMM")</f>
        <v>CLOSED</v>
      </c>
      <c r="H1990" s="93" t="str">
        <f>TEXT(Table7[[#This Row],[EXPIRY DATE]],"YYY")</f>
        <v>CLOSED</v>
      </c>
      <c r="I1990" s="93" t="s">
        <v>791</v>
      </c>
      <c r="J1990" s="75"/>
    </row>
    <row r="1991" spans="1:10" x14ac:dyDescent="0.3">
      <c r="A1991" s="84">
        <v>1990</v>
      </c>
      <c r="B1991" s="84" t="s">
        <v>2755</v>
      </c>
      <c r="C1991" s="84" t="s">
        <v>147</v>
      </c>
      <c r="D1991" s="115" t="s">
        <v>2756</v>
      </c>
      <c r="E1991" s="85" t="s">
        <v>2757</v>
      </c>
      <c r="F1991" s="85" t="s">
        <v>2851</v>
      </c>
      <c r="G1991" s="85" t="str">
        <f>TEXT(Table7[[#This Row],[EXPIRY DATE]],"MMM")</f>
        <v>DONE BY WOW MOMO</v>
      </c>
      <c r="H1991" s="85" t="str">
        <f>TEXT(Table7[[#This Row],[EXPIRY DATE]],"YYY")</f>
        <v>DONE BY WOW MOMO</v>
      </c>
      <c r="I1991" s="84" t="s">
        <v>602</v>
      </c>
      <c r="J1991" s="69"/>
    </row>
    <row r="1992" spans="1:10" x14ac:dyDescent="0.3">
      <c r="A1992" s="84">
        <v>1991</v>
      </c>
      <c r="B1992" s="84" t="s">
        <v>2937</v>
      </c>
      <c r="C1992" s="92" t="s">
        <v>147</v>
      </c>
      <c r="D1992" s="119" t="s">
        <v>2938</v>
      </c>
      <c r="E1992" s="93" t="s">
        <v>616</v>
      </c>
      <c r="F1992" s="93" t="s">
        <v>766</v>
      </c>
      <c r="G1992" s="93" t="str">
        <f>TEXT(Table7[[#This Row],[EXPIRY DATE]],"MMM")</f>
        <v>CLOSED</v>
      </c>
      <c r="H1992" s="93" t="str">
        <f>TEXT(Table7[[#This Row],[EXPIRY DATE]],"YYY")</f>
        <v>CLOSED</v>
      </c>
      <c r="I1992" s="92" t="s">
        <v>602</v>
      </c>
      <c r="J1992" s="75"/>
    </row>
    <row r="1993" spans="1:10" x14ac:dyDescent="0.3">
      <c r="A1993" s="84">
        <v>1992</v>
      </c>
      <c r="B1993" s="84" t="s">
        <v>2939</v>
      </c>
      <c r="C1993" s="84" t="s">
        <v>147</v>
      </c>
      <c r="D1993" s="115" t="s">
        <v>2938</v>
      </c>
      <c r="E1993" s="85" t="s">
        <v>616</v>
      </c>
      <c r="F1993" s="85" t="s">
        <v>2851</v>
      </c>
      <c r="G1993" s="85" t="str">
        <f>TEXT(Table7[[#This Row],[EXPIRY DATE]],"MMM")</f>
        <v>DONE BY WOW MOMO</v>
      </c>
      <c r="H1993" s="85" t="str">
        <f>TEXT(Table7[[#This Row],[EXPIRY DATE]],"YYY")</f>
        <v>DONE BY WOW MOMO</v>
      </c>
      <c r="I1993" s="85" t="s">
        <v>791</v>
      </c>
      <c r="J1993" s="69"/>
    </row>
    <row r="1994" spans="1:10" x14ac:dyDescent="0.3">
      <c r="A1994" s="84">
        <v>1993</v>
      </c>
      <c r="B1994" s="84" t="s">
        <v>2940</v>
      </c>
      <c r="C1994" s="84" t="s">
        <v>147</v>
      </c>
      <c r="D1994" s="115" t="s">
        <v>2941</v>
      </c>
      <c r="E1994" s="85" t="s">
        <v>616</v>
      </c>
      <c r="F1994" s="85" t="s">
        <v>2851</v>
      </c>
      <c r="G1994" s="85" t="str">
        <f>TEXT(Table7[[#This Row],[EXPIRY DATE]],"MMM")</f>
        <v>DONE BY WOW MOMO</v>
      </c>
      <c r="H1994" s="85" t="str">
        <f>TEXT(Table7[[#This Row],[EXPIRY DATE]],"YYY")</f>
        <v>DONE BY WOW MOMO</v>
      </c>
      <c r="I1994" s="84" t="s">
        <v>602</v>
      </c>
      <c r="J1994" s="69"/>
    </row>
    <row r="1995" spans="1:10" x14ac:dyDescent="0.3">
      <c r="A1995" s="84">
        <v>1994</v>
      </c>
      <c r="B1995" s="84" t="s">
        <v>2940</v>
      </c>
      <c r="C1995" s="84" t="s">
        <v>147</v>
      </c>
      <c r="D1995" s="115" t="s">
        <v>2941</v>
      </c>
      <c r="E1995" s="85" t="s">
        <v>616</v>
      </c>
      <c r="F1995" s="85" t="s">
        <v>2851</v>
      </c>
      <c r="G1995" s="85" t="str">
        <f>TEXT(Table7[[#This Row],[EXPIRY DATE]],"MMM")</f>
        <v>DONE BY WOW MOMO</v>
      </c>
      <c r="H1995" s="85" t="str">
        <f>TEXT(Table7[[#This Row],[EXPIRY DATE]],"YYY")</f>
        <v>DONE BY WOW MOMO</v>
      </c>
      <c r="I1995" s="85" t="s">
        <v>791</v>
      </c>
      <c r="J1995" s="69"/>
    </row>
    <row r="1996" spans="1:10" x14ac:dyDescent="0.3">
      <c r="A1996" s="84">
        <v>1995</v>
      </c>
      <c r="B1996" s="84" t="s">
        <v>2942</v>
      </c>
      <c r="C1996" s="92" t="s">
        <v>2943</v>
      </c>
      <c r="D1996" s="119" t="s">
        <v>2944</v>
      </c>
      <c r="E1996" s="93"/>
      <c r="F1996" s="93" t="s">
        <v>766</v>
      </c>
      <c r="G1996" s="93" t="str">
        <f>TEXT(Table7[[#This Row],[EXPIRY DATE]],"MMM")</f>
        <v>CLOSED</v>
      </c>
      <c r="H1996" s="93" t="str">
        <f>TEXT(Table7[[#This Row],[EXPIRY DATE]],"YYY")</f>
        <v>CLOSED</v>
      </c>
      <c r="I1996" s="92" t="s">
        <v>602</v>
      </c>
      <c r="J1996" s="75"/>
    </row>
    <row r="1997" spans="1:10" x14ac:dyDescent="0.3">
      <c r="A1997" s="84">
        <v>1996</v>
      </c>
      <c r="B1997" s="84" t="s">
        <v>2942</v>
      </c>
      <c r="C1997" s="92" t="s">
        <v>2943</v>
      </c>
      <c r="D1997" s="119" t="s">
        <v>2944</v>
      </c>
      <c r="E1997" s="93"/>
      <c r="F1997" s="93" t="s">
        <v>766</v>
      </c>
      <c r="G1997" s="93" t="str">
        <f>TEXT(Table7[[#This Row],[EXPIRY DATE]],"MMM")</f>
        <v>CLOSED</v>
      </c>
      <c r="H1997" s="93" t="str">
        <f>TEXT(Table7[[#This Row],[EXPIRY DATE]],"YYY")</f>
        <v>CLOSED</v>
      </c>
      <c r="I1997" s="93" t="s">
        <v>791</v>
      </c>
      <c r="J1997" s="75"/>
    </row>
    <row r="1998" spans="1:10" x14ac:dyDescent="0.3">
      <c r="A1998" s="84">
        <v>1997</v>
      </c>
      <c r="B1998" s="84" t="s">
        <v>2945</v>
      </c>
      <c r="C1998" s="84" t="s">
        <v>2946</v>
      </c>
      <c r="D1998" s="115" t="s">
        <v>2947</v>
      </c>
      <c r="E1998" s="85" t="s">
        <v>717</v>
      </c>
      <c r="F1998" s="85">
        <v>46022</v>
      </c>
      <c r="G1998" s="85" t="str">
        <f>TEXT(Table7[[#This Row],[EXPIRY DATE]],"MMM")</f>
        <v>Dec</v>
      </c>
      <c r="H1998" s="85" t="str">
        <f>TEXT(Table7[[#This Row],[EXPIRY DATE]],"YYY")</f>
        <v>2025</v>
      </c>
      <c r="I1998" s="84" t="s">
        <v>602</v>
      </c>
      <c r="J1998" s="69"/>
    </row>
    <row r="1999" spans="1:10" x14ac:dyDescent="0.3">
      <c r="A1999" s="84">
        <v>1998</v>
      </c>
      <c r="B1999" s="84" t="s">
        <v>2945</v>
      </c>
      <c r="C1999" s="84" t="s">
        <v>2946</v>
      </c>
      <c r="D1999" s="115" t="s">
        <v>2948</v>
      </c>
      <c r="E1999" s="85" t="s">
        <v>616</v>
      </c>
      <c r="F1999" s="85">
        <v>46029</v>
      </c>
      <c r="G1999" s="85" t="str">
        <f>TEXT(Table7[[#This Row],[EXPIRY DATE]],"MMM")</f>
        <v>Jan</v>
      </c>
      <c r="H1999" s="85" t="str">
        <f>TEXT(Table7[[#This Row],[EXPIRY DATE]],"YYY")</f>
        <v>2026</v>
      </c>
      <c r="I1999" s="85" t="s">
        <v>791</v>
      </c>
      <c r="J1999" s="69"/>
    </row>
    <row r="2000" spans="1:10" x14ac:dyDescent="0.3">
      <c r="A2000" s="84">
        <v>1999</v>
      </c>
      <c r="B2000" s="84" t="s">
        <v>2949</v>
      </c>
      <c r="C2000" s="84" t="s">
        <v>2946</v>
      </c>
      <c r="D2000" s="115" t="s">
        <v>2950</v>
      </c>
      <c r="E2000" s="85" t="s">
        <v>613</v>
      </c>
      <c r="F2000" s="85">
        <v>46057</v>
      </c>
      <c r="G2000" s="85" t="str">
        <f>TEXT(Table7[[#This Row],[EXPIRY DATE]],"MMM")</f>
        <v>Feb</v>
      </c>
      <c r="H2000" s="85" t="str">
        <f>TEXT(Table7[[#This Row],[EXPIRY DATE]],"YYY")</f>
        <v>2026</v>
      </c>
      <c r="I2000" s="85" t="s">
        <v>791</v>
      </c>
      <c r="J2000" s="69"/>
    </row>
    <row r="2001" spans="1:10" x14ac:dyDescent="0.3">
      <c r="A2001" s="84">
        <v>2000</v>
      </c>
      <c r="B2001" s="84" t="s">
        <v>1205</v>
      </c>
      <c r="C2001" s="84" t="s">
        <v>2946</v>
      </c>
      <c r="D2001" s="115" t="s">
        <v>2951</v>
      </c>
      <c r="E2001" s="85" t="s">
        <v>1636</v>
      </c>
      <c r="F2001" s="85">
        <v>46120</v>
      </c>
      <c r="G2001" s="85" t="str">
        <f>TEXT(Table7[[#This Row],[EXPIRY DATE]],"MMM")</f>
        <v>Apr</v>
      </c>
      <c r="H2001" s="85" t="str">
        <f>TEXT(Table7[[#This Row],[EXPIRY DATE]],"YYY")</f>
        <v>2026</v>
      </c>
      <c r="I2001" s="85" t="s">
        <v>791</v>
      </c>
      <c r="J2001" s="69"/>
    </row>
    <row r="2002" spans="1:10" x14ac:dyDescent="0.3">
      <c r="A2002" s="84">
        <v>2001</v>
      </c>
      <c r="B2002" s="84" t="s">
        <v>1707</v>
      </c>
      <c r="C2002" s="84" t="s">
        <v>2946</v>
      </c>
      <c r="D2002" s="115" t="s">
        <v>2952</v>
      </c>
      <c r="E2002" s="85" t="s">
        <v>1014</v>
      </c>
      <c r="F2002" s="85">
        <v>46355</v>
      </c>
      <c r="G2002" s="85" t="str">
        <f>TEXT(Table7[[#This Row],[EXPIRY DATE]],"MMM")</f>
        <v>Nov</v>
      </c>
      <c r="H2002" s="85" t="str">
        <f>TEXT(Table7[[#This Row],[EXPIRY DATE]],"YYY")</f>
        <v>2026</v>
      </c>
      <c r="I2002" s="85" t="s">
        <v>791</v>
      </c>
      <c r="J2002" s="69"/>
    </row>
  </sheetData>
  <protectedRanges>
    <protectedRange algorithmName="SHA-512" hashValue="bUn6fK7E3/OLG3MJlFJwgr/FeL9ZeA4eeBAalsSRdPNXwVY/4nIwwiNoSyOnj3B9N7ZxvXAv3zPp9okIPukJGA==" saltValue="Y4lrulhPR71B5U4F61UFxA==" spinCount="100000" sqref="J2" name="TRADE_4"/>
  </protectedRanges>
  <conditionalFormatting sqref="B1534">
    <cfRule type="duplicateValues" dxfId="1" priority="2"/>
  </conditionalFormatting>
  <conditionalFormatting sqref="D1534">
    <cfRule type="duplicateValues" dxfId="0" priority="1"/>
  </conditionalFormatting>
  <pageMargins left="0.7" right="0.7" top="0.75" bottom="0.75" header="0.3" footer="0.3"/>
  <pageSetup orientation="portrait" r:id="rId1"/>
  <legacyDrawing r:id="rId2"/>
  <tableParts count="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BBF94-FEC6-4F81-90A2-50D939B1AA25}">
  <dimension ref="A1:G91"/>
  <sheetViews>
    <sheetView workbookViewId="0">
      <selection activeCell="G3" sqref="G3"/>
    </sheetView>
  </sheetViews>
  <sheetFormatPr defaultRowHeight="14.4" x14ac:dyDescent="0.3"/>
  <cols>
    <col min="1" max="1" width="73.33203125" bestFit="1" customWidth="1"/>
    <col min="4" max="4" width="31.44140625" bestFit="1" customWidth="1"/>
    <col min="6" max="6" width="14.88671875" bestFit="1" customWidth="1"/>
  </cols>
  <sheetData>
    <row r="1" spans="1:7" x14ac:dyDescent="0.3">
      <c r="A1" s="129" t="s">
        <v>581</v>
      </c>
      <c r="D1" s="129" t="s">
        <v>576</v>
      </c>
      <c r="F1" s="9" t="s">
        <v>3025</v>
      </c>
      <c r="G1" t="s">
        <v>3034</v>
      </c>
    </row>
    <row r="2" spans="1:7" x14ac:dyDescent="0.3">
      <c r="A2" s="130" t="s">
        <v>412</v>
      </c>
      <c r="D2" s="130" t="s">
        <v>161</v>
      </c>
    </row>
    <row r="3" spans="1:7" x14ac:dyDescent="0.3">
      <c r="A3" s="130" t="s">
        <v>184</v>
      </c>
      <c r="D3" s="130" t="s">
        <v>223</v>
      </c>
      <c r="F3" t="s">
        <v>3026</v>
      </c>
      <c r="G3" s="132" t="s">
        <v>3028</v>
      </c>
    </row>
    <row r="4" spans="1:7" x14ac:dyDescent="0.3">
      <c r="A4" s="130" t="s">
        <v>788</v>
      </c>
      <c r="D4" s="130" t="s">
        <v>183</v>
      </c>
      <c r="F4" t="s">
        <v>218</v>
      </c>
      <c r="G4" t="s">
        <v>3029</v>
      </c>
    </row>
    <row r="5" spans="1:7" x14ac:dyDescent="0.3">
      <c r="A5" s="130" t="s">
        <v>811</v>
      </c>
      <c r="D5" s="130" t="s">
        <v>245</v>
      </c>
      <c r="F5" t="s">
        <v>156</v>
      </c>
      <c r="G5" t="s">
        <v>3030</v>
      </c>
    </row>
    <row r="6" spans="1:7" x14ac:dyDescent="0.3">
      <c r="A6" s="130" t="s">
        <v>814</v>
      </c>
      <c r="D6" s="130" t="s">
        <v>149</v>
      </c>
      <c r="F6" t="s">
        <v>766</v>
      </c>
      <c r="G6" t="s">
        <v>3031</v>
      </c>
    </row>
    <row r="7" spans="1:7" x14ac:dyDescent="0.3">
      <c r="A7" s="130" t="s">
        <v>404</v>
      </c>
      <c r="D7" s="130" t="s">
        <v>205</v>
      </c>
      <c r="F7" t="s">
        <v>817</v>
      </c>
      <c r="G7" t="s">
        <v>3032</v>
      </c>
    </row>
    <row r="8" spans="1:7" x14ac:dyDescent="0.3">
      <c r="A8" s="130" t="s">
        <v>235</v>
      </c>
      <c r="D8" s="130" t="s">
        <v>243</v>
      </c>
      <c r="F8" t="s">
        <v>3027</v>
      </c>
      <c r="G8" t="s">
        <v>3033</v>
      </c>
    </row>
    <row r="9" spans="1:7" x14ac:dyDescent="0.3">
      <c r="A9" s="130" t="s">
        <v>345</v>
      </c>
      <c r="D9" s="130" t="s">
        <v>401</v>
      </c>
    </row>
    <row r="10" spans="1:7" x14ac:dyDescent="0.3">
      <c r="A10" s="130" t="s">
        <v>1242</v>
      </c>
      <c r="D10" s="130" t="s">
        <v>227</v>
      </c>
    </row>
    <row r="11" spans="1:7" x14ac:dyDescent="0.3">
      <c r="A11" s="130" t="s">
        <v>1246</v>
      </c>
      <c r="D11" s="130" t="s">
        <v>398</v>
      </c>
    </row>
    <row r="12" spans="1:7" x14ac:dyDescent="0.3">
      <c r="A12" s="130" t="s">
        <v>503</v>
      </c>
      <c r="D12" s="130" t="s">
        <v>385</v>
      </c>
    </row>
    <row r="13" spans="1:7" x14ac:dyDescent="0.3">
      <c r="A13" s="130" t="s">
        <v>2953</v>
      </c>
      <c r="D13" s="130" t="s">
        <v>525</v>
      </c>
    </row>
    <row r="14" spans="1:7" x14ac:dyDescent="0.3">
      <c r="A14" s="130" t="s">
        <v>1604</v>
      </c>
      <c r="D14" s="130" t="s">
        <v>381</v>
      </c>
    </row>
    <row r="15" spans="1:7" x14ac:dyDescent="0.3">
      <c r="A15" s="130" t="s">
        <v>1607</v>
      </c>
      <c r="D15" s="130" t="s">
        <v>2973</v>
      </c>
    </row>
    <row r="16" spans="1:7" x14ac:dyDescent="0.3">
      <c r="A16" s="130" t="s">
        <v>2954</v>
      </c>
      <c r="D16" s="130" t="s">
        <v>2974</v>
      </c>
    </row>
    <row r="17" spans="1:4" x14ac:dyDescent="0.3">
      <c r="A17" s="130" t="s">
        <v>194</v>
      </c>
      <c r="D17" s="130" t="s">
        <v>2975</v>
      </c>
    </row>
    <row r="18" spans="1:4" x14ac:dyDescent="0.3">
      <c r="A18" s="130" t="s">
        <v>2093</v>
      </c>
      <c r="D18" s="130" t="s">
        <v>2975</v>
      </c>
    </row>
    <row r="19" spans="1:4" x14ac:dyDescent="0.3">
      <c r="A19" s="130" t="s">
        <v>2101</v>
      </c>
      <c r="D19" s="130" t="s">
        <v>2976</v>
      </c>
    </row>
    <row r="20" spans="1:4" x14ac:dyDescent="0.3">
      <c r="A20" s="130" t="s">
        <v>527</v>
      </c>
      <c r="D20" s="130" t="s">
        <v>2977</v>
      </c>
    </row>
    <row r="21" spans="1:4" x14ac:dyDescent="0.3">
      <c r="A21" s="130" t="s">
        <v>356</v>
      </c>
      <c r="D21" s="130" t="s">
        <v>2978</v>
      </c>
    </row>
    <row r="22" spans="1:4" x14ac:dyDescent="0.3">
      <c r="A22" s="130" t="s">
        <v>2227</v>
      </c>
      <c r="D22" s="130" t="s">
        <v>395</v>
      </c>
    </row>
    <row r="23" spans="1:4" x14ac:dyDescent="0.3">
      <c r="A23" s="130" t="s">
        <v>249</v>
      </c>
      <c r="D23" s="130" t="s">
        <v>2979</v>
      </c>
    </row>
    <row r="24" spans="1:4" x14ac:dyDescent="0.3">
      <c r="A24" s="130" t="s">
        <v>238</v>
      </c>
      <c r="D24" s="130" t="s">
        <v>2980</v>
      </c>
    </row>
    <row r="25" spans="1:4" x14ac:dyDescent="0.3">
      <c r="A25" s="130" t="s">
        <v>2270</v>
      </c>
      <c r="D25" s="130" t="s">
        <v>2981</v>
      </c>
    </row>
    <row r="26" spans="1:4" x14ac:dyDescent="0.3">
      <c r="A26" s="130" t="s">
        <v>393</v>
      </c>
      <c r="D26" s="130" t="s">
        <v>2982</v>
      </c>
    </row>
    <row r="27" spans="1:4" x14ac:dyDescent="0.3">
      <c r="A27" s="130" t="s">
        <v>2955</v>
      </c>
      <c r="D27" s="130" t="s">
        <v>520</v>
      </c>
    </row>
    <row r="28" spans="1:4" x14ac:dyDescent="0.3">
      <c r="A28" s="130" t="s">
        <v>2318</v>
      </c>
      <c r="D28" s="130" t="s">
        <v>451</v>
      </c>
    </row>
    <row r="29" spans="1:4" x14ac:dyDescent="0.3">
      <c r="A29" s="130" t="s">
        <v>2319</v>
      </c>
      <c r="D29" s="130" t="s">
        <v>275</v>
      </c>
    </row>
    <row r="30" spans="1:4" x14ac:dyDescent="0.3">
      <c r="A30" s="130" t="s">
        <v>2337</v>
      </c>
      <c r="D30" s="130" t="s">
        <v>2983</v>
      </c>
    </row>
    <row r="31" spans="1:4" x14ac:dyDescent="0.3">
      <c r="A31" s="130" t="s">
        <v>2956</v>
      </c>
      <c r="D31" s="130" t="s">
        <v>2984</v>
      </c>
    </row>
    <row r="32" spans="1:4" x14ac:dyDescent="0.3">
      <c r="A32" s="130" t="s">
        <v>2348</v>
      </c>
      <c r="D32" s="130" t="s">
        <v>366</v>
      </c>
    </row>
    <row r="33" spans="1:4" x14ac:dyDescent="0.3">
      <c r="A33" s="130" t="s">
        <v>2358</v>
      </c>
      <c r="D33" s="130" t="s">
        <v>2985</v>
      </c>
    </row>
    <row r="34" spans="1:4" x14ac:dyDescent="0.3">
      <c r="A34" s="130" t="s">
        <v>2362</v>
      </c>
      <c r="D34" s="130" t="s">
        <v>2986</v>
      </c>
    </row>
    <row r="35" spans="1:4" x14ac:dyDescent="0.3">
      <c r="A35" s="130" t="s">
        <v>2957</v>
      </c>
      <c r="D35" s="130" t="s">
        <v>2987</v>
      </c>
    </row>
    <row r="36" spans="1:4" x14ac:dyDescent="0.3">
      <c r="A36" s="130" t="s">
        <v>391</v>
      </c>
      <c r="D36" s="130" t="s">
        <v>2988</v>
      </c>
    </row>
    <row r="37" spans="1:4" x14ac:dyDescent="0.3">
      <c r="A37" s="130" t="s">
        <v>2958</v>
      </c>
      <c r="D37" s="130" t="s">
        <v>2989</v>
      </c>
    </row>
    <row r="38" spans="1:4" x14ac:dyDescent="0.3">
      <c r="A38" s="130" t="s">
        <v>2959</v>
      </c>
      <c r="D38" s="130" t="s">
        <v>2990</v>
      </c>
    </row>
    <row r="39" spans="1:4" x14ac:dyDescent="0.3">
      <c r="A39" s="130" t="s">
        <v>347</v>
      </c>
      <c r="D39" s="130" t="s">
        <v>2991</v>
      </c>
    </row>
    <row r="40" spans="1:4" x14ac:dyDescent="0.3">
      <c r="A40" s="130" t="s">
        <v>2960</v>
      </c>
      <c r="D40" s="130" t="s">
        <v>2992</v>
      </c>
    </row>
    <row r="41" spans="1:4" x14ac:dyDescent="0.3">
      <c r="A41" s="130" t="s">
        <v>2437</v>
      </c>
      <c r="D41" s="130" t="s">
        <v>383</v>
      </c>
    </row>
    <row r="42" spans="1:4" x14ac:dyDescent="0.3">
      <c r="A42" s="130" t="s">
        <v>2961</v>
      </c>
      <c r="D42" s="130" t="s">
        <v>2993</v>
      </c>
    </row>
    <row r="43" spans="1:4" x14ac:dyDescent="0.3">
      <c r="A43" s="130" t="s">
        <v>2962</v>
      </c>
      <c r="D43" s="130" t="s">
        <v>2994</v>
      </c>
    </row>
    <row r="44" spans="1:4" x14ac:dyDescent="0.3">
      <c r="A44" s="130" t="s">
        <v>2963</v>
      </c>
      <c r="D44" s="130" t="s">
        <v>2995</v>
      </c>
    </row>
    <row r="45" spans="1:4" x14ac:dyDescent="0.3">
      <c r="A45" s="130" t="s">
        <v>2459</v>
      </c>
      <c r="D45" s="130" t="s">
        <v>2996</v>
      </c>
    </row>
    <row r="46" spans="1:4" x14ac:dyDescent="0.3">
      <c r="A46" s="130" t="s">
        <v>2964</v>
      </c>
      <c r="D46" s="130" t="s">
        <v>2997</v>
      </c>
    </row>
    <row r="47" spans="1:4" x14ac:dyDescent="0.3">
      <c r="A47" s="130" t="s">
        <v>2466</v>
      </c>
      <c r="D47" s="130" t="s">
        <v>2998</v>
      </c>
    </row>
    <row r="48" spans="1:4" x14ac:dyDescent="0.3">
      <c r="A48" s="130" t="s">
        <v>2965</v>
      </c>
      <c r="D48" s="130" t="s">
        <v>2999</v>
      </c>
    </row>
    <row r="49" spans="1:4" x14ac:dyDescent="0.3">
      <c r="A49" s="130" t="s">
        <v>2560</v>
      </c>
      <c r="D49" s="130" t="s">
        <v>3000</v>
      </c>
    </row>
    <row r="50" spans="1:4" x14ac:dyDescent="0.3">
      <c r="A50" s="130" t="s">
        <v>2966</v>
      </c>
      <c r="D50" s="130" t="s">
        <v>3001</v>
      </c>
    </row>
    <row r="51" spans="1:4" x14ac:dyDescent="0.3">
      <c r="A51" s="130" t="s">
        <v>2572</v>
      </c>
      <c r="D51" s="130" t="s">
        <v>390</v>
      </c>
    </row>
    <row r="52" spans="1:4" x14ac:dyDescent="0.3">
      <c r="A52" s="130" t="s">
        <v>2579</v>
      </c>
      <c r="D52" s="130" t="s">
        <v>3002</v>
      </c>
    </row>
    <row r="53" spans="1:4" x14ac:dyDescent="0.3">
      <c r="A53" s="130" t="s">
        <v>2684</v>
      </c>
      <c r="D53" s="130" t="s">
        <v>979</v>
      </c>
    </row>
    <row r="54" spans="1:4" x14ac:dyDescent="0.3">
      <c r="A54" s="130" t="s">
        <v>418</v>
      </c>
      <c r="D54" s="130" t="s">
        <v>3003</v>
      </c>
    </row>
    <row r="55" spans="1:4" x14ac:dyDescent="0.3">
      <c r="A55" s="130" t="s">
        <v>2695</v>
      </c>
      <c r="D55" s="130" t="s">
        <v>3004</v>
      </c>
    </row>
    <row r="56" spans="1:4" x14ac:dyDescent="0.3">
      <c r="A56" s="130" t="s">
        <v>147</v>
      </c>
      <c r="D56" s="131" t="s">
        <v>417</v>
      </c>
    </row>
    <row r="57" spans="1:4" x14ac:dyDescent="0.3">
      <c r="A57" s="130" t="s">
        <v>2946</v>
      </c>
      <c r="D57" s="131" t="s">
        <v>3005</v>
      </c>
    </row>
    <row r="58" spans="1:4" x14ac:dyDescent="0.3">
      <c r="A58" s="130" t="s">
        <v>407</v>
      </c>
      <c r="D58" s="131" t="s">
        <v>524</v>
      </c>
    </row>
    <row r="59" spans="1:4" x14ac:dyDescent="0.3">
      <c r="A59" s="130" t="s">
        <v>2325</v>
      </c>
      <c r="D59" s="131" t="s">
        <v>429</v>
      </c>
    </row>
    <row r="60" spans="1:4" x14ac:dyDescent="0.3">
      <c r="A60" s="130" t="s">
        <v>396</v>
      </c>
      <c r="D60" s="131" t="s">
        <v>3006</v>
      </c>
    </row>
    <row r="61" spans="1:4" x14ac:dyDescent="0.3">
      <c r="A61" s="130" t="s">
        <v>1935</v>
      </c>
      <c r="D61" s="131" t="s">
        <v>3007</v>
      </c>
    </row>
    <row r="62" spans="1:4" x14ac:dyDescent="0.3">
      <c r="A62" s="130" t="s">
        <v>2967</v>
      </c>
      <c r="D62" s="131" t="s">
        <v>3008</v>
      </c>
    </row>
    <row r="63" spans="1:4" x14ac:dyDescent="0.3">
      <c r="A63" s="130" t="s">
        <v>2303</v>
      </c>
      <c r="D63" s="131" t="s">
        <v>416</v>
      </c>
    </row>
    <row r="64" spans="1:4" x14ac:dyDescent="0.3">
      <c r="A64" s="130" t="s">
        <v>800</v>
      </c>
      <c r="D64" s="131" t="s">
        <v>3009</v>
      </c>
    </row>
    <row r="65" spans="1:4" x14ac:dyDescent="0.3">
      <c r="A65" s="130" t="s">
        <v>2968</v>
      </c>
      <c r="D65" s="131" t="s">
        <v>3010</v>
      </c>
    </row>
    <row r="66" spans="1:4" x14ac:dyDescent="0.3">
      <c r="A66" s="131" t="s">
        <v>2969</v>
      </c>
      <c r="D66" s="131" t="s">
        <v>3011</v>
      </c>
    </row>
    <row r="67" spans="1:4" x14ac:dyDescent="0.3">
      <c r="A67" s="131" t="s">
        <v>2299</v>
      </c>
      <c r="D67" s="131" t="s">
        <v>410</v>
      </c>
    </row>
    <row r="68" spans="1:4" x14ac:dyDescent="0.3">
      <c r="A68" s="131" t="s">
        <v>2970</v>
      </c>
      <c r="D68" s="131" t="s">
        <v>3012</v>
      </c>
    </row>
    <row r="69" spans="1:4" x14ac:dyDescent="0.3">
      <c r="A69" s="131" t="s">
        <v>433</v>
      </c>
      <c r="D69" s="131" t="s">
        <v>3013</v>
      </c>
    </row>
    <row r="70" spans="1:4" x14ac:dyDescent="0.3">
      <c r="A70" s="131" t="s">
        <v>2971</v>
      </c>
      <c r="D70" s="131" t="s">
        <v>549</v>
      </c>
    </row>
    <row r="71" spans="1:4" x14ac:dyDescent="0.3">
      <c r="A71" s="131" t="s">
        <v>2443</v>
      </c>
      <c r="D71" s="131" t="s">
        <v>505</v>
      </c>
    </row>
    <row r="72" spans="1:4" x14ac:dyDescent="0.3">
      <c r="A72" s="131" t="s">
        <v>2563</v>
      </c>
      <c r="D72" s="131" t="s">
        <v>506</v>
      </c>
    </row>
    <row r="73" spans="1:4" x14ac:dyDescent="0.3">
      <c r="A73" s="131" t="s">
        <v>2569</v>
      </c>
      <c r="D73" s="131" t="s">
        <v>3014</v>
      </c>
    </row>
    <row r="74" spans="1:4" x14ac:dyDescent="0.3">
      <c r="A74" s="131" t="s">
        <v>556</v>
      </c>
      <c r="D74" s="131" t="s">
        <v>3015</v>
      </c>
    </row>
    <row r="75" spans="1:4" x14ac:dyDescent="0.3">
      <c r="A75" s="131" t="s">
        <v>456</v>
      </c>
      <c r="D75" s="131" t="s">
        <v>3016</v>
      </c>
    </row>
    <row r="76" spans="1:4" x14ac:dyDescent="0.3">
      <c r="A76" s="131" t="s">
        <v>2972</v>
      </c>
      <c r="D76" s="131" t="s">
        <v>3017</v>
      </c>
    </row>
    <row r="77" spans="1:4" x14ac:dyDescent="0.3">
      <c r="A77" s="131" t="s">
        <v>545</v>
      </c>
      <c r="D77" s="131" t="s">
        <v>3018</v>
      </c>
    </row>
    <row r="78" spans="1:4" x14ac:dyDescent="0.3">
      <c r="D78" s="131" t="s">
        <v>529</v>
      </c>
    </row>
    <row r="79" spans="1:4" x14ac:dyDescent="0.3">
      <c r="D79" s="131" t="s">
        <v>478</v>
      </c>
    </row>
    <row r="80" spans="1:4" x14ac:dyDescent="0.3">
      <c r="D80" s="131" t="s">
        <v>3019</v>
      </c>
    </row>
    <row r="81" spans="4:4" x14ac:dyDescent="0.3">
      <c r="D81" s="131" t="s">
        <v>3020</v>
      </c>
    </row>
    <row r="82" spans="4:4" x14ac:dyDescent="0.3">
      <c r="D82" s="131" t="s">
        <v>3021</v>
      </c>
    </row>
    <row r="83" spans="4:4" x14ac:dyDescent="0.3">
      <c r="D83" s="131" t="s">
        <v>538</v>
      </c>
    </row>
    <row r="84" spans="4:4" x14ac:dyDescent="0.3">
      <c r="D84" s="131" t="s">
        <v>540</v>
      </c>
    </row>
    <row r="85" spans="4:4" x14ac:dyDescent="0.3">
      <c r="D85" s="131" t="s">
        <v>3022</v>
      </c>
    </row>
    <row r="86" spans="4:4" x14ac:dyDescent="0.3">
      <c r="D86" s="131" t="s">
        <v>3023</v>
      </c>
    </row>
    <row r="87" spans="4:4" x14ac:dyDescent="0.3">
      <c r="D87" s="131" t="s">
        <v>2994</v>
      </c>
    </row>
    <row r="88" spans="4:4" x14ac:dyDescent="0.3">
      <c r="D88" s="131" t="s">
        <v>3024</v>
      </c>
    </row>
    <row r="89" spans="4:4" x14ac:dyDescent="0.3">
      <c r="D89" s="131" t="s">
        <v>554</v>
      </c>
    </row>
    <row r="90" spans="4:4" x14ac:dyDescent="0.3">
      <c r="D90" s="131" t="s">
        <v>555</v>
      </c>
    </row>
    <row r="91" spans="4:4" x14ac:dyDescent="0.3">
      <c r="D91" s="131" t="s">
        <v>571</v>
      </c>
    </row>
  </sheetData>
  <pageMargins left="0.7" right="0.7" top="0.75" bottom="0.75" header="0.3" footer="0.3"/>
  <tableParts count="3">
    <tablePart r:id="rId1"/>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30A98-20B0-4DF4-A791-B8E93F240A67}">
  <dimension ref="A1"/>
  <sheetViews>
    <sheetView tabSelected="1" workbookViewId="0">
      <selection activeCell="A2" sqref="A2"/>
    </sheetView>
  </sheetViews>
  <sheetFormatPr defaultRowHeight="14.4" x14ac:dyDescent="0.3"/>
  <sheetData>
    <row r="1" spans="1:1" x14ac:dyDescent="0.3">
      <c r="A1" t="s">
        <v>3035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shops</vt:lpstr>
      <vt:lpstr>trade</vt:lpstr>
      <vt:lpstr>status</vt:lpstr>
      <vt:lpstr>data main</vt:lpstr>
      <vt:lpstr>details </vt:lpstr>
      <vt:lpstr>employees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2026-01-07T12:15:06Z</dcterms:created>
  <dcterms:modified xsi:type="dcterms:W3CDTF">2026-01-07T12:49:41Z</dcterms:modified>
</cp:coreProperties>
</file>